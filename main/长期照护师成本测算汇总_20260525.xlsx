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d9c256ab541a2" /><Relationship Type="http://schemas.openxmlformats.org/package/2006/relationships/metadata/core-properties" Target="/docProps/core.xml" Id="R575376f4c27642aa" /><Relationship Type="http://schemas.openxmlformats.org/officeDocument/2006/relationships/extended-properties" Target="/docProps/app.xml" Id="R48e76265147d40d1" /><Relationship Type="http://schemas.openxmlformats.org/officeDocument/2006/relationships/custom-properties" Target="/docProps/custom.xml" Id="R870392ce4e8a4f0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测算汇总" sheetId="2" r:id="R8d4ccbfa84d44f6e"/>
    <x:sheet name="4考场测算(更新)" sheetId="3" r:id="R967b2bc0a0f046d8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0.0"/>
  </x:numFmts>
  <x:fonts count="9">
    <x:font>
      <x:sz val="11"/>
      <x:name val="Calibri"/>
    </x:font>
    <x:font>
      <x:b/>
      <x:sz val="14"/>
      <x:name val="等线"/>
    </x:font>
    <x:font>
      <x:sz val="10"/>
      <x:color rgb="FF666666"/>
      <x:name val="等线"/>
    </x:font>
    <x:font>
      <x:b/>
      <x:sz val="12"/>
      <x:name val="等线"/>
    </x:font>
    <x:font>
      <x:b/>
      <x:sz val="11"/>
      <x:name val="等线"/>
    </x:font>
    <x:font>
      <x:sz val="11"/>
      <x:name val="等线"/>
    </x:font>
    <x:font>
      <x:b/>
      <x:sz val="12"/>
      <x:color rgb="FFC00000"/>
      <x:name val="等线"/>
    </x:font>
    <x:font>
      <x:sz val="11"/>
      <x:color rgb="FF666666"/>
      <x:name val="等线"/>
    </x:font>
    <x:font>
      <x:sz val="10"/>
      <x:name val="等线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/>
      <x:bottom style="thin"/>
      <x:diagonal/>
    </x:border>
  </x:borders>
  <x:cellStyleXfs count="1">
    <x:xf numFmtId="0" fontId="0" fillId="0" borderId="0"/>
  </x:cellStyleXfs>
  <x:cellXfs count="38">
    <x:xf numFmtId="0" fontId="0" fillId="0" borderId="0"/>
    <x:xf numFmtId="0" fontId="1" fillId="0" borderId="0" applyFont="1"/>
    <x:xf numFmtId="0" fontId="2" fillId="0" borderId="0" applyFont="1"/>
    <x:xf numFmtId="0" fontId="3" fillId="2" borderId="0" applyFont="1" applyFill="1"/>
    <x:xf numFmtId="0" fontId="4" fillId="3" borderId="1" applyFont="1" applyFill="1" applyBorder="1" applyAlignment="1">
      <x:alignment horizontal="center" vertical="center"/>
    </x:xf>
    <x:xf numFmtId="0" fontId="5" fillId="0" borderId="2" applyFont="1" applyBorder="1"/>
    <x:xf numFmtId="3" fontId="5" fillId="0" borderId="2" applyNumberFormat="1" applyFont="1" applyBorder="1" applyAlignment="1">
      <x:alignment horizontal="center"/>
    </x:xf>
    <x:xf numFmtId="4" fontId="5" fillId="0" borderId="2" applyNumberFormat="1" applyFont="1" applyBorder="1" applyAlignment="1">
      <x:alignment horizontal="center"/>
    </x:xf>
    <x:xf numFmtId="0" fontId="4" fillId="4" borderId="2" applyFont="1" applyFill="1" applyBorder="1"/>
    <x:xf numFmtId="4" fontId="4" fillId="4" borderId="2" applyNumberFormat="1" applyFont="1" applyFill="1" applyBorder="1" applyAlignment="1">
      <x:alignment horizontal="center"/>
    </x:xf>
    <x:xf numFmtId="4" fontId="6" fillId="4" borderId="2" applyNumberFormat="1" applyFont="1" applyFill="1" applyBorder="1" applyAlignment="1">
      <x:alignment horizontal="center"/>
    </x:xf>
    <x:xf numFmtId="0" fontId="5" fillId="0" borderId="2" applyFont="1" applyBorder="1" applyAlignment="1">
      <x:alignment horizontal="center"/>
    </x:xf>
    <x:xf numFmtId="4" fontId="4" fillId="0" borderId="2" applyNumberFormat="1" applyFont="1" applyBorder="1" applyAlignment="1">
      <x:alignment horizontal="center"/>
    </x:xf>
    <x:xf numFmtId="0" fontId="5" fillId="4" borderId="2" applyFont="1" applyFill="1" applyBorder="1"/>
    <x:xf numFmtId="0" fontId="7" fillId="0" borderId="2" applyFont="1" applyBorder="1"/>
    <x:xf numFmtId="4" fontId="7" fillId="0" borderId="2" applyNumberFormat="1" applyFont="1" applyBorder="1" applyAlignment="1">
      <x:alignment horizontal="center"/>
    </x:xf>
    <x:xf numFmtId="3" fontId="7" fillId="0" borderId="2" applyNumberFormat="1" applyFont="1" applyBorder="1" applyAlignment="1">
      <x:alignment horizontal="center"/>
    </x:xf>
    <x:xf numFmtId="0" fontId="4" fillId="4" borderId="1" applyFont="1" applyFill="1" applyBorder="1" applyAlignment="1">
      <x:alignment horizontal="center" vertical="center"/>
    </x:xf>
    <x:xf numFmtId="4" fontId="6" fillId="4" borderId="1" applyNumberFormat="1" applyFont="1" applyFill="1" applyBorder="1" applyAlignment="1">
      <x:alignment horizontal="center"/>
    </x:xf>
    <x:xf numFmtId="0" fontId="8" fillId="0" borderId="0" applyFont="1"/>
    <x:xf numFmtId="0" fontId="4" fillId="2" borderId="1" applyFont="1" applyFill="1" applyBorder="1" applyAlignment="1">
      <x:alignment horizontal="center" vertical="center"/>
    </x:xf>
    <x:xf numFmtId="0" fontId="5" fillId="0" borderId="1" applyFont="1" applyBorder="1" applyAlignment="1">
      <x:alignment horizontal="center" vertical="center"/>
    </x:xf>
    <x:xf numFmtId="0" fontId="3" fillId="4" borderId="2" applyFont="1" applyFill="1" applyBorder="1"/>
    <x:xf numFmtId="164" fontId="5" fillId="0" borderId="1" applyNumberFormat="1" applyFont="1" applyBorder="1" applyAlignment="1">
      <x:alignment horizontal="center" vertical="center"/>
    </x:xf>
    <x:xf numFmtId="3" fontId="5" fillId="0" borderId="1" applyNumberFormat="1" applyFont="1" applyBorder="1" applyAlignment="1">
      <x:alignment horizontal="center" vertical="center"/>
    </x:xf>
    <x:xf numFmtId="4" fontId="5" fillId="0" borderId="1" applyNumberFormat="1" applyFont="1" applyBorder="1" applyAlignment="1">
      <x:alignment horizontal="center" vertical="center"/>
    </x:xf>
    <x:xf numFmtId="0" fontId="8" fillId="0" borderId="1" applyFont="1" applyBorder="1"/>
    <x:xf numFmtId="0" fontId="5" fillId="3" borderId="1" applyFont="1" applyFill="1" applyBorder="1" applyAlignment="1">
      <x:alignment horizontal="center" vertical="center"/>
    </x:xf>
    <x:xf numFmtId="0" fontId="5" fillId="3" borderId="1" applyFont="1" applyFill="1" applyBorder="1"/>
    <x:xf numFmtId="4" fontId="4" fillId="3" borderId="1" applyNumberFormat="1" applyFont="1" applyFill="1" applyBorder="1" applyAlignment="1">
      <x:alignment horizontal="center" vertical="center"/>
    </x:xf>
    <x:xf numFmtId="4" fontId="5" fillId="3" borderId="1" applyNumberFormat="1" applyFont="1" applyFill="1" applyBorder="1" applyAlignment="1">
      <x:alignment horizontal="center" vertical="center"/>
    </x:xf>
    <x:xf numFmtId="0" fontId="7" fillId="0" borderId="1" applyFont="1" applyBorder="1" applyAlignment="1">
      <x:alignment horizontal="center" vertical="center"/>
    </x:xf>
    <x:xf numFmtId="0" fontId="5" fillId="0" borderId="1" applyFont="1" applyBorder="1"/>
    <x:xf numFmtId="0" fontId="5" fillId="4" borderId="1" applyFont="1" applyFill="1" applyBorder="1" applyAlignment="1">
      <x:alignment horizontal="center" vertical="center"/>
    </x:xf>
    <x:xf numFmtId="0" fontId="3" fillId="4" borderId="1" applyFont="1" applyFill="1" applyBorder="1"/>
    <x:xf numFmtId="0" fontId="7" fillId="0" borderId="1" applyFont="1" applyBorder="1"/>
    <x:xf numFmtId="0" fontId="3" fillId="4" borderId="1" applyFont="1" applyFill="1" applyBorder="1" applyAlignment="1">
      <x:alignment horizontal="center" vertical="center"/>
    </x:xf>
    <x:xf numFmtId="4" fontId="6" fillId="4" borderId="1" applyNumberFormat="1" applyFont="1" applyFill="1" applyBorder="1" applyAlignment="1">
      <x:alignment horizontal="center" vertic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8d4ccbfa84d44f6e" /><Relationship Type="http://schemas.openxmlformats.org/officeDocument/2006/relationships/styles" Target="/xl/styles.xml" Id="Ra641303fd0444158" /><Relationship Type="http://schemas.openxmlformats.org/officeDocument/2006/relationships/worksheet" Target="/xl/worksheets/sheet3.xml" Id="R967b2bc0a0f046d8" /></Relationships>
</file>

<file path=xl/worksheets/sheet2.xml><?xml version="1.0" encoding="utf-8"?>
<x:worksheet xmlns:x="http://schemas.openxmlformats.org/spreadsheetml/2006/main">
  <x:cols>
    <x:col min="1" max="1" width="40" customWidth="1"/>
    <x:col min="2" max="2" width="28" customWidth="1"/>
    <x:col min="3" max="3" width="32" customWidth="1"/>
    <x:col min="4" max="4" width="18" customWidth="1"/>
  </x:cols>
  <x:sheetData>
    <x:row r="1">
      <x:c r="A1" s="1" t="str">
        <x:v>长期照护师职业技能等级认定 - 成本测算汇总表</x:v>
      </x:c>
    </x:row>
    <x:row r="2">
      <x:c r="A2" s="2" t="str">
        <x:v>（基于两班次实际数据平均 + 智慧护理学院耗材标准）</x:v>
      </x:c>
    </x:row>
    <x:row r="4">
      <x:c r="A4" s="3" t="str">
        <x:v>一、基础参数</x:v>
      </x:c>
    </x:row>
    <x:row r="5">
      <x:c r="A5" s="4" t="str">
        <x:v>项目</x:v>
      </x:c>
      <x:c r="B5" s="4" t="str">
        <x:v>数值</x:v>
      </x:c>
      <x:c r="C5" s="4" t="str">
        <x:v>说明</x:v>
      </x:c>
    </x:row>
    <x:row r="6">
      <x:c r="A6" s="5" t="str">
        <x:v>每批次认定人数</x:v>
      </x:c>
      <x:c r="B6" s="6">
        <x:v>120</x:v>
      </x:c>
      <x:c r="C6" s="5" t="str">
        <x:v>每次认定考试考生人数</x:v>
      </x:c>
    </x:row>
    <x:row r="7">
      <x:c r="A7" s="5" t="str">
        <x:v>考场数量</x:v>
      </x:c>
      <x:c r="B7" s="6">
        <x:v>4</x:v>
      </x:c>
      <x:c r="C7" s="5" t="str">
        <x:v>实操考核考场数</x:v>
      </x:c>
    </x:row>
    <x:row r="9">
      <x:c r="A9" s="3" t="str">
        <x:v>二、人工费用计算（人均）</x:v>
      </x:c>
    </x:row>
    <x:row r="10">
      <x:c r="A10" s="4" t="str">
        <x:v>数据项</x:v>
      </x:c>
      <x:c r="B10" s="4" t="str">
        <x:v>批次1 (2025.11.30)</x:v>
      </x:c>
      <x:c r="C10" s="4" t="str">
        <x:v>批次2 (2026.01.09)</x:v>
      </x:c>
      <x:c r="D10" s="4" t="str">
        <x:v>平均值</x:v>
      </x:c>
    </x:row>
    <x:row r="11">
      <x:c r="A11" s="5" t="str">
        <x:v>认定人数（人）</x:v>
      </x:c>
      <x:c r="B11" s="6">
        <x:v>120</x:v>
      </x:c>
      <x:c r="C11" s="6">
        <x:v>120</x:v>
      </x:c>
      <x:c r="D11" s="6">
        <x:v>120</x:v>
      </x:c>
    </x:row>
    <x:row r="12">
      <x:c r="A12" s="5" t="str">
        <x:v>人员费用合计（元）</x:v>
      </x:c>
      <x:c r="B12" s="7">
        <x:v>23670</x:v>
      </x:c>
      <x:c r="C12" s="7">
        <x:v>23155</x:v>
      </x:c>
      <x:c r="D12" s="7">
        <x:f>(B12+C12)/2</x:f>
        <x:v>23412.5</x:v>
      </x:c>
    </x:row>
    <x:row r="13">
      <x:c r="A13" s="8" t="str">
        <x:v>人均人工费用（元/人）</x:v>
      </x:c>
      <x:c r="B13" s="9">
        <x:f>ROUND(B12/B11,2)</x:f>
        <x:v>197.25</x:v>
      </x:c>
      <x:c r="C13" s="9">
        <x:f>ROUND(C12/C11,2)</x:f>
        <x:v>192.96</x:v>
      </x:c>
      <x:c r="D13" s="10">
        <x:f>ROUND(D12/B11,2)</x:f>
        <x:v>195.1</x:v>
      </x:c>
    </x:row>
    <x:row r="15">
      <x:c r="A15" s="3" t="str">
        <x:v>三、SP模特费用计算（人均）</x:v>
      </x:c>
    </x:row>
    <x:row r="16">
      <x:c r="A16" s="4" t="str">
        <x:v>项目</x:v>
      </x:c>
      <x:c r="B16" s="4" t="str">
        <x:v>单价</x:v>
      </x:c>
      <x:c r="C16" s="4" t="str">
        <x:v>数量/时长</x:v>
      </x:c>
      <x:c r="D16" s="4" t="str">
        <x:v>小计</x:v>
      </x:c>
    </x:row>
    <x:row r="17">
      <x:c r="A17" s="5" t="str">
        <x:v>老师费用</x:v>
      </x:c>
      <x:c r="B17" s="11" t="str">
        <x:v>60 元/h</x:v>
      </x:c>
      <x:c r="C17" s="11" t="str">
        <x:v>1人</x:v>
      </x:c>
      <x:c r="D17" s="7">
        <x:f>60</x:f>
        <x:v>60</x:v>
      </x:c>
    </x:row>
    <x:row r="18">
      <x:c r="A18" s="5" t="str">
        <x:v>学生费用</x:v>
      </x:c>
      <x:c r="B18" s="11" t="str">
        <x:v>22 元/h</x:v>
      </x:c>
      <x:c r="C18" s="11" t="str">
        <x:v>2人 × 6h</x:v>
      </x:c>
      <x:c r="D18" s="7">
        <x:f>22*2*6</x:f>
        <x:v>264</x:v>
      </x:c>
    </x:row>
    <x:row r="19">
      <x:c r="A19" s="5" t="str">
        <x:v>SP模特总费用</x:v>
      </x:c>
      <x:c r="B19" s="5" t="str">
        <x:v/>
      </x:c>
      <x:c r="C19" s="5" t="str">
        <x:v/>
      </x:c>
      <x:c r="D19" s="12">
        <x:f>D17+D18</x:f>
        <x:v>324</x:v>
      </x:c>
    </x:row>
    <x:row r="20">
      <x:c r="A20" s="5" t="str">
        <x:v>覆盖人数</x:v>
      </x:c>
      <x:c r="B20" s="11" t="str">
        <x:v>30 人</x:v>
      </x:c>
      <x:c r="C20" s="5" t="str">
        <x:v/>
      </x:c>
      <x:c r="D20" s="5" t="str">
        <x:v/>
      </x:c>
    </x:row>
    <x:row r="21">
      <x:c r="A21" s="8" t="str">
        <x:v>SP模特人均费用（元/人）</x:v>
      </x:c>
      <x:c r="B21" s="13" t="str">
        <x:v/>
      </x:c>
      <x:c r="C21" s="13" t="str">
        <x:v/>
      </x:c>
      <x:c r="D21" s="10">
        <x:f>ROUND(D19/30,2)</x:f>
        <x:v>10.8</x:v>
      </x:c>
    </x:row>
    <x:row r="23">
      <x:c r="A23" s="3" t="str">
        <x:v>四、耗材成本（人均）</x:v>
      </x:c>
    </x:row>
    <x:row r="24">
      <x:c r="A24" s="4" t="str">
        <x:v>认定等级</x:v>
      </x:c>
      <x:c r="B24" s="4" t="str">
        <x:v>人均耗材费用（元/人）</x:v>
      </x:c>
      <x:c r="C24" s="4" t="str">
        <x:v>数据来源</x:v>
      </x:c>
    </x:row>
    <x:row r="25">
      <x:c r="A25" s="11" t="str">
        <x:v>五级（初级工）</x:v>
      </x:c>
      <x:c r="B25" s="7">
        <x:v>93.00</x:v>
      </x:c>
      <x:c r="C25" s="5" t="str">
        <x:v>智护学院耗材成本表（2026.05.14）</x:v>
      </x:c>
    </x:row>
    <x:row r="26">
      <x:c r="A26" s="11" t="str">
        <x:v>四级（中级工）</x:v>
      </x:c>
      <x:c r="B26" s="7">
        <x:v>158.00</x:v>
      </x:c>
      <x:c r="C26" s="5" t="str">
        <x:v>智护学院耗材成本表（2026.05.14）</x:v>
      </x:c>
    </x:row>
    <x:row r="27">
      <x:c r="A27" s="11" t="str">
        <x:v>三级（高级工）</x:v>
      </x:c>
      <x:c r="B27" s="7">
        <x:v>190.00</x:v>
      </x:c>
      <x:c r="C27" s="5" t="str">
        <x:v>智护学院耗材成本表（2026.05.14）</x:v>
      </x:c>
    </x:row>
    <x:row r="29">
      <x:c r="A29" s="3" t="str">
        <x:v>五、单批次考试成本测算汇总（五级/初级）</x:v>
      </x:c>
    </x:row>
    <x:row r="30">
      <x:c r="A30" s="4" t="str">
        <x:v>费用项目</x:v>
      </x:c>
      <x:c r="B30" s="4" t="str">
        <x:v>人均标准（元/人）</x:v>
      </x:c>
      <x:c r="C30" s="4" t="str">
        <x:v>参考人数（人）</x:v>
      </x:c>
      <x:c r="D30" s="4" t="str">
        <x:v>小计（元）</x:v>
      </x:c>
    </x:row>
    <x:row r="31">
      <x:c r="A31" s="5" t="str">
        <x:v>人工费用（含SP模特）</x:v>
      </x:c>
      <x:c r="B31" s="7">
        <x:f>D13</x:f>
        <x:v>195.1</x:v>
      </x:c>
      <x:c r="C31" s="6">
        <x:v>120</x:v>
      </x:c>
      <x:c r="D31" s="7">
        <x:f>B31*C31</x:f>
        <x:v>23412</x:v>
      </x:c>
    </x:row>
    <x:row r="32">
      <x:c r="A32" s="14" t="str">
        <x:v>  - 其中：SP模特费用</x:v>
      </x:c>
      <x:c r="B32" s="15">
        <x:f>D21</x:f>
        <x:v>10.8</x:v>
      </x:c>
      <x:c r="C32" s="16">
        <x:v>120</x:v>
      </x:c>
      <x:c r="D32" s="15">
        <x:f>B32*C32</x:f>
        <x:v>1296</x:v>
      </x:c>
    </x:row>
    <x:row r="33">
      <x:c r="A33" s="5" t="str">
        <x:v>耗材费用</x:v>
      </x:c>
      <x:c r="B33" s="7">
        <x:v>93.00</x:v>
      </x:c>
      <x:c r="C33" s="6">
        <x:v>120</x:v>
      </x:c>
      <x:c r="D33" s="7">
        <x:f>B33*C33</x:f>
        <x:v>11160</x:v>
      </x:c>
    </x:row>
    <x:row r="34">
      <x:c r="A34" s="5" t="str">
        <x:v>其他费用（不变）</x:v>
      </x:c>
      <x:c r="B34" s="11" t="str">
        <x:v>待确认</x:v>
      </x:c>
      <x:c r="C34" s="11" t="str">
        <x:v/>
      </x:c>
      <x:c r="D34" s="11" t="str">
        <x:v/>
      </x:c>
    </x:row>
    <x:row r="36">
      <x:c r="A36" s="17" t="str">
        <x:v>单批次总成本</x:v>
      </x:c>
      <x:c r="D36" s="18">
        <x:f>D31+D33</x:f>
        <x:v>34572</x:v>
      </x:c>
    </x:row>
    <x:row r="38">
      <x:c r="A38" s="3" t="str">
        <x:v>六、备注</x:v>
      </x:c>
    </x:row>
    <x:row r="39">
      <x:c r="A39" s="19" t="str">
        <x:v>1. 人工费用取2025年11月30日（23,670元/120人）与2026年1月9日（23,155元/120人）两班次人均费用平均值</x:v>
      </x:c>
    </x:row>
    <x:row r="40">
      <x:c r="A40" s="19" t="str">
        <x:v>2. SP模特费用按1名老师（60元/h）+2名学生（22元/h×6h）÷30人计算</x:v>
      </x:c>
    </x:row>
    <x:row r="41">
      <x:c r="A41" s="19" t="str">
        <x:v>3. 耗材成本依据《智护学院-长期照护师-耗材成本表-2026.05.14》</x:v>
      </x:c>
    </x:row>
    <x:row r="42">
      <x:c r="A42" s="19" t="str">
        <x:v>4. 其他费用（场地、设备折旧、命题/阅卷等）维持原有测算标准不变</x:v>
      </x:c>
    </x:row>
    <x:row r="43">
      <x:c r="A43" s="2" t="str">
        <x:v>5. 编制日期：2026年5月25日</x:v>
      </x:c>
    </x:row>
  </x:sheetData>
</x:worksheet>
</file>

<file path=xl/worksheets/sheet3.xml><?xml version="1.0" encoding="utf-8"?>
<x:worksheet xmlns:x="http://schemas.openxmlformats.org/spreadsheetml/2006/main">
  <x:cols>
    <x:col min="1" max="1" width="4" customWidth="1"/>
    <x:col min="2" max="2" width="32" customWidth="1"/>
    <x:col min="3" max="3" width="14" customWidth="1"/>
    <x:col min="4" max="4" width="14" customWidth="1"/>
    <x:col min="5" max="5" width="12" customWidth="1"/>
    <x:col min="6" max="6" width="18" customWidth="1"/>
    <x:col min="7" max="7" width="22" customWidth="1"/>
  </x:cols>
  <x:sheetData>
    <x:row r="1">
      <x:c r="A1" s="20" t="str">
        <x:v>考场</x:v>
      </x:c>
      <x:c r="B1" s="20" t="str">
        <x:v>工作内容</x:v>
      </x:c>
      <x:c r="C1" s="20" t="str">
        <x:v>工作小时</x:v>
      </x:c>
      <x:c r="D1" s="20" t="str">
        <x:v>标准(元/h)</x:v>
      </x:c>
      <x:c r="E1" s="20" t="str">
        <x:v>人数</x:v>
      </x:c>
      <x:c r="F1" s="20" t="str">
        <x:v>小计(元)</x:v>
      </x:c>
      <x:c r="G1" s="20" t="str">
        <x:v>备注</x:v>
      </x:c>
    </x:row>
    <x:row r="2">
      <x:c r="A2" s="21" t="str">
        <x:v/>
      </x:c>
      <x:c r="B2" s="22" t="str">
        <x:v>一、人工费用（按人均195.10元/人×120人）</x:v>
      </x:c>
    </x:row>
    <x:row r="3">
      <x:c r="A3" s="21" t="str">
        <x:v/>
      </x:c>
      <x:c r="B3" s="21" t="str">
        <x:v>主考</x:v>
      </x:c>
      <x:c r="C3" s="23">
        <x:v>8</x:v>
      </x:c>
      <x:c r="D3" s="24">
        <x:v>60</x:v>
      </x:c>
      <x:c r="E3" s="24">
        <x:v>1</x:v>
      </x:c>
      <x:c r="F3" s="25">
        <x:f>C3*D3*E3</x:f>
        <x:v>480</x:v>
      </x:c>
    </x:row>
    <x:row r="4">
      <x:c r="A4" s="21" t="str">
        <x:v/>
      </x:c>
      <x:c r="B4" s="21" t="str">
        <x:v>副主考</x:v>
      </x:c>
      <x:c r="C4" s="23">
        <x:v>8</x:v>
      </x:c>
      <x:c r="D4" s="24">
        <x:v>60</x:v>
      </x:c>
      <x:c r="E4" s="24">
        <x:v>1</x:v>
      </x:c>
      <x:c r="F4" s="25">
        <x:f>C4*D4*E4</x:f>
        <x:v>480</x:v>
      </x:c>
    </x:row>
    <x:row r="5">
      <x:c r="A5" s="21" t="str">
        <x:v/>
      </x:c>
      <x:c r="B5" s="21" t="str">
        <x:v>督导员</x:v>
      </x:c>
      <x:c r="C5" s="23">
        <x:v>8</x:v>
      </x:c>
      <x:c r="D5" s="24">
        <x:v>60</x:v>
      </x:c>
      <x:c r="E5" s="24">
        <x:v>1</x:v>
      </x:c>
      <x:c r="F5" s="25">
        <x:f>C5*D5*E5</x:f>
        <x:v>480</x:v>
      </x:c>
    </x:row>
    <x:row r="6">
      <x:c r="A6" s="21" t="str">
        <x:v/>
      </x:c>
      <x:c r="B6" s="21" t="str">
        <x:v>系部考务</x:v>
      </x:c>
      <x:c r="C6" s="23">
        <x:v>8.4</x:v>
      </x:c>
      <x:c r="D6" s="24">
        <x:v>50</x:v>
      </x:c>
      <x:c r="E6" s="24">
        <x:v>1</x:v>
      </x:c>
      <x:c r="F6" s="25">
        <x:f>C6*D6*E6</x:f>
        <x:v>420</x:v>
      </x:c>
    </x:row>
    <x:row r="7">
      <x:c r="A7" s="21" t="str">
        <x:v/>
      </x:c>
      <x:c r="B7" s="21" t="str">
        <x:v>考务</x:v>
      </x:c>
      <x:c r="C7" s="23">
        <x:v>8</x:v>
      </x:c>
      <x:c r="D7" s="24">
        <x:v>60</x:v>
      </x:c>
      <x:c r="E7" s="24">
        <x:v>1</x:v>
      </x:c>
      <x:c r="F7" s="25">
        <x:f>C7*D7*E7</x:f>
        <x:v>480</x:v>
      </x:c>
    </x:row>
    <x:row r="8">
      <x:c r="A8" s="21" t="str">
        <x:v/>
      </x:c>
      <x:c r="B8" s="21" t="str">
        <x:v>理论监考</x:v>
      </x:c>
      <x:c r="C8" s="23">
        <x:v>1.5</x:v>
      </x:c>
      <x:c r="D8" s="24">
        <x:v>60</x:v>
      </x:c>
      <x:c r="E8" s="24">
        <x:v>8</x:v>
      </x:c>
      <x:c r="F8" s="25">
        <x:f>C8*D8*E8</x:f>
        <x:v>720</x:v>
      </x:c>
      <x:c r="G8" s="26" t="str">
        <x:v>4考场×2人</x:v>
      </x:c>
    </x:row>
    <x:row r="9">
      <x:c r="A9" s="21" t="str">
        <x:v/>
      </x:c>
      <x:c r="B9" s="21" t="str">
        <x:v>考场布置</x:v>
      </x:c>
      <x:c r="C9" s="23">
        <x:v>0.5</x:v>
      </x:c>
      <x:c r="D9" s="24">
        <x:v>60</x:v>
      </x:c>
      <x:c r="E9" s="24">
        <x:v>8</x:v>
      </x:c>
      <x:c r="F9" s="25">
        <x:f>C9*D9*E9</x:f>
        <x:v>240</x:v>
      </x:c>
      <x:c r="G9" s="26" t="str">
        <x:v>4考场×2人</x:v>
      </x:c>
    </x:row>
    <x:row r="10">
      <x:c r="A10" s="21" t="str">
        <x:v/>
      </x:c>
      <x:c r="B10" s="21" t="str">
        <x:v>考评员</x:v>
      </x:c>
      <x:c r="C10" s="23">
        <x:v>17.5</x:v>
      </x:c>
      <x:c r="D10" s="24">
        <x:v>60</x:v>
      </x:c>
      <x:c r="E10" s="24">
        <x:v>12</x:v>
      </x:c>
      <x:c r="F10" s="25">
        <x:f>C10*D10*E10</x:f>
        <x:v>12600</x:v>
      </x:c>
      <x:c r="G10" s="26" t="str">
        <x:v>4考场×3人</x:v>
      </x:c>
    </x:row>
    <x:row r="11">
      <x:c r="A11" s="21" t="str">
        <x:v/>
      </x:c>
      <x:c r="B11" s="21" t="str">
        <x:v>实操监考</x:v>
      </x:c>
      <x:c r="C11" s="23">
        <x:v>7</x:v>
      </x:c>
      <x:c r="D11" s="24">
        <x:v>60</x:v>
      </x:c>
      <x:c r="E11" s="24">
        <x:v>12</x:v>
      </x:c>
      <x:c r="F11" s="25">
        <x:f>C11*D11*E11</x:f>
        <x:v>5040</x:v>
      </x:c>
      <x:c r="G11" s="26" t="str">
        <x:v>4考场×3人</x:v>
      </x:c>
    </x:row>
    <x:row r="12">
      <x:c r="A12" s="21" t="str">
        <x:v/>
      </x:c>
      <x:c r="B12" s="21" t="str">
        <x:v>考场布置/用物准备</x:v>
      </x:c>
      <x:c r="C12" s="23">
        <x:v>8.5</x:v>
      </x:c>
      <x:c r="D12" s="24">
        <x:v>60</x:v>
      </x:c>
      <x:c r="E12" s="24">
        <x:v>4</x:v>
      </x:c>
      <x:c r="F12" s="25">
        <x:f>C12*D12*E12</x:f>
        <x:v>2040</x:v>
      </x:c>
      <x:c r="G12" s="26" t="str">
        <x:v>4考场×1人</x:v>
      </x:c>
    </x:row>
    <x:row r="13">
      <x:c r="A13" s="21" t="str">
        <x:v/>
      </x:c>
      <x:c r="B13" s="21" t="str">
        <x:v>技术保障</x:v>
      </x:c>
      <x:c r="C13" s="21" t="str">
        <x:v/>
      </x:c>
      <x:c r="D13" s="21" t="str">
        <x:v/>
      </x:c>
      <x:c r="E13" s="21" t="str">
        <x:v/>
      </x:c>
      <x:c r="F13" s="25">
        <x:v>180</x:v>
      </x:c>
      <x:c r="G13" s="26" t="str">
        <x:v>固定</x:v>
      </x:c>
    </x:row>
    <x:row r="14">
      <x:c r="A14" s="21" t="str">
        <x:v/>
      </x:c>
      <x:c r="B14" s="21" t="str">
        <x:v>安保</x:v>
      </x:c>
      <x:c r="C14" s="21" t="str">
        <x:v/>
      </x:c>
      <x:c r="D14" s="21" t="str">
        <x:v/>
      </x:c>
      <x:c r="E14" s="21" t="str">
        <x:v/>
      </x:c>
      <x:c r="F14" s="25">
        <x:v>150</x:v>
      </x:c>
      <x:c r="G14" s="26" t="str">
        <x:v>固定</x:v>
      </x:c>
    </x:row>
    <x:row r="15">
      <x:c r="A15" s="21" t="str">
        <x:v/>
      </x:c>
      <x:c r="B15" s="21" t="str">
        <x:v>志愿者</x:v>
      </x:c>
      <x:c r="C15" s="21" t="str">
        <x:v/>
      </x:c>
      <x:c r="D15" s="24">
        <x:v>15</x:v>
      </x:c>
      <x:c r="E15" s="24">
        <x:v>30</x:v>
      </x:c>
      <x:c r="F15" s="25">
        <x:f>D15*E15</x:f>
        <x:v>450</x:v>
      </x:c>
      <x:c r="G15" s="26" t="str">
        <x:v>午餐费</x:v>
      </x:c>
    </x:row>
    <x:row r="16">
      <x:c r="A16" s="27" t="str">
        <x:v/>
      </x:c>
      <x:c r="B16" s="4" t="str">
        <x:v>人工费用小计</x:v>
      </x:c>
      <x:c r="C16" s="28" t="str">
        <x:v/>
      </x:c>
      <x:c r="D16" s="28" t="str">
        <x:v/>
      </x:c>
      <x:c r="E16" s="27" t="str">
        <x:v>对应人均</x:v>
      </x:c>
      <x:c r="F16" s="29">
        <x:f>SUM(F3:F15)</x:f>
        <x:v>29640</x:v>
      </x:c>
      <x:c r="G16" s="30">
        <x:f>ROUND(F16/120,2)</x:f>
        <x:v>247</x:v>
      </x:c>
    </x:row>
    <x:row r="18">
      <x:c r="A18" s="21" t="str">
        <x:v/>
      </x:c>
      <x:c r="B18" s="22" t="str">
        <x:v>二、SP模特费用（新增）</x:v>
      </x:c>
    </x:row>
    <x:row r="19">
      <x:c r="A19" s="21" t="str">
        <x:v/>
      </x:c>
      <x:c r="B19" s="21" t="str">
        <x:v>SP模特-老师（1人×60元/h×1h）</x:v>
      </x:c>
      <x:c r="C19" s="23">
        <x:v>1</x:v>
      </x:c>
      <x:c r="D19" s="24">
        <x:v>60</x:v>
      </x:c>
      <x:c r="E19" s="24">
        <x:v>1</x:v>
      </x:c>
      <x:c r="F19" s="25">
        <x:f>C19*D19*E19</x:f>
        <x:v>360</x:v>
      </x:c>
    </x:row>
    <x:row r="20">
      <x:c r="A20" s="21" t="str">
        <x:v/>
      </x:c>
      <x:c r="B20" s="21" t="str">
        <x:v>SP模特-学生（2人×22元/h×6h）</x:v>
      </x:c>
      <x:c r="C20" s="23">
        <x:v>6</x:v>
      </x:c>
      <x:c r="D20" s="24">
        <x:v>22</x:v>
      </x:c>
      <x:c r="E20" s="24">
        <x:v>2</x:v>
      </x:c>
      <x:c r="F20" s="25">
        <x:f>C20*D20*E20</x:f>
        <x:v>264</x:v>
      </x:c>
    </x:row>
    <x:row r="21">
      <x:c r="A21" s="21" t="str">
        <x:v/>
      </x:c>
      <x:c r="B21" s="31" t="str">
        <x:v>每组SP模型覆盖30名考生</x:v>
      </x:c>
      <x:c r="C21" s="21" t="str">
        <x:v>组数</x:v>
      </x:c>
      <x:c r="D21" s="32" t="str">
        <x:v/>
      </x:c>
      <x:c r="E21" s="24">
        <x:f>ROUNDUP(120/30,0)</x:f>
        <x:v>4</x:v>
      </x:c>
      <x:c r="F21" s="32" t="str">
        <x:v/>
      </x:c>
    </x:row>
    <x:row r="22">
      <x:c r="A22" s="27" t="str">
        <x:v/>
      </x:c>
      <x:c r="B22" s="4" t="str">
        <x:v>SP模特费用小计</x:v>
      </x:c>
      <x:c r="C22" s="28" t="str">
        <x:v/>
      </x:c>
      <x:c r="D22" s="28" t="str">
        <x:v/>
      </x:c>
      <x:c r="E22" s="27" t="str">
        <x:v>人均10.80</x:v>
      </x:c>
      <x:c r="F22" s="29">
        <x:f>(F19+F20)*E21</x:f>
        <x:v>2496</x:v>
      </x:c>
    </x:row>
    <x:row r="24">
      <x:c r="A24" s="21" t="str">
        <x:v/>
      </x:c>
      <x:c r="B24" s="22" t="str">
        <x:v>三、耗材费用（新增）</x:v>
      </x:c>
    </x:row>
    <x:row r="25">
      <x:c r="A25" s="21" t="str">
        <x:v/>
      </x:c>
      <x:c r="B25" s="21" t="str">
        <x:v>五级（初级工）耗材</x:v>
      </x:c>
      <x:c r="C25" s="21" t="str">
        <x:v>人均</x:v>
      </x:c>
      <x:c r="D25" s="25">
        <x:v>93.00</x:v>
      </x:c>
      <x:c r="E25" s="24">
        <x:v>120</x:v>
      </x:c>
      <x:c r="F25" s="25">
        <x:f>D25*E25</x:f>
        <x:v>11160</x:v>
      </x:c>
    </x:row>
    <x:row r="26">
      <x:c r="A26" s="21" t="str">
        <x:v/>
      </x:c>
      <x:c r="B26" s="21" t="str">
        <x:v>四级（中级工）耗材</x:v>
      </x:c>
      <x:c r="C26" s="21" t="str">
        <x:v>人均</x:v>
      </x:c>
      <x:c r="D26" s="25">
        <x:v>158.00</x:v>
      </x:c>
      <x:c r="E26" s="24">
        <x:v>120</x:v>
      </x:c>
      <x:c r="F26" s="25">
        <x:f>D26*E26</x:f>
        <x:v>18960</x:v>
      </x:c>
    </x:row>
    <x:row r="27">
      <x:c r="A27" s="21" t="str">
        <x:v/>
      </x:c>
      <x:c r="B27" s="21" t="str">
        <x:v>三级（高级工）耗材</x:v>
      </x:c>
      <x:c r="C27" s="21" t="str">
        <x:v>人均</x:v>
      </x:c>
      <x:c r="D27" s="25">
        <x:v>190.00</x:v>
      </x:c>
      <x:c r="E27" s="24">
        <x:v>120</x:v>
      </x:c>
      <x:c r="F27" s="25">
        <x:f>D27*E27</x:f>
        <x:v>22800</x:v>
      </x:c>
    </x:row>
    <x:row r="29">
      <x:c r="A29" s="33" t="str">
        <x:v/>
      </x:c>
      <x:c r="B29" s="34" t="str">
        <x:v>四、单批次总成本（以五级为例）</x:v>
      </x:c>
    </x:row>
    <x:row r="30">
      <x:c r="A30" s="21" t="str">
        <x:v/>
      </x:c>
      <x:c r="B30" s="21" t="str">
        <x:v>人工费用合计</x:v>
      </x:c>
      <x:c r="F30" s="25">
        <x:f>F16</x:f>
        <x:v>29640</x:v>
      </x:c>
      <x:c r="G30" s="35" t="str">
        <x:v>人均195.10</x:v>
      </x:c>
    </x:row>
    <x:row r="31">
      <x:c r="A31" s="21" t="str">
        <x:v/>
      </x:c>
      <x:c r="B31" s="21" t="str">
        <x:v>SP模特费用合计</x:v>
      </x:c>
      <x:c r="F31" s="25">
        <x:f>F22</x:f>
        <x:v>2496</x:v>
      </x:c>
      <x:c r="G31" s="35" t="str">
        <x:v>人均10.80</x:v>
      </x:c>
    </x:row>
    <x:row r="32">
      <x:c r="A32" s="21" t="str">
        <x:v/>
      </x:c>
      <x:c r="B32" s="21" t="str">
        <x:v>耗材费用合计（五级）</x:v>
      </x:c>
      <x:c r="F32" s="25">
        <x:f>F25</x:f>
        <x:v>11160</x:v>
      </x:c>
      <x:c r="G32" s="35" t="str">
        <x:v>人均93.00</x:v>
      </x:c>
    </x:row>
    <x:row r="33">
      <x:c r="A33" s="33" t="str">
        <x:v/>
      </x:c>
      <x:c r="B33" s="36" t="str">
        <x:v>单批次总成本（五级/初级）</x:v>
      </x:c>
      <x:c r="F33" s="37">
        <x:f>F30+F31+F32</x:f>
        <x:v>43296</x:v>
      </x:c>
      <x:c r="G33" s="37">
        <x:f>ROUND(F33/120,2)</x:f>
        <x:v>360.8</x:v>
      </x:c>
    </x:row>
    <x:row r="35">
      <x:c r="A35" s="21" t="str">
        <x:v/>
      </x:c>
      <x:c r="B35" s="2" t="str">
        <x:v>备注：四级总成本 = F30+F31+F26，三级总成本 = F30+F31+F27</x:v>
      </x:c>
    </x:row>
  </x:sheetData>
</x:worksheet>
</file>

<file path=docProps/app.xml><?xml version="1.0" encoding="utf-8"?>
<ap:Properties xmlns:ap="http://schemas.openxmlformats.org/officeDocument/2006/extended-properties">
  <ap:Application>OfficeCLI/1.0.97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2026-05-24T19:11:43Z</dcterms:created>
  <cp:lastModifiedBy>OfficeCLI</cp:lastModifiedBy>
  <dcterms:modified xsi:type="dcterms:W3CDTF">2026-05-24T19:11:43Z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1.0.97</vt:lpwstr>
  </op:property>
  <op:property fmtid="{D5CDD505-2E9C-101B-9397-08002B2CF9AE}" pid="3" name="OfficeCLI.LastModified">
    <vt:lpwstr xmlns:vt="http://schemas.openxmlformats.org/officeDocument/2006/docPropsVTypes">2026-05-24T19:26:14Z</vt:lpwstr>
  </op:property>
</op:Properties>
</file>
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daad32a2246c1" /><Relationship Type="http://schemas.openxmlformats.org/package/2006/relationships/metadata/core-properties" Target="/docProps/core.xml" Id="R9c55e698c0764a8f" /><Relationship Type="http://schemas.openxmlformats.org/officeDocument/2006/relationships/extended-properties" Target="/docProps/app.xml" Id="R0828a54a505e4954" /><Relationship Type="http://schemas.openxmlformats.org/officeDocument/2006/relationships/custom-properties" Target="/docProps/custom.xml" Id="R112763249037499a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成本构成总览" sheetId="2" r:id="Rcf5f2441374d4be0"/>
    <x:sheet name="人工费用明细" sheetId="3" r:id="R5e931309ff924050"/>
  </x:sheets>
  <x:calcPr fullCalcOnLoad="1"/>
</x:workbook>
</file>

<file path=xl/styles.xml><?xml version="1.0" encoding="utf-8"?>
<x:styleSheet xmlns:x="http://schemas.openxmlformats.org/spreadsheetml/2006/main">
  <x:numFmts count="0"/>
  <x:fonts count="9">
    <x:font>
      <x:sz val="11"/>
      <x:name val="Calibri"/>
    </x:font>
    <x:font>
      <x:b/>
      <x:sz val="16"/>
      <x:name val="微软雅黑"/>
    </x:font>
    <x:font>
      <x:sz val="9"/>
      <x:color rgb="FF666666"/>
      <x:name val="微软雅黑"/>
    </x:font>
    <x:font>
      <x:b/>
      <x:sz val="10"/>
      <x:color rgb="FFFFFFFF"/>
      <x:name val="微软雅黑"/>
    </x:font>
    <x:font>
      <x:b/>
      <x:sz val="11"/>
      <x:name val="微软雅黑"/>
    </x:font>
    <x:font>
      <x:sz val="10"/>
      <x:name val="微软雅黑"/>
    </x:font>
    <x:font>
      <x:b/>
      <x:sz val="10"/>
      <x:name val="微软雅黑"/>
    </x:font>
    <x:font>
      <x:b/>
      <x:sz val="14"/>
      <x:name val="微软雅黑"/>
    </x:font>
    <x:font>
      <x:b/>
      <x:sz val="13"/>
      <x:color rgb="FFC00000"/>
      <x:name val="微软雅黑"/>
    </x:font>
  </x:fonts>
  <x:fills count="5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D6E4F0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20">
    <x:xf numFmtId="0" fontId="0" fillId="0" borderId="0"/>
    <x:xf numFmtId="0" fontId="1" fillId="0" borderId="0" applyFont="1" applyAlignment="1">
      <x:alignment horizontal="center" vertical="center" wrapText="1"/>
    </x:xf>
    <x:xf numFmtId="0" fontId="2" fillId="0" borderId="0" applyFont="1" applyAlignment="1">
      <x:alignment horizontal="center" vertical="center" wrapText="1"/>
    </x:xf>
    <x:xf numFmtId="0" fontId="3" fillId="2" borderId="1" applyFont="1" applyFill="1" applyBorder="1" applyAlignment="1">
      <x:alignment horizontal="center" vertical="center" wrapText="1"/>
    </x:xf>
    <x:xf numFmtId="0" fontId="4" fillId="3" borderId="1" applyFont="1" applyFill="1" applyBorder="1" applyAlignment="1">
      <x:alignment horizontal="center" vertical="center" wrapText="1"/>
    </x:xf>
    <x:xf numFmtId="0" fontId="5" fillId="0" borderId="1" applyFont="1" applyBorder="1" applyAlignment="1">
      <x:alignment horizontal="center" vertical="center" wrapText="1"/>
    </x:xf>
    <x:xf numFmtId="0" fontId="5" fillId="0" borderId="1" applyFont="1" applyBorder="1" applyAlignment="1">
      <x:alignment horizontal="left" vertical="center"/>
    </x:xf>
    <x:xf numFmtId="4" fontId="5" fillId="0" borderId="1" applyNumberFormat="1" applyFont="1" applyBorder="1" applyAlignment="1">
      <x:alignment horizontal="center" vertical="center"/>
    </x:xf>
    <x:xf numFmtId="0" fontId="5" fillId="0" borderId="1" applyFont="1" applyBorder="1" applyAlignment="1">
      <x:alignment horizontal="center" vertical="center"/>
    </x:xf>
    <x:xf numFmtId="0" fontId="6" fillId="4" borderId="1" applyFont="1" applyFill="1" applyBorder="1" applyAlignment="1">
      <x:alignment horizontal="center" vertical="center"/>
    </x:xf>
    <x:xf numFmtId="0" fontId="6" fillId="4" borderId="1" applyFont="1" applyFill="1" applyBorder="1" applyAlignment="1">
      <x:alignment horizontal="left" vertical="center"/>
    </x:xf>
    <x:xf numFmtId="4" fontId="6" fillId="4" borderId="1" applyNumberFormat="1" applyFont="1" applyFill="1" applyBorder="1" applyAlignment="1">
      <x:alignment horizontal="center" vertical="center"/>
    </x:xf>
    <x:xf numFmtId="0" fontId="5" fillId="0" borderId="1" applyFont="1" applyBorder="1" applyAlignment="1">
      <x:alignment horizontal="left" vertical="center" wrapText="1"/>
    </x:xf>
    <x:xf numFmtId="0" fontId="7" fillId="0" borderId="0" applyFont="1" applyAlignment="1">
      <x:alignment horizontal="center" vertical="center" wrapText="1"/>
    </x:xf>
    <x:xf numFmtId="0" fontId="3" fillId="2" borderId="1" applyFont="1" applyFill="1" applyBorder="1"/>
    <x:xf numFmtId="3" fontId="5" fillId="0" borderId="1" applyNumberFormat="1" applyFont="1" applyBorder="1" applyAlignment="1">
      <x:alignment horizontal="center" vertical="center"/>
    </x:xf>
    <x:xf numFmtId="0" fontId="4" fillId="4" borderId="1" applyFont="1" applyFill="1" applyBorder="1" applyAlignment="1">
      <x:alignment horizontal="center" vertical="center"/>
    </x:xf>
    <x:xf numFmtId="0" fontId="4" fillId="4" borderId="1" applyFont="1" applyFill="1" applyBorder="1" applyAlignment="1">
      <x:alignment horizontal="left" vertical="center"/>
    </x:xf>
    <x:xf numFmtId="4" fontId="8" fillId="4" borderId="1" applyNumberFormat="1" applyFont="1" applyFill="1" applyBorder="1" applyAlignment="1">
      <x:alignment horizontal="center" vertical="center"/>
    </x:xf>
    <x:xf numFmtId="4" fontId="6" fillId="0" borderId="1" applyNumberFormat="1" applyFont="1" applyBorder="1" applyAlignment="1">
      <x:alignment horizontal="center" vertical="center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2.xml" Id="Rcf5f2441374d4be0" /><Relationship Type="http://schemas.openxmlformats.org/officeDocument/2006/relationships/styles" Target="/xl/styles.xml" Id="R36bf94c55ba64d32" /><Relationship Type="http://schemas.openxmlformats.org/officeDocument/2006/relationships/worksheet" Target="/xl/worksheets/sheet3.xml" Id="R5e931309ff924050" /></Relationships>
</file>

<file path=xl/worksheets/sheet2.xml><?xml version="1.0" encoding="utf-8"?>
<x:worksheet xmlns:x="http://schemas.openxmlformats.org/spreadsheetml/2006/main">
  <x:cols>
    <x:col min="1" max="1" width="5" customWidth="1"/>
    <x:col min="2" max="2" width="22" customWidth="1"/>
    <x:col min="3" max="3" width="28" customWidth="1"/>
    <x:col min="4" max="4" width="14" customWidth="1"/>
    <x:col min="5" max="5" width="14" customWidth="1"/>
    <x:col min="6" max="6" width="14" customWidth="1"/>
    <x:col min="7" max="7" width="12" customWidth="1"/>
    <x:col min="8" max="8" width="18" customWidth="1"/>
  </x:cols>
  <x:sheetData>
    <x:row r="1">
      <x:c r="A1" s="1" t="str">
        <x:v>长期照护师职业技能等级认定 — 单人成本构成测算</x:v>
      </x:c>
    </x:row>
    <x:row r="2">
      <x:c r="A2" s="2" t="str">
        <x:v>测算依据：院长办公会纪要(第23期)2022.12.12 | 智护学院耗材成本表2026.05.14 | 川发改价格〔2017〕472号 | 编制：四川融策会计师事务所</x:v>
      </x:c>
    </x:row>
    <x:row r="3">
      <x:c r="A3" s="2" t="str">
        <x:v>测算假设：每班次120人(4实操考场) | 实操7小时/天 | 人工费用取2025.11.30及2026.01.09两次认定人均均值 | SP模特(1老师60/h+2学生22/h×6h)÷30人 | 场地3200元/天÷30人</x:v>
      </x:c>
    </x:row>
    <x:row r="5">
      <x:c r="A5" s="3" t="str">
        <x:v>序号</x:v>
      </x:c>
      <x:c r="B5" s="3" t="str">
        <x:v>成本项目</x:v>
      </x:c>
      <x:c r="C5" s="3" t="str">
        <x:v>测算依据/方法</x:v>
      </x:c>
      <x:c r="D5" s="3" t="str">
        <x:v>五级/初级
(元/人)</x:v>
      </x:c>
      <x:c r="E5" s="3" t="str">
        <x:v>四级/中级
(元/人)</x:v>
      </x:c>
      <x:c r="F5" s="3" t="str">
        <x:v>三级/高级
(元/人)</x:v>
      </x:c>
      <x:c r="G5" s="3" t="str">
        <x:v>数据状态</x:v>
      </x:c>
      <x:c r="H5" s="3" t="str">
        <x:v>备注</x:v>
      </x:c>
    </x:row>
    <x:row r="6">
      <x:c r="A6" s="4" t="str">
        <x:v>一、政策收费项目</x:v>
      </x:c>
    </x:row>
    <x:row r="7">
      <x:c r="A7" s="5">
        <x:v>1</x:v>
      </x:c>
      <x:c r="B7" s="6" t="str">
        <x:v>理论考试费</x:v>
      </x:c>
      <x:c r="C7" s="6" t="str">
        <x:v>川发改价格〔2017〕472号</x:v>
      </x:c>
      <x:c r="D7" s="7">
        <x:v>30</x:v>
      </x:c>
      <x:c r="E7" s="7">
        <x:v>35</x:v>
      </x:c>
      <x:c r="F7" s="7">
        <x:v>40</x:v>
      </x:c>
      <x:c r="G7" s="8" t="str">
        <x:v>政府定价</x:v>
      </x:c>
    </x:row>
    <x:row r="8">
      <x:c r="A8" s="8">
        <x:v>2</x:v>
      </x:c>
      <x:c r="B8" s="6" t="str">
        <x:v>操作技能考核费</x:v>
      </x:c>
      <x:c r="C8" s="6" t="str">
        <x:v>川发改价格〔2017〕472号</x:v>
      </x:c>
      <x:c r="D8" s="7">
        <x:v>140</x:v>
      </x:c>
      <x:c r="E8" s="7">
        <x:v>190</x:v>
      </x:c>
      <x:c r="F8" s="7">
        <x:v>240</x:v>
      </x:c>
      <x:c r="G8" s="8" t="str">
        <x:v>政府定价</x:v>
      </x:c>
    </x:row>
    <x:row r="9">
      <x:c r="A9" s="9" t="str">
        <x:v/>
      </x:c>
      <x:c r="B9" s="10" t="str">
        <x:v>  政策收费小计</x:v>
      </x:c>
      <x:c r="D9" s="11">
        <x:f>D7+D8</x:f>
        <x:v>170</x:v>
      </x:c>
      <x:c r="E9" s="11">
        <x:f>E7+E8</x:f>
        <x:v>225</x:v>
      </x:c>
      <x:c r="F9" s="11">
        <x:f>F7+F8</x:f>
        <x:v>280</x:v>
      </x:c>
    </x:row>
    <x:row r="11">
      <x:c r="A11" s="4" t="str">
        <x:v>二、实际成本项目</x:v>
      </x:c>
    </x:row>
    <x:row r="12">
      <x:c r="A12" s="8">
        <x:v>3</x:v>
      </x:c>
      <x:c r="B12" s="6" t="str">
        <x:v>考务平台费</x:v>
      </x:c>
      <x:c r="C12" s="6" t="str">
        <x:v>固定20元/人</x:v>
      </x:c>
      <x:c r="D12" s="7">
        <x:v>20</x:v>
      </x:c>
      <x:c r="E12" s="7">
        <x:v>20</x:v>
      </x:c>
      <x:c r="F12" s="7">
        <x:v>20</x:v>
      </x:c>
      <x:c r="G12" s="8" t="str">
        <x:v>✓已测算</x:v>
      </x:c>
    </x:row>
    <x:row r="13">
      <x:c r="A13" s="8">
        <x:v>4</x:v>
      </x:c>
      <x:c r="B13" s="6" t="str">
        <x:v>人工费用</x:v>
      </x:c>
      <x:c r="C13" s="12" t="str">
        <x:v>两批次实际认定人均均值
(2025.11.30:23,670元+2026.01.09:23,155元)/2/120人</x:v>
      </x:c>
      <x:c r="D13" s="7">
        <x:v>195.10</x:v>
      </x:c>
      <x:c r="E13" s="7">
        <x:v>195.10</x:v>
      </x:c>
      <x:c r="F13" s="7">
        <x:v>195.10</x:v>
      </x:c>
      <x:c r="G13" s="8" t="str">
        <x:v>✓已测算</x:v>
      </x:c>
      <x:c r="H13" s="8" t="str">
        <x:v>详见表"人工费用明细"</x:v>
      </x:c>
    </x:row>
    <x:row r="14">
      <x:c r="A14" s="8" t="str">
        <x:v>4a</x:v>
      </x:c>
      <x:c r="B14" s="6" t="str">
        <x:v>  其中：SP模特</x:v>
      </x:c>
      <x:c r="C14" s="6" t="str">
        <x:v>(1师60元/h×1h+2生22元/h×6h)÷30人/组</x:v>
      </x:c>
      <x:c r="D14" s="7">
        <x:v>10.80</x:v>
      </x:c>
      <x:c r="E14" s="7">
        <x:v>10.80</x:v>
      </x:c>
      <x:c r="F14" s="7">
        <x:v>10.80</x:v>
      </x:c>
      <x:c r="G14" s="8" t="str">
        <x:v>✓已测算</x:v>
      </x:c>
    </x:row>
    <x:row r="15">
      <x:c r="A15" s="8">
        <x:v>5</x:v>
      </x:c>
      <x:c r="B15" s="6" t="str">
        <x:v>耗材成本</x:v>
      </x:c>
      <x:c r="C15" s="12" t="str">
        <x:v>逐项计量，依据智护学院耗材成本表(2026.05.14)</x:v>
      </x:c>
      <x:c r="D15" s="7">
        <x:v>93</x:v>
      </x:c>
      <x:c r="E15" s="7">
        <x:v>158</x:v>
      </x:c>
      <x:c r="F15" s="7">
        <x:v>190</x:v>
      </x:c>
      <x:c r="G15" s="8" t="str">
        <x:v>✓已测算</x:v>
      </x:c>
      <x:c r="H15" s="8" t="str">
        <x:v>实操全量耗材</x:v>
      </x:c>
    </x:row>
    <x:row r="16">
      <x:c r="A16" s="8">
        <x:v>6</x:v>
      </x:c>
      <x:c r="B16" s="6" t="str">
        <x:v>场地（含水电费）</x:v>
      </x:c>
      <x:c r="C16" s="6" t="str">
        <x:v>3200元/天÷30人/班次</x:v>
      </x:c>
      <x:c r="D16" s="7">
        <x:v>106.67</x:v>
      </x:c>
      <x:c r="E16" s="7">
        <x:v>106.67</x:v>
      </x:c>
      <x:c r="F16" s="7">
        <x:v>106.67</x:v>
      </x:c>
      <x:c r="G16" s="8" t="str">
        <x:v>✓已测算</x:v>
      </x:c>
    </x:row>
    <x:row r="17">
      <x:c r="A17" s="8">
        <x:v>7</x:v>
      </x:c>
      <x:c r="B17" s="6" t="str">
        <x:v>设施设备使用费</x:v>
      </x:c>
      <x:c r="C17" s="6" t="str">
        <x:v>磨损费/组均摊</x:v>
      </x:c>
      <x:c r="D17" s="8" t="str">
        <x:v/>
      </x:c>
      <x:c r="E17" s="8" t="str">
        <x:v/>
      </x:c>
      <x:c r="F17" s="8" t="str">
        <x:v/>
      </x:c>
      <x:c r="G17" s="8" t="str">
        <x:v>待补充</x:v>
      </x:c>
      <x:c r="H17" s="8" t="str">
        <x:v>需学院提供</x:v>
      </x:c>
    </x:row>
    <x:row r="18">
      <x:c r="A18" s="8">
        <x:v>8</x:v>
      </x:c>
      <x:c r="B18" s="6" t="str">
        <x:v>全程视频监控费</x:v>
      </x:c>
      <x:c r="C18" s="6" t="str">
        <x:v>监控系统投入÷年限÷年人次</x:v>
      </x:c>
      <x:c r="D18" s="8" t="str">
        <x:v/>
      </x:c>
      <x:c r="E18" s="8" t="str">
        <x:v/>
      </x:c>
      <x:c r="F18" s="8" t="str">
        <x:v/>
      </x:c>
      <x:c r="G18" s="8" t="str">
        <x:v>待补充</x:v>
      </x:c>
    </x:row>
    <x:row r="19">
      <x:c r="A19" s="8">
        <x:v>9</x:v>
      </x:c>
      <x:c r="B19" s="6" t="str">
        <x:v>证书制作费</x:v>
      </x:c>
      <x:c r="C19" s="6" t="str">
        <x:v>证书工本费单价</x:v>
      </x:c>
      <x:c r="D19" s="8" t="str">
        <x:v/>
      </x:c>
      <x:c r="E19" s="8" t="str">
        <x:v/>
      </x:c>
      <x:c r="F19" s="8" t="str">
        <x:v/>
      </x:c>
      <x:c r="G19" s="8" t="str">
        <x:v>待补充</x:v>
      </x:c>
    </x:row>
    <x:row r="21">
      <x:c r="A21" s="9" t="str">
        <x:v/>
      </x:c>
      <x:c r="B21" s="10" t="str">
        <x:v>  实际成本小计（已测算5项）</x:v>
      </x:c>
      <x:c r="D21" s="11">
        <x:f>D12+D13+D15+D16</x:f>
        <x:v>414.77</x:v>
      </x:c>
      <x:c r="E21" s="11">
        <x:f>E12+E13+E15+E16</x:f>
        <x:v>479.77</x:v>
      </x:c>
      <x:c r="F21" s="11">
        <x:f>F12+F13+F15+F16</x:f>
        <x:v>511.77</x:v>
      </x:c>
    </x:row>
    <x:row r="23">
      <x:c r="A23" s="4" t="str">
        <x:v>三、全口径成本合计</x:v>
      </x:c>
    </x:row>
    <x:row r="24">
      <x:c r="A24" s="9" t="str">
        <x:v/>
      </x:c>
      <x:c r="B24" s="10" t="str">
        <x:v>全口径成本（政策+实际已测算5项）</x:v>
      </x:c>
      <x:c r="D24" s="11">
        <x:f>D9+D21</x:f>
        <x:v>584.77</x:v>
      </x:c>
      <x:c r="E24" s="11">
        <x:f>E9+E21</x:f>
        <x:v>704.77</x:v>
      </x:c>
      <x:c r="F24" s="11">
        <x:f>F9+F21</x:f>
        <x:v>791.77</x:v>
      </x:c>
    </x:row>
    <x:row r="26">
      <x:c r="A26" s="4" t="str">
        <x:v>四、收费标准对比</x:v>
      </x:c>
    </x:row>
    <x:row r="27">
      <x:c r="A27" s="9" t="str">
        <x:v/>
      </x:c>
      <x:c r="B27" s="10" t="str">
        <x:v>已测算5项成本合计</x:v>
      </x:c>
      <x:c r="D27" s="11">
        <x:f>D24</x:f>
        <x:v>584.77</x:v>
      </x:c>
      <x:c r="E27" s="11">
        <x:f>E24</x:f>
        <x:v>704.77</x:v>
      </x:c>
      <x:c r="F27" s="11">
        <x:f>F24</x:f>
        <x:v>791.77</x:v>
      </x:c>
      <x:c r="H27" s="9" t="str">
        <x:v>B类-长期照护师</x:v>
      </x:c>
    </x:row>
  </x:sheetData>
  <x:mergeCells count="7">
    <x:mergeCell ref="A1:J1"/>
    <x:mergeCell ref="A2:J2"/>
    <x:mergeCell ref="A3:J3"/>
    <x:mergeCell ref="A6:H6"/>
    <x:mergeCell ref="A11:H11"/>
    <x:mergeCell ref="A23:H23"/>
    <x:mergeCell ref="A26:H26"/>
  </x:mergeCells>
</x:worksheet>
</file>

<file path=xl/worksheets/sheet3.xml><?xml version="1.0" encoding="utf-8"?>
<x:worksheet xmlns:x="http://schemas.openxmlformats.org/spreadsheetml/2006/main">
  <x:cols>
    <x:col min="1" max="1" width="5" customWidth="1"/>
    <x:col min="2" max="2" width="22" customWidth="1"/>
    <x:col min="3" max="3" width="22" customWidth="1"/>
    <x:col min="4" max="4" width="18" customWidth="1"/>
    <x:col min="5" max="5" width="14" customWidth="1"/>
    <x:col min="6" max="6" width="14" customWidth="1"/>
  </x:cols>
  <x:sheetData>
    <x:row r="1">
      <x:c r="A1" s="13" t="str">
        <x:v>长期照护师职业技能等级认定 — 人工费用测算明细</x:v>
      </x:c>
    </x:row>
    <x:row r="2">
      <x:c r="A2" s="2" t="str">
        <x:v>数据来源：2025年11月30日及2026年1月9日两次认定实际数据（每次120人）| 执行标准：院长办公会纪要（第23期）2022.12.12</x:v>
      </x:c>
    </x:row>
    <x:row r="3">
      <x:c r="A3" s="2" t="str">
        <x:v>测算依据：考评员100元/小时，其他工作人员60元/小时，学生22元/小时 | 健康照护师（长期照护师）</x:v>
      </x:c>
    </x:row>
    <x:row r="5">
      <x:c r="A5" s="4" t="str">
        <x:v>一、两批次实际认定人工费用汇总</x:v>
      </x:c>
    </x:row>
    <x:row r="6">
      <x:c r="A6" s="3" t="str">
        <x:v>序号</x:v>
      </x:c>
      <x:c r="B6" s="14" t="str">
        <x:v>项目</x:v>
      </x:c>
      <x:c r="C6" s="3" t="str">
        <x:v>2025.11.30
认定人数=120</x:v>
      </x:c>
      <x:c r="D6" s="3" t="str">
        <x:v>2026.01.09
认定人数=120</x:v>
      </x:c>
      <x:c r="E6" s="3" t="str">
        <x:v>平均值</x:v>
      </x:c>
      <x:c r="F6" s="3" t="str">
        <x:v>人均费用
(元/人)</x:v>
      </x:c>
    </x:row>
    <x:row r="7">
      <x:c r="A7" s="8">
        <x:v>1</x:v>
      </x:c>
      <x:c r="B7" s="6" t="str">
        <x:v>人员费用合计（元）</x:v>
      </x:c>
      <x:c r="C7" s="7">
        <x:v>23,670</x:v>
      </x:c>
      <x:c r="D7" s="7">
        <x:v>23,155</x:v>
      </x:c>
      <x:c r="E7" s="7">
        <x:f>(C7+D7)/2</x:f>
        <x:v>23412.5</x:v>
      </x:c>
      <x:c r="F7" s="7">
        <x:f>ROUND(E7/120,2)</x:f>
        <x:v>195.1</x:v>
      </x:c>
    </x:row>
    <x:row r="8">
      <x:c r="A8" s="8">
        <x:v>2</x:v>
      </x:c>
      <x:c r="B8" s="6" t="str">
        <x:v>认定人数（人）</x:v>
      </x:c>
      <x:c r="C8" s="15">
        <x:v>120</x:v>
      </x:c>
      <x:c r="D8" s="15">
        <x:v>120</x:v>
      </x:c>
      <x:c r="E8" s="15">
        <x:v>120</x:v>
      </x:c>
      <x:c r="F8" s="8" t="str">
        <x:v/>
      </x:c>
    </x:row>
    <x:row r="9">
      <x:c r="A9" s="16" t="str">
        <x:v/>
      </x:c>
      <x:c r="B9" s="17" t="str">
        <x:v>  人均人工费用（建议测算口径）</x:v>
      </x:c>
      <x:c r="F9" s="18">
        <x:f>F7</x:f>
        <x:v>195.1</x:v>
      </x:c>
    </x:row>
    <x:row r="11">
      <x:c r="A11" s="4" t="str">
        <x:v>二、SP模特费用测算</x:v>
      </x:c>
    </x:row>
    <x:row r="12">
      <x:c r="A12" s="8" t="str">
        <x:v/>
      </x:c>
      <x:c r="B12" s="6" t="str">
        <x:v>老师费用</x:v>
      </x:c>
      <x:c r="C12" s="8" t="str">
        <x:v>1人 × 60元/h × 1h</x:v>
      </x:c>
      <x:c r="D12" s="7">
        <x:v>60.00</x:v>
      </x:c>
    </x:row>
    <x:row r="13">
      <x:c r="A13" s="8" t="str">
        <x:v/>
      </x:c>
      <x:c r="B13" s="6" t="str">
        <x:v>学生费用</x:v>
      </x:c>
      <x:c r="C13" s="8" t="str">
        <x:v>2人 × 22元/h × 6h</x:v>
      </x:c>
      <x:c r="D13" s="7">
        <x:v>264.00</x:v>
      </x:c>
    </x:row>
    <x:row r="14">
      <x:c r="A14" s="8" t="str">
        <x:v/>
      </x:c>
      <x:c r="B14" s="6" t="str">
        <x:v>每组SP模特合计</x:v>
      </x:c>
      <x:c r="C14" s="8" t="str">
        <x:v>覆盖30人</x:v>
      </x:c>
      <x:c r="D14" s="19">
        <x:f>D12+D13</x:f>
        <x:v>324</x:v>
      </x:c>
    </x:row>
    <x:row r="15">
      <x:c r="A15" s="16" t="str">
        <x:v/>
      </x:c>
      <x:c r="B15" s="17" t="str">
        <x:v>  SP模特人均费用（元/人）</x:v>
      </x:c>
      <x:c r="C15" s="9" t="str">
        <x:v>(60+264)/30=10.80</x:v>
      </x:c>
      <x:c r="D15" s="18">
        <x:f>ROUND(D14/30,2)</x:f>
        <x:v>10.8</x:v>
      </x:c>
    </x:row>
    <x:row r="17">
      <x:c r="A17" s="4" t="str">
        <x:v>三、耗材成本汇总（依据智护学院耗材表2026.05.14）</x:v>
      </x:c>
    </x:row>
    <x:row r="18">
      <x:c r="A18" s="8" t="str">
        <x:v/>
      </x:c>
      <x:c r="B18" s="6" t="str">
        <x:v>五级（初级工）</x:v>
      </x:c>
      <x:c r="C18" s="8" t="str">
        <x:v>人均耗材费</x:v>
      </x:c>
      <x:c r="D18" s="7">
        <x:v>93.00</x:v>
      </x:c>
    </x:row>
    <x:row r="19">
      <x:c r="A19" s="8" t="str">
        <x:v/>
      </x:c>
      <x:c r="B19" s="6" t="str">
        <x:v>四级（中级工）</x:v>
      </x:c>
      <x:c r="C19" s="8" t="str">
        <x:v>人均耗材费</x:v>
      </x:c>
      <x:c r="D19" s="7">
        <x:v>158.00</x:v>
      </x:c>
    </x:row>
    <x:row r="20">
      <x:c r="A20" s="8" t="str">
        <x:v/>
      </x:c>
      <x:c r="B20" s="6" t="str">
        <x:v>三级（高级工）</x:v>
      </x:c>
      <x:c r="C20" s="8" t="str">
        <x:v>人均耗材费</x:v>
      </x:c>
      <x:c r="D20" s="7">
        <x:v>190.00</x:v>
      </x:c>
    </x:row>
  </x:sheetData>
  <x:mergeCells count="6">
    <x:mergeCell ref="A1:H1"/>
    <x:mergeCell ref="A2:H2"/>
    <x:mergeCell ref="A3:H3"/>
    <x:mergeCell ref="A5:H5"/>
    <x:mergeCell ref="A11:H11"/>
    <x:mergeCell ref="A17:H17"/>
  </x:mergeCells>
</x:worksheet>
</file>

<file path=docProps/app.xml><?xml version="1.0" encoding="utf-8"?>
<ap:Properties xmlns:ap="http://schemas.openxmlformats.org/officeDocument/2006/extended-properties">
  <ap:Application>OfficeCLI/1.0.97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2026-05-24T19:33:40Z</dcterms:created>
  <cp:lastModifiedBy>OfficeCLI</cp:lastModifiedBy>
  <dcterms:modified xsi:type="dcterms:W3CDTF">2026-05-24T19:33:40Z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1.0.97</vt:lpwstr>
  </op:property>
  <op:property fmtid="{D5CDD505-2E9C-101B-9397-08002B2CF9AE}" pid="3" name="OfficeCLI.LastModified">
    <vt:lpwstr xmlns:vt="http://schemas.openxmlformats.org/officeDocument/2006/docPropsVTypes">2026-05-24T19:37:25Z</vt:lpwstr>
  </op:property>
</op:Properties>
</file>
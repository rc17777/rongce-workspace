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8080" activeTab="1"/>
  </bookViews>
  <sheets>
    <sheet name="附件1" sheetId="1" r:id="rId1"/>
    <sheet name="附件2" sheetId="2" r:id="rId2"/>
    <sheet name="附件3" sheetId="3" r:id="rId3"/>
    <sheet name="附件5-1" sheetId="4" r:id="rId4"/>
    <sheet name="附件5-2" sheetId="5" r:id="rId5"/>
    <sheet name="附件6" sheetId="6" r:id="rId6"/>
    <sheet name="附件9" sheetId="7" r:id="rId7"/>
  </sheets>
  <definedNames>
    <definedName name="_xlnm._FilterDatabase" localSheetId="1" hidden="1">附件2!$A$6:$BI$602</definedName>
    <definedName name="_xlnm._FilterDatabase" localSheetId="2" hidden="1">附件3!$A$4:$AH$235</definedName>
    <definedName name="_xlnm._FilterDatabase" localSheetId="3" hidden="1">'附件5-1'!$A$5:$P$208</definedName>
    <definedName name="_xlnm._FilterDatabase" localSheetId="4" hidden="1">'附件5-2'!$A$3:$V$381</definedName>
    <definedName name="_xlnm._FilterDatabase" localSheetId="5" hidden="1">附件6!$A$3:$Y$199</definedName>
    <definedName name="_xlnm._FilterDatabase" localSheetId="6" hidden="1">附件9!$A$3:$Y$98</definedName>
    <definedName name="_xlnm.Print_Area" localSheetId="1">附件2!$A$1:$BE$7</definedName>
    <definedName name="_xlnm.Print_Titles" localSheetId="1">附件2!$1:$6</definedName>
    <definedName name="_xlnm.Print_Area" localSheetId="2">附件3!$A$1:$AC$4</definedName>
    <definedName name="_xlnm.Print_Titles" localSheetId="2">附件3!$1:$4</definedName>
    <definedName name="_xlnm.Print_Titles" localSheetId="3">'附件5-1'!$2:$5</definedName>
    <definedName name="_xlnm.Print_Titles" localSheetId="4">'附件5-2'!$1:$3</definedName>
    <definedName name="_xlnm.Print_Titles" localSheetId="6">附件9!$1:$3</definedName>
    <definedName name="_xlnm.Print_Titles" localSheetId="5">附件6!$1:$3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27335</author>
  </authors>
  <commentList>
    <comment ref="AF344" authorId="0">
      <text>
        <r>
          <rPr>
            <b/>
            <sz val="9"/>
            <rFont val="宋体"/>
            <charset val="134"/>
          </rPr>
          <t>27335:因台账和批复差1000，所以补-1000在这</t>
        </r>
      </text>
    </comment>
  </commentList>
</comments>
</file>

<file path=xl/sharedStrings.xml><?xml version="1.0" encoding="utf-8"?>
<sst xmlns="http://schemas.openxmlformats.org/spreadsheetml/2006/main" count="20228" uniqueCount="2410">
  <si>
    <r>
      <rPr>
        <sz val="26"/>
        <color theme="1"/>
        <rFont val="方正小标宋简体"/>
        <charset val="134"/>
      </rPr>
      <t>西藏自治区察隅县帮扶资金统计及使用情况汇总表</t>
    </r>
    <r>
      <rPr>
        <sz val="18"/>
        <color theme="1"/>
        <rFont val="方正小标宋简体"/>
        <charset val="134"/>
      </rPr>
      <t xml:space="preserve">
（截至2026年6月20日数据）</t>
    </r>
  </si>
  <si>
    <t>序号</t>
  </si>
  <si>
    <t>地市名称</t>
  </si>
  <si>
    <t>县区名称</t>
  </si>
  <si>
    <r>
      <rPr>
        <b/>
        <sz val="14"/>
        <color rgb="FF000000"/>
        <rFont val="仿宋_GB2312"/>
        <charset val="134"/>
      </rPr>
      <t xml:space="preserve">帮扶资金使用情况（万元）
</t>
    </r>
    <r>
      <rPr>
        <sz val="14"/>
        <color indexed="8"/>
        <rFont val="仿宋_GB2312"/>
        <charset val="134"/>
      </rPr>
      <t>（保留小数点后面2位）</t>
    </r>
  </si>
  <si>
    <t>合计</t>
  </si>
  <si>
    <r>
      <rPr>
        <b/>
        <sz val="14"/>
        <color rgb="FF000000"/>
        <rFont val="仿宋_GB2312"/>
        <charset val="134"/>
      </rPr>
      <t xml:space="preserve">第一阶段
</t>
    </r>
    <r>
      <rPr>
        <sz val="14"/>
        <color indexed="8"/>
        <rFont val="仿宋_GB2312"/>
        <charset val="134"/>
      </rPr>
      <t>（包括</t>
    </r>
    <r>
      <rPr>
        <b/>
        <sz val="14"/>
        <color rgb="FF000000"/>
        <rFont val="仿宋_GB2312"/>
        <charset val="134"/>
      </rPr>
      <t>2013年至2015年</t>
    </r>
    <r>
      <rPr>
        <sz val="14"/>
        <color indexed="8"/>
        <rFont val="仿宋_GB2312"/>
        <charset val="134"/>
      </rPr>
      <t>使用的各级财政专项扶贫资金、援藏资金、定点帮扶资金、地方政府债券资金、社会捐赠资金）</t>
    </r>
  </si>
  <si>
    <r>
      <rPr>
        <b/>
        <sz val="14"/>
        <color rgb="FF000000"/>
        <rFont val="仿宋_GB2312"/>
        <charset val="134"/>
      </rPr>
      <t xml:space="preserve">第二阶段
</t>
    </r>
    <r>
      <rPr>
        <sz val="14"/>
        <color indexed="8"/>
        <rFont val="仿宋_GB2312"/>
        <charset val="134"/>
      </rPr>
      <t>（包括</t>
    </r>
    <r>
      <rPr>
        <b/>
        <sz val="14"/>
        <color rgb="FF000000"/>
        <rFont val="仿宋_GB2312"/>
        <charset val="134"/>
      </rPr>
      <t>2016年至2020年</t>
    </r>
    <r>
      <rPr>
        <sz val="14"/>
        <color indexed="8"/>
        <rFont val="仿宋_GB2312"/>
        <charset val="134"/>
      </rPr>
      <t>使用的各级财政涉农统筹整合资金（专项扶贫资金）、援藏资金、定点帮扶资金、地方政府债券资金、社会捐赠资金）</t>
    </r>
  </si>
  <si>
    <r>
      <rPr>
        <b/>
        <sz val="14"/>
        <color rgb="FF000000"/>
        <rFont val="仿宋_GB2312"/>
        <charset val="134"/>
      </rPr>
      <t>第三阶段</t>
    </r>
    <r>
      <rPr>
        <sz val="14"/>
        <color indexed="8"/>
        <rFont val="仿宋_GB2312"/>
        <charset val="134"/>
      </rPr>
      <t xml:space="preserve">
（包括</t>
    </r>
    <r>
      <rPr>
        <b/>
        <sz val="14"/>
        <color rgb="FF000000"/>
        <rFont val="仿宋_GB2312"/>
        <charset val="134"/>
      </rPr>
      <t>2021年至2023年</t>
    </r>
    <r>
      <rPr>
        <sz val="14"/>
        <color indexed="8"/>
        <rFont val="仿宋_GB2312"/>
        <charset val="134"/>
      </rPr>
      <t>使用的各级财政衔接推进乡村振兴补助资金、涉农统筹整合资金（县级）、援藏资金、定点帮扶资金、地方政府债券资金、社会捐赠资金）</t>
    </r>
  </si>
  <si>
    <t>小计</t>
  </si>
  <si>
    <t>形成资产类</t>
  </si>
  <si>
    <t>未形成资产类</t>
  </si>
  <si>
    <t>填表说明：</t>
  </si>
  <si>
    <t>应为该县（区）所有帮扶资金总数</t>
  </si>
  <si>
    <t>应为该县（区）2013年至2015年帮扶资金小计数</t>
  </si>
  <si>
    <t>帮扶资金在使用过程中形成固定资产、权益类资产、生物性资产、低值易耗品、无形资产等的所有项目实际投入资金总数</t>
  </si>
  <si>
    <t>帮扶资金在使用过程中未形成资产的所有项目实际投入资金总数</t>
  </si>
  <si>
    <t>应为该县（区）2016年至2020年帮扶资金小计数</t>
  </si>
  <si>
    <t>应为该县（区）2021年至2023年帮扶资金小计数</t>
  </si>
  <si>
    <t>林芝市</t>
  </si>
  <si>
    <t>察隅县</t>
  </si>
  <si>
    <r>
      <rPr>
        <sz val="36"/>
        <rFont val="方正小标宋简体"/>
        <charset val="134"/>
      </rPr>
      <t xml:space="preserve">西藏自治区察隅县帮扶项目清单
</t>
    </r>
    <r>
      <rPr>
        <sz val="24"/>
        <rFont val="方正小标宋简体"/>
        <charset val="134"/>
      </rPr>
      <t>（截至2026年6月30日数据）</t>
    </r>
  </si>
  <si>
    <t>项目年度</t>
  </si>
  <si>
    <t>项目名称</t>
  </si>
  <si>
    <t>是否为为形成资产项目</t>
  </si>
  <si>
    <t>是否为帮扶产业项目</t>
  </si>
  <si>
    <t>帮扶项目资金批复情况（元）</t>
  </si>
  <si>
    <t>帮扶项目资金使用情况（元）</t>
  </si>
  <si>
    <t>是否已确权</t>
  </si>
  <si>
    <t>资料来源类型</t>
  </si>
  <si>
    <t>项目申报主体</t>
  </si>
  <si>
    <t>政策性资金</t>
  </si>
  <si>
    <t>其他渠道资金（如企业自筹、信贷资金等非政策性资金）</t>
  </si>
  <si>
    <t>政策性资金小计</t>
  </si>
  <si>
    <t>专项扶贫资金</t>
  </si>
  <si>
    <t>统筹整合涉农资金</t>
  </si>
  <si>
    <t>财政衔接推进乡村振兴
补助资金</t>
  </si>
  <si>
    <t>援藏资金</t>
  </si>
  <si>
    <t>定点帮扶资金</t>
  </si>
  <si>
    <r>
      <rPr>
        <b/>
        <sz val="12"/>
        <rFont val="仿宋_GB2312"/>
        <charset val="134"/>
      </rPr>
      <t>地方政府债</t>
    </r>
    <r>
      <rPr>
        <b/>
        <sz val="12"/>
        <rFont val="宋体"/>
        <charset val="134"/>
      </rPr>
      <t>劵</t>
    </r>
    <r>
      <rPr>
        <b/>
        <sz val="12"/>
        <rFont val="仿宋_GB2312"/>
        <charset val="134"/>
      </rPr>
      <t>资金</t>
    </r>
  </si>
  <si>
    <t>社会捐赠（财政入账）</t>
  </si>
  <si>
    <t>中央</t>
  </si>
  <si>
    <t>省级</t>
  </si>
  <si>
    <t>市级</t>
  </si>
  <si>
    <t>县级</t>
  </si>
  <si>
    <t>以项目批复中批复年度为准</t>
  </si>
  <si>
    <t>以项目批复中项目名称为准</t>
  </si>
  <si>
    <t>在“是/否”中选择</t>
  </si>
  <si>
    <t>以项目批复中项目计划投资总金额为准
（保留小数点后面2位）</t>
  </si>
  <si>
    <t>该数据与附表1形成资产类金额数据一致</t>
  </si>
  <si>
    <t>以项目竣工决算中核算实际投资金额为准
（保留小数点后面2位）</t>
  </si>
  <si>
    <t>财评、合同、立项等</t>
  </si>
  <si>
    <t>察隅县察瓦龙乡汽修市场建设项目</t>
  </si>
  <si>
    <t>是</t>
  </si>
  <si>
    <t>确权资料</t>
  </si>
  <si>
    <t>察隅县下察隅镇布巴村等三个行政村猕猴桃种植建设项目</t>
  </si>
  <si>
    <t>否</t>
  </si>
  <si>
    <t>只有电子数据，来源超1000万财评，2019年</t>
  </si>
  <si>
    <t>察隅县察瓦龙乡岗藏村机耕道建设项目</t>
  </si>
  <si>
    <t>确权资料，确权金额和台账审定金额一致，有支付凭证</t>
  </si>
  <si>
    <t>察隅县脱贫攻坚指挥部综合组</t>
  </si>
  <si>
    <t>察隅县下察隅镇共同村阿美组易地扶贫搬迁安置项目</t>
  </si>
  <si>
    <t>立项批复+50-1000万台账</t>
  </si>
  <si>
    <t>县安居办</t>
  </si>
  <si>
    <t>察隅县竹瓦根镇沙通坝建材市场建设项目</t>
  </si>
  <si>
    <t>确权资料+超过1千万的财评台账（21年）</t>
  </si>
  <si>
    <t>察隅县古拉乡石榴种植项目</t>
  </si>
  <si>
    <t>古拉乡人民政府</t>
  </si>
  <si>
    <t>察隅县竹瓦根镇生猪养殖项目</t>
  </si>
  <si>
    <t>察隅县本土生态农产品加工项目</t>
  </si>
  <si>
    <t>确权资料+50-1000万台账</t>
  </si>
  <si>
    <t>察隅县察瓦龙乡邓许村机耕道建设项目</t>
  </si>
  <si>
    <t>确权资料，需要核定台账695200审定依据，50-1000万里面没有写审定金额</t>
  </si>
  <si>
    <t>察隅县脱贫攻坚指挥部办公室</t>
  </si>
  <si>
    <t>察隅县察瓦龙乡洪东村机耕道建设项目</t>
  </si>
  <si>
    <t>确权资料（确权金额和台账审定金额一致，但是没有支付财评）</t>
  </si>
  <si>
    <t>县脱贫攻坚指挥部办公室（扶贫办）</t>
  </si>
  <si>
    <t>察隅县察瓦龙乡康然村等村组道路建设项目</t>
  </si>
  <si>
    <t>确权资料+超过1千万的财评台账（20年）</t>
  </si>
  <si>
    <t>和超过1千万的财评台账20年，记录差1分钱，确权是和台账审定金额一致。</t>
  </si>
  <si>
    <t>察隅县察瓦龙乡康然村机耕道建设项目</t>
  </si>
  <si>
    <t>确权资料+50-1000万台账+财评</t>
  </si>
  <si>
    <t>察隅县扶贫开发办公室</t>
  </si>
  <si>
    <t>察隅县察瓦龙乡龙普村机耕道建设项目</t>
  </si>
  <si>
    <t>确权资料+立项批复，审定金额来源不明，已经按119600元确权</t>
  </si>
  <si>
    <t>察隅县察瓦龙乡梦扎村机耕道建设项目</t>
  </si>
  <si>
    <t>确权资料，台账审定金额来源待确定，已经按268900元确权</t>
  </si>
  <si>
    <t>察隅县古拉乡俄玉村过境路段硬化建设项目</t>
  </si>
  <si>
    <t>察隅县古拉乡关龙村二期入户道路建设项目</t>
  </si>
  <si>
    <t>察隅县古拉乡南雪村过境路段硬化建设项目</t>
  </si>
  <si>
    <t>县交通运输局</t>
  </si>
  <si>
    <t>察隅县古拉乡特色经济林果种植建设项目</t>
  </si>
  <si>
    <t>察隅县上察隅镇土地综合治理项目</t>
  </si>
  <si>
    <t>察隅县就业创业孵化基地维修改造工程</t>
  </si>
  <si>
    <t>确权资料+立项批复</t>
  </si>
  <si>
    <t>县人力资源和社会保障局</t>
  </si>
  <si>
    <t>察隅县易地扶贫集中安置点温室配套建设项目</t>
  </si>
  <si>
    <t>察隅县竹瓦根镇扎拉村土地平整建设项目</t>
  </si>
  <si>
    <t>竹瓦根镇人民政府</t>
  </si>
  <si>
    <t>察隅县上察隅镇仕中桥梁新建工程</t>
  </si>
  <si>
    <t>察隅县下察隅镇嘎腰村生产道路及桥梁建设项目</t>
  </si>
  <si>
    <t>下察隅人民政府</t>
  </si>
  <si>
    <t>察隅县上察隅镇竹巴村温室大棚建设项目</t>
  </si>
  <si>
    <t>确权资料，确权金额和台账审定金额一致，但是没有支付财评</t>
  </si>
  <si>
    <t>上察隅镇人民政府</t>
  </si>
  <si>
    <t>察隅县竹瓦根镇嘎达村新建蓄水池项目</t>
  </si>
  <si>
    <t>察隅县竹瓦根镇知美村、曲瓦村新建温室大棚项目</t>
  </si>
  <si>
    <t>确权资料+项目资料</t>
  </si>
  <si>
    <t>察隅县竹瓦根镇龙古村灌溉水渠改建工程</t>
  </si>
  <si>
    <t>察隅县下察隅镇共同村昂美组公路改建工程</t>
  </si>
  <si>
    <t>确权资料+立项批复，审定金额来源不明，已经按22890900元确权</t>
  </si>
  <si>
    <t>察隅县下察隅镇自更村水渠建设工程</t>
  </si>
  <si>
    <t>确权资料+立项批复+50-1000万台账，审定金额来源不明，已经按945400元确权</t>
  </si>
  <si>
    <t>察隅县竹瓦根镇学尼村现代设施农业建设项目</t>
  </si>
  <si>
    <t>林芝市察隅县2019年农村饮水安全巩固提升工程</t>
  </si>
  <si>
    <t>察隅县水利局</t>
  </si>
  <si>
    <t>察隅县古拉乡则巴村俄库组道路整治工程建</t>
  </si>
  <si>
    <t>确权资料+50-1000万台账（审定金额无）+本项目按照945500确权</t>
  </si>
  <si>
    <t>察隅县古玉乡玉和村达达组主干道建设项目</t>
  </si>
  <si>
    <t>察隅县产业扶贫竹巴村茶叶种植项目</t>
  </si>
  <si>
    <t>确权资料，按360万确权+项目资料</t>
  </si>
  <si>
    <t>察隅县扶贫开发投资有限公司</t>
  </si>
  <si>
    <t>古拉乡安巴村石榴种植项目</t>
  </si>
  <si>
    <t>察隅县察瓦龙乡龙布村羊肚菌种植项目</t>
  </si>
  <si>
    <t>察瓦龙乡人民政府</t>
  </si>
  <si>
    <t>察隅县察瓦龙乡龙布村灵芝种植项目</t>
  </si>
  <si>
    <t>察隅县下察隅镇京都村柑橘项目</t>
  </si>
  <si>
    <t>确权资料+50-1000万财评统计表（没有审定金额），台账审定金额来源待查</t>
  </si>
  <si>
    <t>察隅县察瓦龙乡拉卡村软籽石榴种植项目</t>
  </si>
  <si>
    <t>察隅县察瓦龙乡龙普村软籽石榴种植项目</t>
  </si>
  <si>
    <t>确权资料（确权金额和台账审定金额不一致，但是没有支付财评）</t>
  </si>
  <si>
    <t>察隅县农业农村局</t>
  </si>
  <si>
    <t>察隅县察瓦龙乡昌西村软籽石榴种植项目</t>
  </si>
  <si>
    <t>确权资料，审定金额待定</t>
  </si>
  <si>
    <t>古玉乡然乌学村农田灌溉水利设施建设项目</t>
  </si>
  <si>
    <t>确权资料+50-1000万台账，本项目确权金额和台账金额一致，但审定金额来源需核实</t>
  </si>
  <si>
    <t>察隅县古拉乡俄玉村农田灌溉水渠建设项目</t>
  </si>
  <si>
    <t>察隅县下察隅镇拉丁、布巴村农村饮水安全巩固提升工程</t>
  </si>
  <si>
    <t>察隅县古玉乡博学村堆拉组水渠建设项目</t>
  </si>
  <si>
    <t>疑似确权</t>
  </si>
  <si>
    <t>古玉乡人民政府</t>
  </si>
  <si>
    <t>察隅县2020年农村饮水安全设施维修改造工程</t>
  </si>
  <si>
    <t>察隅县下察隅镇布巴村石围墙建设项目</t>
  </si>
  <si>
    <t>确权资料，台账审定金额来源待确定，已经按269200确权</t>
  </si>
  <si>
    <t>察隅县下察隅镇竹尼片区农田围墙建设项目</t>
  </si>
  <si>
    <t>确权资料+50-1000万台账+立项批复</t>
  </si>
  <si>
    <t>察隅县竹瓦根镇雄久村基础设施建设项目</t>
  </si>
  <si>
    <t>察隅县察瓦龙乡扎那村机耕道建设项目</t>
  </si>
  <si>
    <t>察隅县察瓦龙乡龙布村安全饮水工程建设项目</t>
  </si>
  <si>
    <t>察隅县古拉乡俄玉村土地提升改造项目</t>
  </si>
  <si>
    <t>察隅县上察隅镇格拥村茶叶种植项目</t>
  </si>
  <si>
    <t>察隅县古拉乡关龙村人居环境综合整治项目</t>
  </si>
  <si>
    <t>察隅县察瓦龙乡扎那村软籽石榴种植项目</t>
  </si>
  <si>
    <t>察隅县上察隅镇到户产业温室大棚维修项目</t>
  </si>
  <si>
    <t>无资料</t>
  </si>
  <si>
    <t>察隅县察瓦龙乡大流沙石榴种植项目</t>
  </si>
  <si>
    <t>立项批复+还未财评</t>
  </si>
  <si>
    <t>察隅县乡村振兴局</t>
  </si>
  <si>
    <t>察隅县察瓦龙乡阿丙村石榴种植项目三期</t>
  </si>
  <si>
    <t>概批+50-1000万财评台账</t>
  </si>
  <si>
    <t>察隅县察瓦龙乡格布、龙布等村入户道路建设项目</t>
  </si>
  <si>
    <t>察隅县上察隅镇仕中、阿扎等村入户道路项目</t>
  </si>
  <si>
    <t>立项+50-1000万台账</t>
  </si>
  <si>
    <t>察隅县竹瓦根镇高寒牧区高产养殖项目二期</t>
  </si>
  <si>
    <t>察隅县下察隅镇夏尼村基础设施建设项目</t>
  </si>
  <si>
    <t>立项批复+财评+50-1000万台账</t>
  </si>
  <si>
    <t>察隅县下察隅镇沙玛村基础设施建设项目</t>
  </si>
  <si>
    <t>立项批复+财评</t>
  </si>
  <si>
    <t>察隅县古玉乡巴依、玉和村犏牛养殖项目</t>
  </si>
  <si>
    <t>财评+50-1000万台账</t>
  </si>
  <si>
    <t>察隅县2022年察瓦龙乡目巴村提升改造项目</t>
  </si>
  <si>
    <t>古拉乡关龙村道路延伸建设项目</t>
  </si>
  <si>
    <t>确权资料+50-1000万台账（审定金额无）+本项目按照70万确权</t>
  </si>
  <si>
    <t>察隅县民族宗教事务局</t>
  </si>
  <si>
    <t>察隅县卡地村易地扶贫搬迁土地治理建设项目</t>
  </si>
  <si>
    <t>资料来源于"5.农业农村局及相关提交的资料\在农业农村局收到的资料\邓老师提供\17年\附件1：察隅县2017年国家投资重点项目（续建+新建项目）统计表.xlsx"，50-1000万台账有财评数据</t>
  </si>
  <si>
    <t>扶贫办</t>
  </si>
  <si>
    <t>察隅县古拉乡察空片区农田整治及机耕道建设项目</t>
  </si>
  <si>
    <t>察瓦龙乡沙布村骡马驿道建设项目</t>
  </si>
  <si>
    <t>立项批复</t>
  </si>
  <si>
    <t>察隅县察瓦龙乡龙布村重楼种植项目</t>
  </si>
  <si>
    <t>察隅县察瓦龙乡扎恩村重楼种植项目</t>
  </si>
  <si>
    <t>察隅县察瓦龙乡苗圃基地建设项目</t>
  </si>
  <si>
    <t>察隅县上察隅镇西巴村铁皮石斛种植扩建项目</t>
  </si>
  <si>
    <t>上察隅人民政府</t>
  </si>
  <si>
    <t>察隅县古玉乡古井村藏香猪养殖项目</t>
  </si>
  <si>
    <t>察隅县古玉乡古井村藏鸡养殖项目</t>
  </si>
  <si>
    <t>察隅县竹瓦根镇扎拉村阿多专业养殖合作社项目</t>
  </si>
  <si>
    <t>察隅县竹瓦根镇桑久村藏香猪养殖项目</t>
  </si>
  <si>
    <t>察隅县古玉乡博学村犏奶牛养殖场扩建项目</t>
  </si>
  <si>
    <t>下察隅镇京都村藏香猪养殖项目</t>
  </si>
  <si>
    <t>察隅县古拉乡俄玉村藏香猪养殖项目</t>
  </si>
  <si>
    <t>察隅县产业扶贫毕达村茶叶种植项目</t>
  </si>
  <si>
    <t>确权资料+50-1000万台账，有决算报告，但是无法判定自筹和国家投资</t>
  </si>
  <si>
    <t>察隅县产业扶贫松古村茶叶种植项目</t>
  </si>
  <si>
    <t>西藏牧野香畜禽养殖基地建设项目</t>
  </si>
  <si>
    <t>察隅县察瓦龙乡卡地村软籽石榴种植基地建设项目</t>
  </si>
  <si>
    <t>察隅县察瓦龙乡格布村软籽石榴种植基地建设项目</t>
  </si>
  <si>
    <t>本项目审定金额需要核实，实际确权金额1558200元</t>
  </si>
  <si>
    <t>察隅县察瓦龙乡左布村软籽石榴种植基地建设项目</t>
  </si>
  <si>
    <t>察隅县察瓦龙乡处尼村软籽石榴种植基地建设项目</t>
  </si>
  <si>
    <t>察隅县察瓦龙乡沙布村软籽石榴种植基地建设项目</t>
  </si>
  <si>
    <t>察隅县古拉乡察空村软籽石榴种植基地建设项目</t>
  </si>
  <si>
    <t>察隅县产业扶贫猕猴桃种植基地建设项目</t>
  </si>
  <si>
    <t>确权资料+50-1000万财评统计表（没有审定金额）</t>
  </si>
  <si>
    <t>县扶贫开发投资有限公司</t>
  </si>
  <si>
    <t>察隅县古拉乡关龙村三家组道路工程建设项目</t>
  </si>
  <si>
    <t>确权资料+50-1000万台账(没有明确审定金额），台账金额来源待核实</t>
  </si>
  <si>
    <t>察隅县察瓦龙乡扎恩村软籽石榴种植基地建设项目</t>
  </si>
  <si>
    <t>立项批复+50-1000万台账（未注明审定金额）</t>
  </si>
  <si>
    <t>察隅县林业和草原局</t>
  </si>
  <si>
    <t>察隅县察瓦龙乡昌西村软籽石榴种植基地建设项目</t>
  </si>
  <si>
    <t>竹瓦根镇空档村“4+1”藏鸡养殖项目</t>
  </si>
  <si>
    <t>确权资料+本项目按照621100确权</t>
  </si>
  <si>
    <t>下察隅镇沙琼村藏香猪养殖项目</t>
  </si>
  <si>
    <t>下察隅镇自更村仁青罗布生态养殖专业合作社藏香猪养殖项目</t>
  </si>
  <si>
    <t>下察隅镇人民政府</t>
  </si>
  <si>
    <t>下察隅镇拉丁村藏香猪养殖项目</t>
  </si>
  <si>
    <t>下察隅镇塔玛村藏猪养殖项目</t>
  </si>
  <si>
    <t>察隅县竹瓦根镇扎拉村“4+1”藏鸡养殖项目</t>
  </si>
  <si>
    <t>察隅县2019年庭院经济扶贫种植项目</t>
  </si>
  <si>
    <t>立项批复，审定金额待定</t>
  </si>
  <si>
    <t>察隅县古拉乡则巴村扩建核桃加工项目</t>
  </si>
  <si>
    <t>察隅县上察隅镇本堆村茶叶种植项目</t>
  </si>
  <si>
    <t>察隅县上察隅镇本堆村函部茶叶种植项目</t>
  </si>
  <si>
    <t>察瓦龙乡扎恩村旅游民宿客栈建设项目</t>
  </si>
  <si>
    <t>察隅县察瓦龙乡洪东村石榴种植项目</t>
  </si>
  <si>
    <t>察隅县育肥饲料（青贮玉米）加工厂项目</t>
  </si>
  <si>
    <t>察隅县察瓦龙乡珠拉村石榴种植项目</t>
  </si>
  <si>
    <t>察隅县察瓦龙乡阿丙村石榴种植项目</t>
  </si>
  <si>
    <t>台账审定金额是按确权资料1630000元</t>
  </si>
  <si>
    <t>察隅县察瓦龙乡龙布村石榴种植项目</t>
  </si>
  <si>
    <t>察隅县竹瓦根镇学尼搬迁村桥梁新建工程</t>
  </si>
  <si>
    <t>本项目按照9,236,948.70元确权，台账金额不一致，需要核实资金</t>
  </si>
  <si>
    <t>察隅县茶叶园区茶叶生产基地二期工程建设项目</t>
  </si>
  <si>
    <t>立项批复+超过1千万的财评台账（23年）</t>
  </si>
  <si>
    <t>察隅县上察隅镇翠兴村入户道路建设项目</t>
  </si>
  <si>
    <t>没有审定金额依据，只有立项批复</t>
  </si>
  <si>
    <t>察隅县贫困户藏猪养殖项目</t>
  </si>
  <si>
    <t>项目资料</t>
  </si>
  <si>
    <t>察隅县农牧局</t>
  </si>
  <si>
    <t>察隅县贫困户养殖鸡项目</t>
  </si>
  <si>
    <t>项目资料+确权资料</t>
  </si>
  <si>
    <t>察隅县古拉乡沙美村集体经济建设用房项目</t>
  </si>
  <si>
    <t>上察隅镇阿扎村至阿扎冰川公路工程</t>
  </si>
  <si>
    <t>立项批复+50-1000万台账（为注明审定金额）</t>
  </si>
  <si>
    <t>察隅县五保集中供养中心供暖建设项目</t>
  </si>
  <si>
    <t>察隅县民政局</t>
  </si>
  <si>
    <t>察隅县察瓦龙乡梦扎村扎哈组扶贫搬迁项目</t>
  </si>
  <si>
    <t>确权资料+财评</t>
  </si>
  <si>
    <t>察隅县察瓦龙乡农贸市场建设项目</t>
  </si>
  <si>
    <t>察隅县商务局</t>
  </si>
  <si>
    <t>2019年以工代赈-察隅县沙琼村基础设施建设项目</t>
  </si>
  <si>
    <t>确权资金，已经按照批复确权，审定金额待定</t>
  </si>
  <si>
    <t>古拉乡觉布如村人居环境综合整治建设项目</t>
  </si>
  <si>
    <t>察隅县上察隅镇荣玉村第二期茶叶种植项目</t>
  </si>
  <si>
    <t>确权资料+超过1千万的财评台账（23年）</t>
  </si>
  <si>
    <t>察隅县下察隅镇松古村茶叶种植项目</t>
  </si>
  <si>
    <t>确权资料，本项目按照14310000确权，未看到财评</t>
  </si>
  <si>
    <t>察隅县上察隅镇松林村茶叶种植项目</t>
  </si>
  <si>
    <t>确权资料+50-1000万台账，按5690000确权，台账审定金额来源待确定</t>
  </si>
  <si>
    <t>察隅县下察隅镇共同村昂美组灌溉饮水维修工程</t>
  </si>
  <si>
    <t>确权资料，本项目按照423100确权</t>
  </si>
  <si>
    <t>察隅县竹瓦根镇高寒牧区高产养殖项目</t>
  </si>
  <si>
    <t>察隅县上察隅镇荣玉村茶叶粗加工坊建设项目</t>
  </si>
  <si>
    <t>察隅县下察隅镇松古村茶叶粗加工坊建设项目</t>
  </si>
  <si>
    <t>察隅县古拉乡安巴村软籽石榴种植项目二期</t>
  </si>
  <si>
    <t>察隅县察瓦龙乡原岗藏村石榴种植项目</t>
  </si>
  <si>
    <t>察隅县古拉乡俄库组石榴种植项目</t>
  </si>
  <si>
    <t>察隅县古拉乡日托村石榴种植项目</t>
  </si>
  <si>
    <t>察隅县竹瓦根镇城郊蔬菜种植项目</t>
  </si>
  <si>
    <t>察隅县察瓦龙乡城郊蔬菜种植项目</t>
  </si>
  <si>
    <t>察隅县下察隅镇夏尼村旅游配套设施建设项目</t>
  </si>
  <si>
    <t>察隅县下察隅镇布巴村猕猴桃园提升项目</t>
  </si>
  <si>
    <t>察隅县上、下察隅镇木耳种植项目</t>
  </si>
  <si>
    <t>察隅县察瓦龙乡邓许村基础设施建设项目</t>
  </si>
  <si>
    <t>财评批复</t>
  </si>
  <si>
    <t>察隅县古玉乡玉和村基础设施建设项目</t>
  </si>
  <si>
    <t>察隅县下察隅镇卡地村易地扶贫搬迁安置工程</t>
  </si>
  <si>
    <t>察隅县安居办</t>
  </si>
  <si>
    <t>察隅县察瓦龙乡、古拉乡小康村建设项目之古拉乡安巴村建设项目</t>
  </si>
  <si>
    <t>县小康示范村领导小组办公室</t>
  </si>
  <si>
    <t>察隅县城民族特色化改造工程三期工程建设项目</t>
  </si>
  <si>
    <t>察隅县住建局</t>
  </si>
  <si>
    <t>察隅县嘎巴二桥市政桥梁工程建设项目</t>
  </si>
  <si>
    <t>察隅县三小温馨工程建设项目</t>
  </si>
  <si>
    <t>察隅县人民法院</t>
  </si>
  <si>
    <t>察隅县下察隅镇夏尼村猕猴桃产业园区建设项目</t>
  </si>
  <si>
    <t>农牧局</t>
  </si>
  <si>
    <t>察隅县古拉乡基础设施升级改造建设项目</t>
  </si>
  <si>
    <t>立项批复+19-25年台账（19年）</t>
  </si>
  <si>
    <t>察隅县汽修市场建设项目</t>
  </si>
  <si>
    <t>察隅县察瓦龙乡、古拉乡小康村建设项目之俄玉村建设项目</t>
  </si>
  <si>
    <t>察隅县察瓦龙乡、古拉乡小康村建设之康然村建设项目</t>
  </si>
  <si>
    <t>资料来源于3.现场踏勘照片-现场及一些现场拍的资料-察隅县-察瓦龙乡项目表（最新）</t>
  </si>
  <si>
    <t>察隅县察瓦龙乡、古拉乡小康村建设之前中瓦村建设项目</t>
  </si>
  <si>
    <t>察隅县察瓦龙乡、古拉乡小康村建设项目之日托村</t>
  </si>
  <si>
    <t>察隅县察瓦龙乡、古拉乡小康村建设项目之左布村</t>
  </si>
  <si>
    <t>察隅县察瓦龙乡、古拉乡小康村建设项目之目巴村</t>
  </si>
  <si>
    <t>察隅县察瓦龙乡、古拉乡小康村建设项目之龙普村</t>
  </si>
  <si>
    <t>察隅县察瓦龙乡、古拉乡小康村建设项目之沙堆村</t>
  </si>
  <si>
    <t>察隅县古拉乡关龙村、沙堆村小康村建设项目</t>
  </si>
  <si>
    <t>察隅县上察隅镇易地搬迁高标准农田整治项目</t>
  </si>
  <si>
    <t>察瓦龙乡龙普村入户道路建设项目</t>
  </si>
  <si>
    <t>察隅县察瓦龙乡格布村机耕道建设项目</t>
  </si>
  <si>
    <t>察隅县察瓦龙乡学巴村土地提升改造项目</t>
  </si>
  <si>
    <t>察隅县古玉乡布玉村人饮及牲畜饮水提升改造项目</t>
  </si>
  <si>
    <t>察隅县上察隅镇竹巴村水渠维修工程</t>
  </si>
  <si>
    <t>察隅县上察隅镇巩固村水渠建设项目二期</t>
  </si>
  <si>
    <t>察隅县下察隅镇拉丁村搬迁点饮水工程</t>
  </si>
  <si>
    <t>察隅县竹瓦根镇学尼村旅游配套设施建设项目</t>
  </si>
  <si>
    <t>察隅县古玉乡布玉村农田网围栏及围墙建设项目</t>
  </si>
  <si>
    <t>察隅县古玉乡罗马村人畜分离(钢架桥)建设项目</t>
  </si>
  <si>
    <t>察隅县察瓦龙乡冷链库建设项目</t>
  </si>
  <si>
    <t>财评</t>
  </si>
  <si>
    <t>察隅县巩固村搬迁配套茶叶种植项目</t>
  </si>
  <si>
    <t>上察隅镇布宗村、桑巴亚中村农田灌溉水渠建设项目</t>
  </si>
  <si>
    <t>还未财评</t>
  </si>
  <si>
    <t>察隅县下察隅镇卡地、竹尼等村农田灌溉水渠建设项目</t>
  </si>
  <si>
    <t>察隅县上察隅镇目宗村农田灌溉水渠建设项目</t>
  </si>
  <si>
    <t>察隅县下察隅镇日玛村、塔玛村农田灌溉水渠建设项目</t>
  </si>
  <si>
    <t>林芝市察隅县下察隅镇拉丁村2号安置点建设项目</t>
  </si>
  <si>
    <t>立项+超1千万财评25年</t>
  </si>
  <si>
    <t>察隅县住房和城乡建设局</t>
  </si>
  <si>
    <t>察隅县古拉乡俄玉村基础设施改造提升项目</t>
  </si>
  <si>
    <t>立项批复+未财评</t>
  </si>
  <si>
    <t>察隅县古玉乡犏牛养殖场配套设施项目</t>
  </si>
  <si>
    <t>察隅县2021年乡村示范村人居环境整治项目</t>
  </si>
  <si>
    <t xml:space="preserve">财评 </t>
  </si>
  <si>
    <t>察隅县古玉乡布玉村排污建设项目</t>
  </si>
  <si>
    <t>立项批复，未财评</t>
  </si>
  <si>
    <t>察隅县上察隅镇布宗村温室大棚建设项目</t>
  </si>
  <si>
    <t>察隅县察瓦龙乡学巴村防洪堤工程</t>
  </si>
  <si>
    <t>察隅县察瓦龙乡龙普村道路硬化项目</t>
  </si>
  <si>
    <t>察隅县古拉乡觉布如村人居环境整治项目</t>
  </si>
  <si>
    <t>察隅县察瓦龙乡处尼村、拉卡村小康村
建设项目</t>
  </si>
  <si>
    <t>察隅县察瓦龙乡格德村、格日村小康村建设项目</t>
  </si>
  <si>
    <t>察隅县空档村溪桥项目</t>
  </si>
  <si>
    <t>立项批复+项目资料</t>
  </si>
  <si>
    <t>察隅县竹瓦根镇基础设施改造建设项目</t>
  </si>
  <si>
    <t>林芝市察隅县上察隅镇巩固村抵边搬迁建设项目</t>
  </si>
  <si>
    <t>立项+超1千万财评24年</t>
  </si>
  <si>
    <t>察隅县义务教育教学条件改善工程</t>
  </si>
  <si>
    <t>察隅县教育局</t>
  </si>
  <si>
    <t>察隅县农产品加工产业园项目</t>
  </si>
  <si>
    <t>察隅县古玉乡罗马村整村推进项目</t>
  </si>
  <si>
    <t>下察隅镇嘎堆嘎美村基础设施提升改造工程项目</t>
  </si>
  <si>
    <t>察瓦龙乡布巴村土地开垦项目</t>
  </si>
  <si>
    <t>察瓦龙乡昌西村新建草场道</t>
  </si>
  <si>
    <t>数据来源于3.现场踏勘照片-现场及一些现场拍的资料-察隅县-察瓦龙乡项目表（最新）</t>
  </si>
  <si>
    <t>阿丙村灌溉饮水工程建设事项</t>
  </si>
  <si>
    <t>扎然村保护耕地项目工程</t>
  </si>
  <si>
    <t>察隅县察瓦龙乡扎古村灌溉工程</t>
  </si>
  <si>
    <t>扎然村灌溉水渠项目工程</t>
  </si>
  <si>
    <t>察隅县察瓦龙乡经济林木试验基地饮水项目</t>
  </si>
  <si>
    <t>察隅县察瓦龙乡邓许村雄组灌溉水渠及骡马驿道</t>
  </si>
  <si>
    <t>察瓦龙乡昌西村石榴品种改良项目</t>
  </si>
  <si>
    <t>察隅县8个小康示范村建设工程</t>
  </si>
  <si>
    <t>数据统计来源于察隅县2015年援藏投资项目计划表（被审计单位文件夹，附件2：援藏项目）</t>
  </si>
  <si>
    <t>察隅县察瓦龙乡小集镇二期建设</t>
  </si>
  <si>
    <t>察隅县12个偏远村“六通”工程</t>
  </si>
  <si>
    <t>梦扎村网围栏及饮水建设项目</t>
  </si>
  <si>
    <t>扎恩村（三家组）村水渠建设项目</t>
  </si>
  <si>
    <t>上察隅镇整乡推进扶贫</t>
  </si>
  <si>
    <t>察隅县受援办</t>
  </si>
  <si>
    <t>察隅县古拉乡小集镇建设</t>
  </si>
  <si>
    <t>察隅县下察隅镇小集镇二期建设</t>
  </si>
  <si>
    <t>察隅县古玉乡小集镇建设</t>
  </si>
  <si>
    <t>察隅县街道立面民俗化改造工程</t>
  </si>
  <si>
    <t>罗马桃花村旅游资源升级改造项目</t>
  </si>
  <si>
    <t>数据统计来源于察隅县2015年援藏投资项目计划表（被审计单位文件夹，附件2：援藏项目）+项目资料</t>
  </si>
  <si>
    <t>古玉乡人民政府\察隅县受援办</t>
  </si>
  <si>
    <t>察隅县古拉乡目本村、格巴村整体搬迁</t>
  </si>
  <si>
    <t>察瓦龙乡第二批贫困帮扶购置项目</t>
  </si>
  <si>
    <t>阿丙村家庭旅馆风格改造工程</t>
  </si>
  <si>
    <t>察隅县察瓦龙乡人民政府</t>
  </si>
  <si>
    <t>察瓦龙乡瓦布村吊桥建设工程</t>
  </si>
  <si>
    <t>资料来源于文件夹-被审计单位资料-邓老师提供-15年-15年国家</t>
  </si>
  <si>
    <t>察隅县财政局</t>
  </si>
  <si>
    <t>察隅县古玉乡罗马村农家乐</t>
  </si>
  <si>
    <t>数据来源于3.现场踏勘照片-现场及一些现场拍的资料-察隅县-察隅县古玉乡帮扶产业项目统计表</t>
  </si>
  <si>
    <t>罗马村村委会</t>
  </si>
  <si>
    <t>察隅县易地扶贫搬迁分散安置项目</t>
  </si>
  <si>
    <t>数据来源于察隅县2016年脱贫攻坚项目汇总表</t>
  </si>
  <si>
    <t>察隅县格巴村集中安置易地扶贫搬迁</t>
  </si>
  <si>
    <t>察隅县竹瓦根镇学尼村零散户易地扶贫搬迁补助资金</t>
  </si>
  <si>
    <t>六乡镇查漏补缺资金</t>
  </si>
  <si>
    <t>数据来源于察隅县2016年脱贫攻坚项目汇总表+确权资料</t>
  </si>
  <si>
    <t>六乡镇</t>
  </si>
  <si>
    <t>古拉乡核桃粮油加工坊</t>
  </si>
  <si>
    <t>数据来源于附件8：2016年项目建设计划</t>
  </si>
  <si>
    <t>古拉乡觉布如村布如组至恰学组通组道路</t>
  </si>
  <si>
    <t>数据源于邓老师提供-16年-附件8：2016年项目建设计划</t>
  </si>
  <si>
    <t>古拉乡觉布如村村觉巴组村道硬化</t>
  </si>
  <si>
    <t>察隅县家具、家电购置项目</t>
  </si>
  <si>
    <t>察隅县房屋改造项目</t>
  </si>
  <si>
    <t>察隅县机械购置项目</t>
  </si>
  <si>
    <t>察隅县牦牛养殖项目</t>
  </si>
  <si>
    <t>察隅县养羊项目</t>
  </si>
  <si>
    <t>察隅县特色种植项目</t>
  </si>
  <si>
    <t>扎那村物流中心</t>
  </si>
  <si>
    <t>典学组至龙冲组村道硬化</t>
  </si>
  <si>
    <t>玉和村布玉组牧场道路</t>
  </si>
  <si>
    <t>玉和村新建水泥大桥</t>
  </si>
  <si>
    <t>玉和村牧场道路加宽</t>
  </si>
  <si>
    <t>古井村龙古龙巴桥梁修建</t>
  </si>
  <si>
    <t>农场桥道路</t>
  </si>
  <si>
    <t>拥组道路硬化</t>
  </si>
  <si>
    <t>普冲饮水水渠重建</t>
  </si>
  <si>
    <t>增扎组水渠建设项目</t>
  </si>
  <si>
    <t>古拉乡则巴村俄库组就地搬迁项目</t>
  </si>
  <si>
    <t>古拉乡龙日牧场道路建设项目</t>
  </si>
  <si>
    <t>安巴村灌溉饮水渠</t>
  </si>
  <si>
    <t>古拉乡则巴村菩提树种植及加工项目</t>
  </si>
  <si>
    <t>古拉乡则巴村俄库组通组道路修建</t>
  </si>
  <si>
    <t>察空村至通学组通组道路修建</t>
  </si>
  <si>
    <t>古拉乡贫困村微耕机购置</t>
  </si>
  <si>
    <t>下察隅镇辣椒种植项目</t>
  </si>
  <si>
    <t>上察隅镇木碗加工项目</t>
  </si>
  <si>
    <t>古拉乡集体运输项目</t>
  </si>
  <si>
    <t>古拉乡关龙村牧场道路建设</t>
  </si>
  <si>
    <t>察瓦龙乡藏鸡养殖项目</t>
  </si>
  <si>
    <t>确权资料+2013年批复项目汇总表</t>
  </si>
  <si>
    <t>察瓦龙乡藏猪养殖项目</t>
  </si>
  <si>
    <t>察瓦龙乡贫困户温室大棚建设项目</t>
  </si>
  <si>
    <t>在察隅县大棚里面有张确权表</t>
  </si>
  <si>
    <t>察瓦龙乡贫困养鸡项目</t>
  </si>
  <si>
    <t>在察隅县养鸡里面有张确权表</t>
  </si>
  <si>
    <t>察瓦龙乡贫困户养猪项目</t>
  </si>
  <si>
    <t>在察隅县养猪里面有张确权表</t>
  </si>
  <si>
    <t>察隅县易地扶贫搬迁格巴村级活动场所建设项目</t>
  </si>
  <si>
    <t>察隅县2016年度农业综合开发土地整理项目</t>
  </si>
  <si>
    <t>数据来源于3.现场踏勘照片-现场及一些现场拍的资料-察隅县-熊局9.17汇总2016-2020年脱贫攻坚项目汇总表10.19版(1)-林芝市2016年</t>
  </si>
  <si>
    <t>察隅县扶贫办</t>
  </si>
  <si>
    <t>察隅县2016年小型农田水利重点县设施建设补助专项资金</t>
  </si>
  <si>
    <t>察隅县察瓦龙乡微耕机购置项目</t>
  </si>
  <si>
    <t>贫困户入户大棚修复项目</t>
  </si>
  <si>
    <t>数据来源于3.现场踏勘照片-现场及一些现场拍的资料-察隅县-熊局9.17汇总2016-2020年脱贫攻坚项目汇总表10.19版(1)-林芝市2017年</t>
  </si>
  <si>
    <t>察隅县荣玉村2018年有机茶叶种植项目</t>
  </si>
  <si>
    <t>本项目资料和确权资料同名，但是内容不一样，需要核实本项目来源</t>
  </si>
  <si>
    <t>察隅县体育村2018年有机茶叶种植项目</t>
  </si>
  <si>
    <t>察隅县上察隅镇西巴村珞巴民族服饰加工项目</t>
  </si>
  <si>
    <t>察瓦龙乡房屋提升改造项目</t>
  </si>
  <si>
    <t>数据来源于察隅县2017年脱贫攻坚项目汇总表</t>
  </si>
  <si>
    <t>古拉乡房屋提升改造项目</t>
  </si>
  <si>
    <t>察隅县精准扶贫家具家电购置项目</t>
  </si>
  <si>
    <t>BJ小康村建设</t>
  </si>
  <si>
    <t>数据来源于察隅县2017年脱贫攻坚项目汇总表（1199万元）+察隅县2019年贫困县统筹整合资金方案（1889万元）</t>
  </si>
  <si>
    <t>发改委</t>
  </si>
  <si>
    <t>察隅县古玉乡博学村传统工艺品加工坊项目</t>
  </si>
  <si>
    <t>数据来源于察隅县古玉乡帮扶产业项目统计表</t>
  </si>
  <si>
    <t>察隅县古玉乡博学村超市茶馆</t>
  </si>
  <si>
    <t>博学村村民委员会</t>
  </si>
  <si>
    <t>察隅县古玉乡罗马村松茸加工坊</t>
  </si>
  <si>
    <t>察隅县茶叶产业项目（第二批）</t>
  </si>
  <si>
    <t>数据来源于附件1：2019年12月份项目月报(最终版)（新建）</t>
  </si>
  <si>
    <t>察隅县产业发展工作领导小组办公室</t>
  </si>
  <si>
    <t>古拉乡人居环境改造项目</t>
  </si>
  <si>
    <t>古拉乡生态乡村基础设施建设项目</t>
  </si>
  <si>
    <t>龙普村嘉兴组犏奶牛项目</t>
  </si>
  <si>
    <t>察瓦龙乡、古拉乡2018年秋季庭院经济项目</t>
  </si>
  <si>
    <t>察隅县察瓦龙乡扶贫查漏补缺采购项目</t>
  </si>
  <si>
    <t>50-1000万台账里面没有财评金额，需要核实，确权是按台账审定金额确权</t>
  </si>
  <si>
    <t>人居环境提升改造项目</t>
  </si>
  <si>
    <t>数据来源于察隅县2018年脱贫攻坚项目汇总表</t>
  </si>
  <si>
    <t>古拉乡</t>
  </si>
  <si>
    <t>察瓦龙乡建档立卡户房屋重建及提升改造缺口资金</t>
  </si>
  <si>
    <t>确权资料几个村一起，无法判定本项目是否确权</t>
  </si>
  <si>
    <t>察隅县公路沿线、景区景点村及试点村附属民房屋顶改造项目</t>
  </si>
  <si>
    <t>房屋危房改造缺口资金</t>
  </si>
  <si>
    <t>察隅县古玉乡古井村松茸加工房</t>
  </si>
  <si>
    <t>察隅县古玉乡然乌学村然乌学组松茸加工坊</t>
  </si>
  <si>
    <t>数据来源于2013年批复项目汇总表-“林芝地区2013年批复扶贫项目汇总表”</t>
  </si>
  <si>
    <t>察隅县古玉乡玉和村超市茶馆</t>
  </si>
  <si>
    <t>县委组织部</t>
  </si>
  <si>
    <t>察隅县上察隅镇农业机械采购项目</t>
  </si>
  <si>
    <t>察隅县竹瓦根镇农业机械采购项目</t>
  </si>
  <si>
    <t>察隅县察瓦龙乡农业机械采购项目</t>
  </si>
  <si>
    <t>察隅县古拉乡农业机械采购项目</t>
  </si>
  <si>
    <t>察隅县古玉乡农业机械采购项目</t>
  </si>
  <si>
    <t>察隅县古拉乡日托村、沙堆村人畜分离项目</t>
  </si>
  <si>
    <t>本项目按100万确权，实际投资50-1000万台账没有审定金额，台账金额不知来源</t>
  </si>
  <si>
    <t>古拉乡觉布如村人畜分离项目</t>
  </si>
  <si>
    <t>罗马村农田灌溉水渠等项目</t>
  </si>
  <si>
    <t>数据来源于察隅县2019年贫困县统筹整合资金方案统计表</t>
  </si>
  <si>
    <t>古玉乡</t>
  </si>
  <si>
    <t>察隅县沟道疏浚工程（麻那弄巴山洪沟治理工程）</t>
  </si>
  <si>
    <t>确权资料+50-1000万台账，需要乡镇核实本项目和确权项目是否为同一项目</t>
  </si>
  <si>
    <t>察隅县察瓦龙乡人民政府太阳能（空气能）建设项目</t>
  </si>
  <si>
    <t>察隅县察瓦龙乡经济林种植基地建设项目</t>
  </si>
  <si>
    <t>察隅县雪颠57啤酒厂改扩建项目</t>
  </si>
  <si>
    <t>察瓦龙乡扎然村扎古组农田灌溉水渠维修项目</t>
  </si>
  <si>
    <t>察隅县察瓦龙乡心乡政府水电改造工程</t>
  </si>
  <si>
    <t>察隅县古玉乡罗马村超市茶馆</t>
  </si>
  <si>
    <t>察隅县上察隅镇、下察隅镇村仔猪养殖项目</t>
  </si>
  <si>
    <t>数据来源于熊局9.17汇总2016-2020年脱贫攻坚项目汇总表10.19版(1)（2020）</t>
  </si>
  <si>
    <t>察隅县拉丁村昌林养殖场建设项目</t>
  </si>
  <si>
    <t>合同</t>
  </si>
  <si>
    <t>察隅县古拉乡觉布如村家庭旅馆建设项目</t>
  </si>
  <si>
    <t>古拉乡扶贫开发办公室</t>
  </si>
  <si>
    <t>察隅县下察隅镇夏尼村猕猴桃园提升项目</t>
  </si>
  <si>
    <t>数据来源于察隅县2021年脱贫县统筹整合资金项目统计表</t>
  </si>
  <si>
    <t>察隅县下察隅镇布巴村、沙玛村产业提升项目</t>
  </si>
  <si>
    <t>察隅县下察隅镇夏尼村猕猴桃种植项目</t>
  </si>
  <si>
    <t>实际用了30多万，要翻凭证</t>
  </si>
  <si>
    <t>察隅县古玉乡布玉村人畜分离及土地平整补贴项目</t>
  </si>
  <si>
    <t>察隅县沙玛、夏尼和布玉村垃圾生态化处理建设项目</t>
  </si>
  <si>
    <t>察隅县古玉乡罗马村宾馆</t>
  </si>
  <si>
    <t>2022年牦牛经济杂交利用项目</t>
  </si>
  <si>
    <t>农业局邓老师反馈实际只用了77475元</t>
  </si>
  <si>
    <t>察隅县抵边安置点配套设施项目</t>
  </si>
  <si>
    <t>察瓦龙乡珠拉村拉中组引水项目</t>
  </si>
  <si>
    <t>察隅县下察隅镇沙琼村、洞冲村入股猕猴桃基地项目</t>
  </si>
  <si>
    <t>项目资料（用多少批多少，无需财评）</t>
  </si>
  <si>
    <t>中共察隅县委组织部</t>
  </si>
  <si>
    <t>察隅县布巴超市建设项目</t>
  </si>
  <si>
    <t>察瓦龙乡格布村骡马驿道建设项目</t>
  </si>
  <si>
    <t>察隅县上察隅镇迟巴村产业扶贫</t>
  </si>
  <si>
    <t>察瓦龙乡巴布村、拉卡村、目巴村和沙布村入户道路工程</t>
  </si>
  <si>
    <t>察瓦龙乡梦扎村、岗藏村、邓许村入户道路工程</t>
  </si>
  <si>
    <t>确权资料+超过1千万的财评台账（19年）</t>
  </si>
  <si>
    <t>察瓦龙乡扎那村、珠拉村、扎然村入户道路工程</t>
  </si>
  <si>
    <t>察瓦龙乡前中瓦村、左布村、康然村入户道路工程</t>
  </si>
  <si>
    <t>察瓦龙乡处尼村、格日村入户道路工程</t>
  </si>
  <si>
    <t>林芝市察隅县古拉乡则巴村入户道路工程建设项目</t>
  </si>
  <si>
    <t>林芝市察隅县古拉乡俄玉村、日托村入户道路工程建设项目</t>
  </si>
  <si>
    <t>林芝市察隅县古拉乡觉布如村入户道路工程</t>
  </si>
  <si>
    <t>察隅县古拉乡安巴村、扎兴村入户道路工程建设项目</t>
  </si>
  <si>
    <t>林芝市察隅县古拉乡关龙村入户道路工程</t>
  </si>
  <si>
    <t>林芝市察隅县古拉乡沙堆村入户道路工程建设项目</t>
  </si>
  <si>
    <t>察隅县古玉乡片区深度贫困村庄饮水安全巩固提升工程</t>
  </si>
  <si>
    <t>察隅县古拉乡片区深度贫困村庄饮水安全巩固提升工程</t>
  </si>
  <si>
    <t>本项目按1998335.71确权，实际投资50-1000万台账没有审定金额，台账金额不知来源</t>
  </si>
  <si>
    <t>察隅县察瓦龙乡门空片区深度贫困村庄饮水安全巩固提升工程</t>
  </si>
  <si>
    <t>察隅县察瓦龙乡瓦布片区深度贫困村庄饮水安全巩固提升工程</t>
  </si>
  <si>
    <t>林芝市察隅县古拉乡沙堆村机耕道</t>
  </si>
  <si>
    <t>林芝市察隅县古拉乡则巴村机耕道建设项目</t>
  </si>
  <si>
    <t>本项目按623,393.78确权，实际投资50-1000万台账没有审定金额，台账金额不知来源</t>
  </si>
  <si>
    <t>察隅县古玉乡然乌学村入户道路工程建设项目</t>
  </si>
  <si>
    <t>察隅县古玉乡罗马村入户道路工程建设项目</t>
  </si>
  <si>
    <t>察隅县古玉乡玉和村入户道路工程建设项目</t>
  </si>
  <si>
    <t>察隅县古玉乡博学村入户道路工程建设项目</t>
  </si>
  <si>
    <t>察隅县古玉乡巴依村入户道路工程建设项目</t>
  </si>
  <si>
    <t>察隅县古玉乡古井村入户道路工程建设项目</t>
  </si>
  <si>
    <t>林芝市察隅县古拉乡安巴村机耕道建设项目</t>
  </si>
  <si>
    <t>本项目按913,899.99确权，实际投资50-1000万台账没有审定金额，台账金额不知来源</t>
  </si>
  <si>
    <t>林芝市察隅县古拉乡关龙村机耕道建设项目</t>
  </si>
  <si>
    <t>林芝市察隅县古拉乡觉布如村机耕道建设项目</t>
  </si>
  <si>
    <t>林芝市察隅县古拉乡日托村机耕道建设项目</t>
  </si>
  <si>
    <t>察隅县察瓦龙乡扎那村藏香猪养殖项目</t>
  </si>
  <si>
    <t>察隅县察瓦龙乡前中瓦村核桃榨油坊建设项目</t>
  </si>
  <si>
    <t>察隅县察瓦龙乡处尼村特色农产品加工坊建设项目</t>
  </si>
  <si>
    <t>察隅县2019年高标准农田建设项目</t>
  </si>
  <si>
    <t>立项批复+1000万以上台账（22年）</t>
  </si>
  <si>
    <t>察隅县上察隅镇体育村通迪茶叶种植项目</t>
  </si>
  <si>
    <t>立项批复+19-25年台账（20年）</t>
  </si>
  <si>
    <t>林芝市察隅县古拉乡南雪村机耕道建设项目</t>
  </si>
  <si>
    <t>察隅县下察隅镇拉丁村生物有机肥厂建设项目</t>
  </si>
  <si>
    <t>察隅县察瓦龙乡梦扎村客栈建设项目</t>
  </si>
  <si>
    <t>察隅县目若村农家旅游驿站建设项目</t>
  </si>
  <si>
    <t>察隅县古玉乡罗马村水渠建设项目</t>
  </si>
  <si>
    <t>察隅县上察隅镇荣玉村花椒种植项目</t>
  </si>
  <si>
    <t>察隅县察瓦龙乡阿丙村软籽石榴种植项目二期</t>
  </si>
  <si>
    <t>台账审定金额是按确权资料3169900元</t>
  </si>
  <si>
    <t>察隅县察瓦龙乡旅游特色村镇建设项目</t>
  </si>
  <si>
    <t>察隅县上察隅镇米古村第二期茶叶种植项目</t>
  </si>
  <si>
    <t>察隅县下察隅镇卡地村第二期茶叶种植项目</t>
  </si>
  <si>
    <t>古拉乡则巴村俄库组土地改造项目</t>
  </si>
  <si>
    <t>察隅县察瓦龙乡卫生院二期工程</t>
  </si>
  <si>
    <t>县卫健委</t>
  </si>
  <si>
    <t>察隅县察瓦龙乡松塔村石榴提升项目</t>
  </si>
  <si>
    <t>察隅县察瓦龙乡学巴村供水项目</t>
  </si>
  <si>
    <t>察隅县下察隅镇自更村、共同村、夏尼村道路硬化项目</t>
  </si>
  <si>
    <t>察隅县察瓦龙乡扎恩大桥维修项目</t>
  </si>
  <si>
    <t>察隅县古玉乡玉和、古井等村入户道路建设项目</t>
  </si>
  <si>
    <t>察隅县察瓦龙乡龙普村人居环境综合整治项目</t>
  </si>
  <si>
    <t>察隅县察瓦龙乡左布村石榴种植项目</t>
  </si>
  <si>
    <t>察隅县住建局城管环卫党建服务站建设项目</t>
  </si>
  <si>
    <t>察隅县夏尼村围墙建设项目</t>
  </si>
  <si>
    <t>察隅县竹瓦根镇扎拉村温室大棚维修改造项目</t>
  </si>
  <si>
    <t>察隅县察瓦龙乡特色旅游产业项目</t>
  </si>
  <si>
    <t>立项批复，财评未做</t>
  </si>
  <si>
    <t>察隅县下察隅镇冷链库建设项目</t>
  </si>
  <si>
    <t>立项批复+1000万以上台账（24年）</t>
  </si>
  <si>
    <t>察隅县上察隅镇巩固村搬迁点土地整治项目</t>
  </si>
  <si>
    <t>察隅县自然资源管理局</t>
  </si>
  <si>
    <t>察隅县上察隅镇竹巴村农田灌溉水渠建设项目</t>
  </si>
  <si>
    <t>还未财评+数据来源于察隅县2022年脱贫县统筹整合资金项目统计表</t>
  </si>
  <si>
    <t>察隅县下察隅镇拉丁村搬迁点土地整治项目</t>
  </si>
  <si>
    <t>立项批复+验收报告，反馈还未做财评</t>
  </si>
  <si>
    <t>察隅县上察隅镇本堆村搬迁点土地整治项目</t>
  </si>
  <si>
    <t>察隅县上察隅镇巩固村2号搬迁点土地整治项目</t>
  </si>
  <si>
    <t>立项批复+19-25年台账（25年）</t>
  </si>
  <si>
    <t>察隅县下察隅镇拉丁村2号搬迁点土地整治项目</t>
  </si>
  <si>
    <t>察隅县察瓦龙乡人居环境整治项目</t>
  </si>
  <si>
    <t>察隅县2022年察瓦龙乡康然、格布供水提升建设项目</t>
  </si>
  <si>
    <t>察隅县古拉乡则巴村、安巴村基础设施建设项目</t>
  </si>
  <si>
    <t>察隅县察瓦龙乡龙普村村道建设项目</t>
  </si>
  <si>
    <t>察隅县下察隅镇卡地村引水工程项目</t>
  </si>
  <si>
    <t>立项资料+财评</t>
  </si>
  <si>
    <t>察隅县古玉乡巴依村基础设施建设项目</t>
  </si>
  <si>
    <t>察隅县2022年拉丁村搬迁配套猕猴桃种植项目</t>
  </si>
  <si>
    <t>察隅县上察隅镇本堆村搬迁点防洪堤工程</t>
  </si>
  <si>
    <t>察隅县2022年本堆村搬迁配套茶叶种植项目</t>
  </si>
  <si>
    <t>立项批复+50-1000万财评统计表（没有审定金额）</t>
  </si>
  <si>
    <t>察隅县上察隅镇体育村农田灌溉水渠建设项目</t>
  </si>
  <si>
    <t>察隅县上察隅镇西巴、迟巴等村农田灌溉水渠建设项目</t>
  </si>
  <si>
    <t>察隅县下察隅镇沙琼村、洞冲村农田灌溉水渠建设项目</t>
  </si>
  <si>
    <t>项目资料+还未财评</t>
  </si>
  <si>
    <t>察隅县下察隅镇京都、松古等村农田灌溉水渠建设项目</t>
  </si>
  <si>
    <t>察隅县古玉乡然乌学、古井村水利设施新建项目</t>
  </si>
  <si>
    <t>察隅县古玉乡布玉村水渠建设项目</t>
  </si>
  <si>
    <t>立项批，批复未下</t>
  </si>
  <si>
    <t>察隅县上察隅镇迟巴、体育等村基础设施建设项目</t>
  </si>
  <si>
    <t>察隅县下察隅镇共同、自更等村基础设施补短板建设项目</t>
  </si>
  <si>
    <t>林芝市察隅县上察隅镇巩固村2号安置点建设项目</t>
  </si>
  <si>
    <t>察隅县察瓦龙乡学巴村人居环境整治项目</t>
  </si>
  <si>
    <t>察隅县察瓦龙乡学巴村人畜分离项目</t>
  </si>
  <si>
    <t>察隅县下察隅镇沙玛村枇杷种植水肥一体化项目</t>
  </si>
  <si>
    <t>察隅县察瓦龙乡卫生院实验室改建项目</t>
  </si>
  <si>
    <t>察隅县卫生健康委员会</t>
  </si>
  <si>
    <t>察隅县下察隅镇卡地村茶园提升改造建设项目</t>
  </si>
  <si>
    <t>察隅县下察隅镇卡地村林下菌类种植项目</t>
  </si>
  <si>
    <t>察隅县上察隅镇布宗村林下菌类种植项目</t>
  </si>
  <si>
    <t>察隅县上察隅镇翠兴村村道维修建设项目</t>
  </si>
  <si>
    <t>西藏林芝市察隅县上察隅镇巩固村2号安置点泥石流防治工程</t>
  </si>
  <si>
    <t>察隅县下察隅镇拉丁村2号安置点泥石流治理工程</t>
  </si>
  <si>
    <t>察隅县上察隅镇松林村防洪堤工程</t>
  </si>
  <si>
    <t>立项批复+19-25年台账（24年）</t>
  </si>
  <si>
    <t>察隅县古玉乡然乌学村美丽宜居村推进项目</t>
  </si>
  <si>
    <t>察隅县古玉乡博学村美丽宜居村推进项目</t>
  </si>
  <si>
    <t>察隅县察瓦龙康然村美丽宜居村推进项目</t>
  </si>
  <si>
    <t>察隅县察瓦龙乡前中瓦村美丽宜居村推进项目</t>
  </si>
  <si>
    <t>察隅县察瓦龙乡格德村美丽宜居村推进项目</t>
  </si>
  <si>
    <t>察隅县上察隅镇本堆村美丽宜居村推进项目</t>
  </si>
  <si>
    <t>察隅县下察隅镇沙琼村、新村整村推进项目</t>
  </si>
  <si>
    <t>察隅县人民检察院整体改造项目</t>
  </si>
  <si>
    <t>察隅县人民检察院</t>
  </si>
  <si>
    <t>察隅县上察隅镇桑典村排导沟建设项目</t>
  </si>
  <si>
    <t>察隅县察瓦龙乡集镇供排水改造项目</t>
  </si>
  <si>
    <t>察隅县下察隅镇松古村24道班茶叶种植项目</t>
  </si>
  <si>
    <t>其他资料+50-1000万台账</t>
  </si>
  <si>
    <t>察隅县生态旅游规划及开发</t>
  </si>
  <si>
    <t>文化和旅游局</t>
  </si>
  <si>
    <t>察隅县天麻、石斛等藏药材育种及特色农业发展</t>
  </si>
  <si>
    <t>数据来源于邓老师提供-15年-附件2：援藏项目</t>
  </si>
  <si>
    <t>察隅县人才培训工程</t>
  </si>
  <si>
    <t>2016年度生态岗位补助</t>
  </si>
  <si>
    <t>无需确权</t>
  </si>
  <si>
    <t>察隅县环保局</t>
  </si>
  <si>
    <t>2016年度定向政策性补助</t>
  </si>
  <si>
    <t>2016年度培训资金</t>
  </si>
  <si>
    <t>人社局</t>
  </si>
  <si>
    <t>产业风险补偿担保金</t>
  </si>
  <si>
    <t>察隅县扶贫开发公司</t>
  </si>
  <si>
    <t>察隅县商业扶持项目</t>
  </si>
  <si>
    <t>察隅县培训项目</t>
  </si>
  <si>
    <t>古拉乡贫困户农机驾驶培训</t>
  </si>
  <si>
    <t>察隅县2016年度森林生态效益补偿项目</t>
  </si>
  <si>
    <t>察隅县2016年度农机具购置项目</t>
  </si>
  <si>
    <t>永久片区搬迁户家具家电补贴</t>
  </si>
  <si>
    <t>2017年度生态岗位补助</t>
  </si>
  <si>
    <t>2017年度定向性政策补贴</t>
  </si>
  <si>
    <t>2017年培训资金</t>
  </si>
  <si>
    <t>人社部</t>
  </si>
  <si>
    <t>易地扶贫搬迁户房屋建设补助</t>
  </si>
  <si>
    <t>卡地村易地扶贫搬迁征地补偿款</t>
  </si>
  <si>
    <t>2018年度生态岗位</t>
  </si>
  <si>
    <t>2018年度定向补贴</t>
  </si>
  <si>
    <t>生态岗位补助</t>
  </si>
  <si>
    <t>察隅县2018年扶贫贴息贷款政府贴息部分</t>
  </si>
  <si>
    <t>数据来源于察隅县2020年统筹整合资金项目计划表</t>
  </si>
  <si>
    <t>察隅县农牧民技术培训项目</t>
  </si>
  <si>
    <t>数据来源于察隅县2021年脱贫县统筹整合资金项目统计表（85.52万元）+察隅县2020年统筹整合资金项目计划表（214.48万元）</t>
  </si>
  <si>
    <t>20年人社局，21年是乡村振兴局</t>
  </si>
  <si>
    <t>察隅县易地扶贫搬贷款贴息</t>
  </si>
  <si>
    <t>察隅县2019、2020年扶贫贴息贷款政府贴息</t>
  </si>
  <si>
    <t>察隅县小额信贷风险担保金</t>
  </si>
  <si>
    <t>察隅县扶贫贷款贴息</t>
  </si>
  <si>
    <t>2021年扶贫贷款贴息</t>
  </si>
  <si>
    <t>数据来源于察隅县2022年脱贫县统筹整合资金项目统计表</t>
  </si>
  <si>
    <t>“百家基层党建示范点”奖补项目及示范村建设补助项目</t>
  </si>
  <si>
    <t xml:space="preserve">项目资料 </t>
  </si>
  <si>
    <t>察隅县2022年、2023年树立农牧民新风貌行动补贴资金</t>
  </si>
  <si>
    <t>数据来源于察隅县2023年脱贫县统筹整合资金项目（含村集体经济资金及生态岗位）(1)统计表</t>
  </si>
  <si>
    <t>2022年扶贫贷款贴息</t>
  </si>
  <si>
    <t>2023年生态岗位补助资金项目</t>
  </si>
  <si>
    <t>察隅县上察隅镇西巴村村容村貌整治项目</t>
  </si>
  <si>
    <t>察隅县古玉乡龙冲组集中安置点基础设施建设项目</t>
  </si>
  <si>
    <t>古拉乡运动场路段降坡项目</t>
  </si>
  <si>
    <t>立项批复等资料</t>
  </si>
  <si>
    <t>察隅县上察隅镇翠兴村高标准农田建设项目</t>
  </si>
  <si>
    <t>珠拉村水毁水渠修复工程</t>
  </si>
  <si>
    <t>察瓦龙乡集镇路面恢复项目</t>
  </si>
  <si>
    <t>察隅县察瓦龙乡土地整理（开垦）建设项目</t>
  </si>
  <si>
    <t>察隅县下察隅镇卡地村5户插花式易地扶贫搬迁建设项目</t>
  </si>
  <si>
    <t>察隅县下察隅镇共同村阿美组易地扶贫搬迁安置点基础设施建设项目</t>
  </si>
  <si>
    <t>察瓦龙乡昌西村突尼斯软籽石榴到户种植项目</t>
  </si>
  <si>
    <t>6个到户，是同一项目，没有审定金额，只有立项批复但是和台账不一致</t>
  </si>
  <si>
    <t>察瓦龙乡阿丙村突尼斯软籽石榴到户种植项目</t>
  </si>
  <si>
    <t>察瓦龙乡龙布村突尼斯软籽石榴到户种植项目</t>
  </si>
  <si>
    <t>察瓦龙乡曲珠村突尼斯软籽石榴到户种植项目</t>
  </si>
  <si>
    <t>察瓦龙乡松塔村突尼斯软籽石榴到户种植项目</t>
  </si>
  <si>
    <t>察瓦龙乡扎恩村突尼斯软籽石榴到户种植项目</t>
  </si>
  <si>
    <t>察隅县察瓦龙乡松塔民俗客栈建设项目</t>
  </si>
  <si>
    <t>审定金额无来源，50-1000万的表格里里面没有审定金额</t>
  </si>
  <si>
    <t>察隅县上察隅镇迟巴村菊玉组村道建设项目</t>
  </si>
  <si>
    <t>资金文件+合同</t>
  </si>
  <si>
    <t>察隅县察瓦龙乡前中瓦村骡马驿道工程建设项目</t>
  </si>
  <si>
    <t>察隅县竹瓦根镇目若村泽庄至冬简乡村公路建设项目</t>
  </si>
  <si>
    <t>察隅县上察隅镇菊玉村乡村道路建设项目</t>
  </si>
  <si>
    <t>资金文件+财评</t>
  </si>
  <si>
    <t>察隅县下察隅镇夏尼村机耕道项目</t>
  </si>
  <si>
    <t>确权资料+合同</t>
  </si>
  <si>
    <t>察隅县察瓦龙乡学巴村学葵牧场骡马驿道扩建项目</t>
  </si>
  <si>
    <t>确权资料+财评，本项目按照批复确权</t>
  </si>
  <si>
    <t>察隅县下察隅镇自更村道路建设项目</t>
  </si>
  <si>
    <t>察隅县上察隅镇阿扎村牧场道路建设项目</t>
  </si>
  <si>
    <t>确权资料+合同+察隅县评审项目统计表19年</t>
  </si>
  <si>
    <t>察隅县上察隅镇翠西机耕道路项目</t>
  </si>
  <si>
    <t>察隅县上察隅镇桑巴亚中村机耕道项目</t>
  </si>
  <si>
    <t>察隅县农贸市场综合改造项目</t>
  </si>
  <si>
    <t>察隅县下察隅镇精准扶贫商住楼项目</t>
  </si>
  <si>
    <t>确权资料，台账审定金额来源待确定，已经按8031500确权</t>
  </si>
  <si>
    <t>察隅县察瓦龙乡、古拉乡扶贫庭院经济</t>
  </si>
  <si>
    <t>审定金额来源于确权资料和统计表</t>
  </si>
  <si>
    <t>察隅县异地扶贫产业项目</t>
  </si>
  <si>
    <t>上察隅镇松林村茶叶种植项目（2019）</t>
  </si>
  <si>
    <t>下察隅镇沙玛村茶叶种植项目</t>
  </si>
  <si>
    <t>19-25年台账（23年）有审定金额</t>
  </si>
  <si>
    <t>察隅县下察隅镇嘎腰村茶叶种植项目（2022）</t>
  </si>
  <si>
    <t>察隅县下察隅镇塔玛村等3个茶园提升改造项目</t>
  </si>
  <si>
    <t>合同+超1千万财评（23年）</t>
  </si>
  <si>
    <t>下察隅镇共同村等5个村茶园提升改造项目</t>
  </si>
  <si>
    <t>察隅县下察隅镇扎巴村茶叶种植项目</t>
  </si>
  <si>
    <t>下察隅镇嘎堆嘎美、新村茶叶种植项目</t>
  </si>
  <si>
    <t>下察隅镇巴安通村茶叶种植项目</t>
  </si>
  <si>
    <t>数据来源于察隅县茶产业相关数据统计表3.8</t>
  </si>
  <si>
    <t>察隅县拉丁村搬迁配套茶叶种植项目</t>
  </si>
  <si>
    <t>察隅县巩固村宗巴组茶叶种植项目</t>
  </si>
  <si>
    <t>察隅县巩固村巩固组茶叶种植项目</t>
  </si>
  <si>
    <t>察隅县上察隅镇竹龙巴搬迁配套茶叶种植项目</t>
  </si>
  <si>
    <t>19-25年台账（24年）有审定金额</t>
  </si>
  <si>
    <t>察隅县古拉乡至关龙村公路</t>
  </si>
  <si>
    <t>没有财评资料</t>
  </si>
  <si>
    <t>察隅县上察隅镇西巴村茶叶种植项目</t>
  </si>
  <si>
    <r>
      <rPr>
        <sz val="11"/>
        <rFont val="宋体"/>
        <charset val="134"/>
        <scheme val="minor"/>
      </rPr>
      <t>项目资料，</t>
    </r>
    <r>
      <rPr>
        <sz val="11"/>
        <color rgb="FFFF0000"/>
        <rFont val="宋体"/>
        <charset val="134"/>
        <scheme val="minor"/>
      </rPr>
      <t>缺财评</t>
    </r>
  </si>
  <si>
    <t>上察隅镇巩固村茶叶粗加工坊建设项目</t>
  </si>
  <si>
    <t>察隅县上察隅镇米古村茶叶种植项目</t>
  </si>
  <si>
    <t>19-25年台账（20年）有审定金额</t>
  </si>
  <si>
    <t>察隅县竹瓦根镇巴嘎村茶叶种植项目</t>
  </si>
  <si>
    <t>察隅县产业园区茶叶生产加工基地一期工程建设项目</t>
  </si>
  <si>
    <t>下察隅镇塔林村茶叶粗加工坊建设项目</t>
  </si>
  <si>
    <t>察隅县下察隅镇沙玛村2018年林间套茶树试点项目</t>
  </si>
  <si>
    <t>察隅县上察隅镇米古村2018年林间套种茶树试点项目</t>
  </si>
  <si>
    <t>其他资料+项目统计表19-25年（22年）</t>
  </si>
  <si>
    <t>察隅县下察隅沙琼村茶叶粗加工场项目</t>
  </si>
  <si>
    <t>下察隅镇沙玛村石榴基地套种茶叶项目</t>
  </si>
  <si>
    <t>19-25年台账（21年）有审定金额</t>
  </si>
  <si>
    <t>下察隅镇沙玛村枇杷基地套种茶叶项目</t>
  </si>
  <si>
    <t>林芝市察隅县上察隅镇本堆村至阿扎村公路改建工程</t>
  </si>
  <si>
    <t>根据县交通局反馈及市里发过来的专项债统计，本项目业主是林芝市交通局</t>
  </si>
  <si>
    <t>林芝市交通局</t>
  </si>
  <si>
    <t>林芝市察隅县上察隅镇翠西村至桑巴亚中村公路改建工程</t>
  </si>
  <si>
    <t>察隅县察瓦龙乡目巴村至格日村公路改建工程</t>
  </si>
  <si>
    <t>察隅县古拉乡目本村易地扶贫搬迁集中安置点道路工程</t>
  </si>
  <si>
    <t>察隅县省道201线至沙马村公路改建工程</t>
  </si>
  <si>
    <t>没有财评资料，只使用了这么多专项债</t>
  </si>
  <si>
    <t>察隅县G219线至竹瓦根镇桑久村公路改建工程</t>
  </si>
  <si>
    <t>察隅县嘎新旅游线改建工程</t>
  </si>
  <si>
    <t>察隅县古拉乡日托村至沙堆村公路改建工程</t>
  </si>
  <si>
    <t>林芝市察隅县G219线至竹瓦根镇吉太村公路改建工程</t>
  </si>
  <si>
    <t>下察隅镇沙玛、卡地村茶叶种植基地建设项目</t>
  </si>
  <si>
    <t>察隅县下察隅镇宗古村茶叶种植项目</t>
  </si>
  <si>
    <t>项目资料，清退协议</t>
  </si>
  <si>
    <t>察隅县下察隅镇自更村茶叶种植项目</t>
  </si>
  <si>
    <t>察隅县下察隅镇竹尼村茶叶种植项目</t>
  </si>
  <si>
    <t>察隅县下察隅镇塔玛村茶叶种植项目</t>
  </si>
  <si>
    <t>察隅县下察隅镇塔林村茶叶种植项目</t>
  </si>
  <si>
    <t>察隅县下察隅镇沙琼村茶叶种植项目</t>
  </si>
  <si>
    <t>察隅县下察隅镇共同村茶叶种植项目</t>
  </si>
  <si>
    <t>察隅县下察隅镇嘎腰村茶叶种植项目</t>
  </si>
  <si>
    <t>项目资料，第二次清退资料</t>
  </si>
  <si>
    <t>察隅县下察隅镇嘎堆嘎美村茶叶种植项目</t>
  </si>
  <si>
    <t>察隅县下察隅镇新村茶叶种植项目</t>
  </si>
  <si>
    <t>察隅县下察隅镇扎巴村茶叶种植项目（2019）</t>
  </si>
  <si>
    <t>察隅县2022年巩固村搬迁配套茶叶种植项目</t>
  </si>
  <si>
    <t>察隅县古拉乡觉布如村灵芝种植项目</t>
  </si>
  <si>
    <t>数据来源于2014年项批复目汇总表“林芝地区2014年县级财政专项扶贫资金项目投资批复汇总表”</t>
  </si>
  <si>
    <t>古拉乡觉布如贝母、灵芝、玛卡种植项目</t>
  </si>
  <si>
    <t>数据来源于2015年批复项目汇总总表“林芝市2015年扶贫开发项目汇总表”</t>
  </si>
  <si>
    <t>古拉乡日托村核桃种植项目</t>
  </si>
  <si>
    <t>古拉乡核桃种植项目</t>
  </si>
  <si>
    <t>数据来源于2014年项批复目汇总表“林芝地区2014年地区财政专项扶贫资金项目投资批复汇总表”</t>
  </si>
  <si>
    <t>察隅县古玉乡巴依村修建水磨糌粑加工厂建设项目</t>
  </si>
  <si>
    <t>生猪养殖基地建设项目</t>
  </si>
  <si>
    <t>察瓦龙乡目巴村核桃种植基地建设项目</t>
  </si>
  <si>
    <t>古玉乡罗马村农田灌溉水渠</t>
  </si>
  <si>
    <t>资料来源于文件夹-3.现场踏勘照片-现场及一些现场拍的资料-察隅县-7.15-被审计单位资料-邓老师提供-15年-15年国家</t>
  </si>
  <si>
    <t>下载后看看本条数据，公式为什么不能用</t>
  </si>
  <si>
    <t>下察隅镇沙琼村二村藏猪养殖项目</t>
  </si>
  <si>
    <t>下察隅镇日玛村购买小型农用机械项目</t>
  </si>
  <si>
    <t>下察隅镇新村僜人民俗文化展览室扩建及围墙建设项目</t>
  </si>
  <si>
    <t>上察隅镇翠西村核桃基地建设</t>
  </si>
  <si>
    <t>古玉乡玉和村牧场道路维修</t>
  </si>
  <si>
    <t>确权底稿资料+资金文件+合同</t>
  </si>
  <si>
    <t>察瓦龙乡学巴村亚荣组农田灌溉水渠建设项目</t>
  </si>
  <si>
    <t>古玉乡巴依村典东组藏药材种植项目</t>
  </si>
  <si>
    <t>合同及资金文件</t>
  </si>
  <si>
    <t>察瓦龙乡岗藏村牧场骡马驿道建设项目</t>
  </si>
  <si>
    <t>古拉乡关龙村拉巴组牧场道路建设项目</t>
  </si>
  <si>
    <t>古拉乡觉布如牧场骡马驿道建设项目</t>
  </si>
  <si>
    <t>下察隅镇夏尼村魔芋种植、加工基地建设项目</t>
  </si>
  <si>
    <t>察瓦龙乡扎恩村草场道及草场围栏建设项目</t>
  </si>
  <si>
    <t>察瓦龙乡松塔村水渠建设项目</t>
  </si>
  <si>
    <t>上察隅镇迟巴村如苏二组低产农田改造项目</t>
  </si>
  <si>
    <t>上察隅镇体育村组农田道路建设项目（僜人）</t>
  </si>
  <si>
    <t>上察隅镇迟巴村菊玉组石头围墙建设项目</t>
  </si>
  <si>
    <t>古拉乡至安巴村公路改建工程</t>
  </si>
  <si>
    <t>根据县交通局反馈，本项目业主是市交通局</t>
  </si>
  <si>
    <t>Y001至拉卡村公路改建工程</t>
  </si>
  <si>
    <t>G219至邓许村公路改建工程</t>
  </si>
  <si>
    <t>碧察线至学巴村公路改建工程</t>
  </si>
  <si>
    <t>察瓦龙前中瓦村水磨坊建设项目</t>
  </si>
  <si>
    <t>察隅县下察隅镇嘎腰村天麻种植基地建设项目</t>
  </si>
  <si>
    <t>察隅县古拉乡俄玉村牧场骡马驿道建设项目</t>
  </si>
  <si>
    <t>资金文件+财评+确权资料</t>
  </si>
  <si>
    <t>察隅县古拉乡日托村乡村公路建设项目</t>
  </si>
  <si>
    <t>察隅县古玉乡古井村农田灌溉水渠工程</t>
  </si>
  <si>
    <t>察隅县上察隅镇西巴村新建藏猪、藏鸡养殖基地建设项目</t>
  </si>
  <si>
    <t>资金文件+财评+合同</t>
  </si>
  <si>
    <t>竹瓦根镇嘎巴村崩组低产田改造建设项目</t>
  </si>
  <si>
    <t>上察隅镇阿扎村核桃种植基项目</t>
  </si>
  <si>
    <t>合同及竣工结算报告+资金文件</t>
  </si>
  <si>
    <t>察隅县上察隅镇毕达村围墙加固建设项目</t>
  </si>
  <si>
    <t>察隅县下察隅镇新村土鸡养殖基地建设项目</t>
  </si>
  <si>
    <t>察隅县古拉乡俄玉村水渠建设项目</t>
  </si>
  <si>
    <t>察隅县古玉乡罗马村农田灌溉水渠工程</t>
  </si>
  <si>
    <t>察瓦龙乡学巴村围墙建设项目</t>
  </si>
  <si>
    <t>上察隅镇鸡爪谷种植项目</t>
  </si>
  <si>
    <t>古玉乡然乌学村典学组低产田改良项目</t>
  </si>
  <si>
    <t>古玉乡玉和村农田灌溉水渠维修项目</t>
  </si>
  <si>
    <t>察瓦龙乡阿丙村低田产改造项目</t>
  </si>
  <si>
    <t>竹瓦根镇嘎巴村葛纠垄巴牧场道路修建项目</t>
  </si>
  <si>
    <t>资金文件+合同+确权资料</t>
  </si>
  <si>
    <t>察瓦龙沙布村新建牧场骡马驿道建设项目</t>
  </si>
  <si>
    <t>确权资料+合同+资金文件</t>
  </si>
  <si>
    <t>古玉乡然乌学村骡马驿道项目</t>
  </si>
  <si>
    <t>下察隅镇新村民族文化展览馆购买样式品及绿化项目</t>
  </si>
  <si>
    <t>察瓦龙乡前中瓦村核桃种植建设项目</t>
  </si>
  <si>
    <t>资金文件+佐证资料</t>
  </si>
  <si>
    <t>察隅县察瓦龙乡目巴旅游驿站项目</t>
  </si>
  <si>
    <t>资金文件+合同，50-1000里面有同项目名字，但是没有批复不确定是否为同一项目</t>
  </si>
  <si>
    <t>察瓦龙乡处尼村普尼组水渠建设项目</t>
  </si>
  <si>
    <t>下察隅镇塔玛村饮水水渠建设项目</t>
  </si>
  <si>
    <t>资金文件+其他佐证资料+确权资料</t>
  </si>
  <si>
    <t>察瓦龙乡布巴村地质灾害搬迁至拉丁村网围栏项目</t>
  </si>
  <si>
    <t>察瓦龙乡布巴村地质灾害搬迁至拉丁村机耕道项目</t>
  </si>
  <si>
    <t>下察隅镇沙玛村人畜饮水工程村道硬化建设项目</t>
  </si>
  <si>
    <t>下察隅镇沙玛村晒场及排水建设</t>
  </si>
  <si>
    <t>其他资料</t>
  </si>
  <si>
    <t>下察隅镇拉丁村枇杷种植基地设项目</t>
  </si>
  <si>
    <t>竹瓦根镇日东冬季性棚屋改造项目</t>
  </si>
  <si>
    <t>资金文件+其他佐证资料</t>
  </si>
  <si>
    <t>上察隅镇西巴村乡村道路村道路硬化建设项目</t>
  </si>
  <si>
    <t>察瓦龙乡岗藏村核桃种植项目</t>
  </si>
  <si>
    <t>察隅县贫困户温室大棚项目</t>
  </si>
  <si>
    <t>50万及以下未财评</t>
  </si>
  <si>
    <t>农场的钱没有从财政走，</t>
  </si>
  <si>
    <t>帮扶资金资产管理一体化系统（21年新建项目）21-25到25年全录了，只有衔接资金</t>
  </si>
  <si>
    <r>
      <rPr>
        <sz val="24"/>
        <rFont val="方正小标宋简体"/>
        <charset val="134"/>
      </rPr>
      <t xml:space="preserve">西藏自治区察隅县帮扶产业项目总台账
</t>
    </r>
    <r>
      <rPr>
        <sz val="18"/>
        <rFont val="方正小标宋简体"/>
        <charset val="134"/>
      </rPr>
      <t>（截至2026年6月30日数据）</t>
    </r>
  </si>
  <si>
    <t>项目
编号</t>
  </si>
  <si>
    <t>项目
地市</t>
  </si>
  <si>
    <t>项目
县区</t>
  </si>
  <si>
    <t>项目
年度</t>
  </si>
  <si>
    <t>项目
名称</t>
  </si>
  <si>
    <t>项目实施地点</t>
  </si>
  <si>
    <t>项目主要建设内容</t>
  </si>
  <si>
    <r>
      <rPr>
        <b/>
        <sz val="11"/>
        <color rgb="FF000000"/>
        <rFont val="仿宋_GB2312"/>
        <charset val="134"/>
      </rPr>
      <t>计划投资</t>
    </r>
    <r>
      <rPr>
        <sz val="11"/>
        <color rgb="FF000000"/>
        <rFont val="仿宋_GB2312"/>
        <charset val="134"/>
      </rPr>
      <t>（万元）</t>
    </r>
  </si>
  <si>
    <r>
      <rPr>
        <b/>
        <sz val="11"/>
        <color rgb="FF000000"/>
        <rFont val="仿宋_GB2312"/>
        <charset val="134"/>
      </rPr>
      <t>实际投资</t>
    </r>
    <r>
      <rPr>
        <sz val="11"/>
        <color rgb="FF000000"/>
        <rFont val="仿宋_GB2312"/>
        <charset val="134"/>
      </rPr>
      <t>（万元）</t>
    </r>
  </si>
  <si>
    <t>项目
分类情况</t>
  </si>
  <si>
    <t>项目所属产业分类</t>
  </si>
  <si>
    <t>产业“四个一批”分类</t>
  </si>
  <si>
    <t>经营性项目“四个一批”分类</t>
  </si>
  <si>
    <t>项目运营情况</t>
  </si>
  <si>
    <t>项目运营模式</t>
  </si>
  <si>
    <t>项目经营主体</t>
  </si>
  <si>
    <t>项目联农带农协议签订情况</t>
  </si>
  <si>
    <t>项目联农带农协议签订时间</t>
  </si>
  <si>
    <t>项目联农带农协议主要内容</t>
  </si>
  <si>
    <r>
      <rPr>
        <b/>
        <sz val="11"/>
        <color rgb="FF000000"/>
        <rFont val="仿宋_GB2312"/>
        <charset val="134"/>
      </rPr>
      <t xml:space="preserve">项目累计分红金额
</t>
    </r>
    <r>
      <rPr>
        <sz val="11"/>
        <color rgb="FF000000"/>
        <rFont val="仿宋_GB2312"/>
        <charset val="134"/>
      </rPr>
      <t>（元）</t>
    </r>
  </si>
  <si>
    <r>
      <rPr>
        <b/>
        <sz val="11"/>
        <color rgb="FF000000"/>
        <rFont val="仿宋_GB2312"/>
        <charset val="134"/>
      </rPr>
      <t xml:space="preserve">项目累计带动就业人数
</t>
    </r>
    <r>
      <rPr>
        <sz val="11"/>
        <color rgb="FF000000"/>
        <rFont val="仿宋_GB2312"/>
        <charset val="134"/>
      </rPr>
      <t>（人）</t>
    </r>
  </si>
  <si>
    <t>项目归口行业单位名称</t>
  </si>
  <si>
    <t>备注</t>
  </si>
  <si>
    <t>是否已经确权</t>
  </si>
  <si>
    <t>资料来源</t>
  </si>
  <si>
    <t>本次是否有拍摄现场照片</t>
  </si>
  <si>
    <t>工作记录是否已写</t>
  </si>
  <si>
    <t>方案是否已写</t>
  </si>
  <si>
    <t>政策性资金
（同表2政策性资金合计数）</t>
  </si>
  <si>
    <t>其他渠道资金
（如企业自筹、信贷资金等非政策性资金，同表2）</t>
  </si>
  <si>
    <t>经营主体类别</t>
  </si>
  <si>
    <t>名称</t>
  </si>
  <si>
    <t>填表说明：根据指南编码规则编号</t>
  </si>
  <si>
    <t>以项目批复中对应内容为准</t>
  </si>
  <si>
    <t>以项目批复中项目实施地点为准，例：XX乡（镇）XX 村（居）</t>
  </si>
  <si>
    <t>以项目竣工决算中项目主要建设内容为准</t>
  </si>
  <si>
    <t>与表2数据一致
（保留小数点后面2位）</t>
  </si>
  <si>
    <t>在“经营类、公益类、到户类“中选择</t>
  </si>
  <si>
    <t>在“青稞、小麦、饲料、牦牛、乳、羊、猪、鸡、蜂、鱼虾、藏药、茶、葡萄、苹果、猕猴桃、设施农业、乡村旅游、商贸流通、核桃、其他”中选择</t>
  </si>
  <si>
    <t>在“巩固、升级、盘活、调整”中选择</t>
  </si>
  <si>
    <t>在“巩固、升级、盘活、调整”中选择，仅经营类项目填写</t>
  </si>
  <si>
    <t>根据实际情况填写“是/否”</t>
  </si>
  <si>
    <t>在“自主运营、合作运营、委托运营“中选择</t>
  </si>
  <si>
    <t>在“农村集体经济组织、农牧民专业合作社、农户、国企、私企、个体工商户、其他”中选择</t>
  </si>
  <si>
    <t>例：2022.09</t>
  </si>
  <si>
    <t>例：该项目带动建档立卡群众不低于23户79人增收，分红金额不低于500元/人/年</t>
  </si>
  <si>
    <t>以项目实施内容对应行业单位为准</t>
  </si>
  <si>
    <t>察瓦龙乡昌西村</t>
  </si>
  <si>
    <t>改良112亩5600株石榴</t>
  </si>
  <si>
    <t>经营类</t>
  </si>
  <si>
    <t>石榴</t>
  </si>
  <si>
    <t>调整</t>
  </si>
  <si>
    <t>古玉乡罗马村</t>
  </si>
  <si>
    <t>发展特色藏民族文化旅游产业，充分发挥旅游、生态自然资源的优势，带动整合闲置劳动力，逐步改变传统农牧业生产方式，进而转变成以旅游业为主的核心产业，建立村民增收的长效机制，促进产业发展，建设幸福新村。内容：1.藏家歌舞表演广场；2.驿站引水工程；3.村内道路硬化工程；4.观景平台；5.绿化种植；6.公共卫生设施等</t>
  </si>
  <si>
    <t>公益类</t>
  </si>
  <si>
    <t>乡村旅游</t>
  </si>
  <si>
    <t>升级</t>
  </si>
  <si>
    <t>察隅县古玉乡罗马村农家乐（实施过，找不到业主）</t>
  </si>
  <si>
    <t>修建农家乐及庭院一座</t>
  </si>
  <si>
    <t>委托运营</t>
  </si>
  <si>
    <t>个体工商户</t>
  </si>
  <si>
    <t>张鹏</t>
  </si>
  <si>
    <t>察隅县文化和旅游局</t>
  </si>
  <si>
    <t>购买榨油机及附属配套设施</t>
  </si>
  <si>
    <t>设施农业</t>
  </si>
  <si>
    <t>为131户购买牛，修建牛圈11座。（古拉乡为8户购置57头牦牛；下察隅镇19户102头修建牛圈11座；竹瓦根镇52户260头；察瓦龙乡52户养殖犏牛410头，奶牛3头，小牛136头，黄牛40头，母牛1头，牛圈1座）</t>
  </si>
  <si>
    <t>到户类</t>
  </si>
  <si>
    <t>牦牛</t>
  </si>
  <si>
    <t>盘活</t>
  </si>
  <si>
    <t>为10户购置山羊550只，绵羊40只（古拉乡3户养殖山羊150只，上察隅镇2户养殖绵羊40只，察瓦龙乡5户养殖山羊400只）</t>
  </si>
  <si>
    <t>羊</t>
  </si>
  <si>
    <t>古拉乡
关龙村
竹瓦根镇
下察隅</t>
  </si>
  <si>
    <t>为9户实施特色种植项目。古拉乡6户（则巴村1户种植葡萄苗30棵，关龙村4户种植花椒苗子80棵，安巴村1户苹果苗50棵）；竹瓦根镇1户（种植天麻）；下察隅镇1户种植橘子树4亩，1户种植天麻2亩。</t>
  </si>
  <si>
    <t>其他</t>
  </si>
  <si>
    <t>古拉乡则巴村</t>
  </si>
  <si>
    <t>种植500颗菩提树 、修建4个树苗培育室3、种植区域土地平整</t>
  </si>
  <si>
    <t>已搬迁</t>
  </si>
  <si>
    <t>下察隅镇</t>
  </si>
  <si>
    <t>种植辣椒100亩及附属配套设施</t>
  </si>
  <si>
    <t>上察隅镇</t>
  </si>
  <si>
    <t>为上察隅镇木碗加工合作社配置加工设施</t>
  </si>
  <si>
    <t>察瓦龙乡</t>
  </si>
  <si>
    <t>建设内容：修建9个鸡圈，购买鸡苗75只，购买饲料等</t>
  </si>
  <si>
    <t>鸡</t>
  </si>
  <si>
    <t>无需写</t>
  </si>
  <si>
    <t>建设内容：修建24个猪圈，化粪池24座，购买猪仔288头，每村购买种猪1头，每户购买可繁育母猪1头，购买饲料等</t>
  </si>
  <si>
    <t>猪</t>
  </si>
  <si>
    <t>察瓦龙乡邓许村、龙普村、昌西村</t>
  </si>
  <si>
    <t>察瓦龙乡修建温室大棚36座，邓许村11座，龙普村21座，昌西村4座</t>
  </si>
  <si>
    <t>察瓦龙乡拉卡村、邓许村、昌西村、珠拉村</t>
  </si>
  <si>
    <t>察瓦龙乡扶持贫困户养鸡9户，其中拉卡5户，邓许1户，昌西1户，珠拉2户</t>
  </si>
  <si>
    <t>察瓦龙乡洪东，昌西，邓许，拉卡，瓦布，学巴，扎然</t>
  </si>
  <si>
    <t>察瓦龙乡扶持贫困户养猪24户，其中拉卡6户，邓许1户，洪东6户，昌西4户，瓦布1户，扎然1户，学巴5户</t>
  </si>
  <si>
    <t>6个乡镇</t>
  </si>
  <si>
    <t>为我县6个乡镇49个行政村291户建档立卡贫困户修建猪舍5238平方米；购置种公猪49头、种母猪291头、仔猪1272余头。</t>
  </si>
  <si>
    <t>为我县6个乡镇235户建档立卡贫困户修建鸡舍4230平方米；购置鸡苗7600只（公母1：9）；购买饲料等</t>
  </si>
  <si>
    <t>上察隅镇迟巴村</t>
  </si>
  <si>
    <t>购买农机具7台；购买猪仔145头，为7户群众修建猪舍140㎡，购买母猪12头，公猪5头；狗仔鸡仔370只，修建鸡舍400㎡；种植板栗核桃8亩；种植黑木耳（每户100菌袋）；种植天麻1800㎡；种植油茶、枇杷180亩</t>
  </si>
  <si>
    <t>上察隅镇西巴村</t>
  </si>
  <si>
    <t>修建120米玻璃展柜，购买4台缝纫机，10台编织机，购买编织材料，对原有编织房进行维修以及线路改造</t>
  </si>
  <si>
    <t>汽车修理厂849㎡，商业楼2493㎡，洗车间109.12㎡，门卫室14.8㎡，公厕37.41㎡以及大门、室外给排水、室外电气、水泥硬质地面、铺装工程、土石方工程、围墙工程、停车位工程、挡土墙工程、照明工程等</t>
  </si>
  <si>
    <t>商贸流通</t>
  </si>
  <si>
    <t>巩固</t>
  </si>
  <si>
    <t>自主运营</t>
  </si>
  <si>
    <t>国企</t>
  </si>
  <si>
    <t>察隅县交通运输局</t>
  </si>
  <si>
    <t>下察隅镇夏尼村</t>
  </si>
  <si>
    <t>新建培训管理中心212.52㎡，基地入口到培训中心之间道路硬化，硬化面积630.00㎡（道路宽3.5m，长度为180m）及其他配套附属设施建设；种植猕猴桃50亩。</t>
  </si>
  <si>
    <t>猕猴桃</t>
  </si>
  <si>
    <t>私企</t>
  </si>
  <si>
    <t>察隅县兴农猕猴桃有限公司</t>
  </si>
  <si>
    <t>项目盈利时，按照合同约定向村集体分红</t>
  </si>
  <si>
    <t>察隅县农业农村局​</t>
  </si>
  <si>
    <t>竹瓦根镇</t>
  </si>
  <si>
    <t>1#楼工程（小车机修）2328.31平方米、2#楼工程（大车机修）2510.43平方米、门卫室及附属设施等</t>
  </si>
  <si>
    <t>下察隅镇布巴村、京都村、宗古村</t>
  </si>
  <si>
    <t>1、核定布巴村种植猕猴桃370亩，大门一座（含值班室），土地整治及改良370亩，购买种苗37000株，撒播有机肥740吨，修建240立方米（24m×10m×1m）晒水池1处，引水管1300m，修排水沟3374m（0.4m×0.4m），修筑1200m防风林，搭架立桩27750根，牵拉铁丝，安装微喷设备等内容；
    2、核定京都村种植猕猴桃243亩，大门一座（含值班室），土地整治及改良243亩，购买种苗24300株，撒播有机肥243吨，网围栏6386米，修建100立方米（10m×10m×1m）晒水池2处，水管道（含1个蓄水池）1024m，搭架立桩18225根，牵拉铁丝，安装微喷设备等内容；
    3、核定宗古村种植猕猴桃230亩，大门一座（含值班室），土地整治及改良230亩，购买种苗23000株，撒播有机肥230吨，修筑800米防风林，网围栏3399米，修建100立方米（10m×10m×1m）晒水池2处，引水管道（含1个蓄水池）5800m，搭架立桩17250根，牵拉铁丝，安装微喷设备，修砂石路长1000m（宽3.5m）等内容。</t>
  </si>
  <si>
    <t>察隅县宗古农业发展有限责任公司、察隅县兴农猕猴桃有限公司、西藏林芝察隅巴布吉土地种植专业合作社</t>
  </si>
  <si>
    <t>宗古村由察隅县宗古农业发展有限责任公司进行运营、京都村由察隅县兴农猕猴桃有限公司运营、布巴村由西藏林芝察隅巴布吉土地种植专业合作社运营</t>
  </si>
  <si>
    <t>古玉乡博学村</t>
  </si>
  <si>
    <t>修建传统工艺品加工坊一座</t>
  </si>
  <si>
    <t>修建业务用房一座</t>
  </si>
  <si>
    <t>白玛曲培</t>
  </si>
  <si>
    <t>察瓦龙乡龙布村</t>
  </si>
  <si>
    <t>“能人+贫困户”，栽种280000株，遮阳网、遮阳架28亩，灌溉水管及土地平整28亩；种苗及设备购置:购买种苗280000株，肥料28吨，病虫害防治及追肥28亩。</t>
  </si>
  <si>
    <t>藏药</t>
  </si>
  <si>
    <t>察瓦龙乡扎恩村</t>
  </si>
  <si>
    <t>项目模式为“能人+贫困户”，PE25灌溉水管及配套设施3000米，土地平整40亩，遮阳网、遮阳架40亩;种苗及设备购置:购买种苗3200株。</t>
  </si>
  <si>
    <t>项目模式为“村集体+贫困户”，种植仿野生苗木10亩（含采购苗木60000丛），修建蓄水池1座（长*宽*高为4m*4m*2m），铁丝网围栏1000米，沉砂池、引水渠等。</t>
  </si>
  <si>
    <t>西藏兵哥建筑工程有限公司</t>
  </si>
  <si>
    <t>古玉乡古井村</t>
  </si>
  <si>
    <t>项目模式为“合作社+贫困户”，扩建猪舍53.2㎡；新建铁丝网围栏1300m，办公室及厨房34.44㎡，饲料加工室17.6㎡，育猪室68.04㎡，库房14㎡，待宰室13.44㎡，水池6m3，场地平整765㎡，线路改造、屋面改造1项；采购卫生防疫500头，买种猪340头，购买加工饲料机1台，柴油发电机1台。</t>
  </si>
  <si>
    <t>农牧民专业合作社</t>
  </si>
  <si>
    <t>察隅县古玉乡古井村青冈林藏香猪养殖专业合作社</t>
  </si>
  <si>
    <t>项目模式为“能人+贫困户”，新建鸡舍160㎡，新建消毒室、饲料加工间、仓库、职工宿舍64㎡，下蛋室4间，新建蓄水池1座，新建化粪池1座，购置铁丝围栏及立柱550m，场地平整30375m3，道路平整30420m3，铁质大门1座，线路改造1项；种鸡及设备购置费：购买种鸡（藏鸡）1500只，购置饲料加工设备1台，孵化器2台。</t>
  </si>
  <si>
    <t>察隅县兄弟藏鸡养殖场</t>
  </si>
  <si>
    <t>竹瓦根镇扎拉村</t>
  </si>
  <si>
    <t>项目模式为“合作社+贫困户”，平整土地2000㎡；新建猪圈20间，总建筑面积340㎡；新建化粪池1座；新建消毒室1座，建筑面积17.6㎡；PE32给水管200m，DN110排污管200m。采购猪苗100头，消毒设备（型号BG-C4）1台</t>
  </si>
  <si>
    <t>农户</t>
  </si>
  <si>
    <t>刘勇</t>
  </si>
  <si>
    <t>竹瓦根镇桑久村</t>
  </si>
  <si>
    <t>项目模式为“村集体+贫困户”， 新建围墙200m，铁大门1扇，给水管100m，铜芯线100m，仓库及饲养员室1间，消毒室1间，猪圈14间，化粪池1座;设备购置:电力变压器1台，消毒设备1台，种猪1头，母猪10头，猪仔90头</t>
  </si>
  <si>
    <t>扎西次仁</t>
  </si>
  <si>
    <t>项目模式为“合作社+贫困户”，新建牛圈319.64m2，建筑工程319.64m2，安装工程319.64m2，大门1座，围墙120m；购置犏奶牛：母牛20头，公牛3头。</t>
  </si>
  <si>
    <t>乳</t>
  </si>
  <si>
    <t>察隅县古玉乡博学村杰荣养殖专业合作社</t>
  </si>
  <si>
    <t>下察隅镇京都村</t>
  </si>
  <si>
    <t>1.扩建猪舍面积153.88平方米；2.新建饲料库房及饲料加工房70.56平方米；3.建蓄水池1座（采用砖混结构长3m*宽4m*高1.2m）；4.买可繁育母猪60头（繁育母猪需为已生育过1窝猪仔的母猪）、种猪3头（种猪年龄1.5-2年）；5.购买加工饲料机1台（型号：9FQ40-28,动力：11-15kw）;6.购买柴油发电机1台（型号：L32-R00，功率：11-15KW）；7.新建猪舍C20混凝土硬化路面91.02平方米；8.PE水管直径75mmPE管300m,PE水管直径25mmPE管260m;9.新建简易木桥一座，采用木质结构（10米*2米）；10.原猪舍铁皮100张；11.铁丝围栏700m,围栏1.5m高，每隔3米设置一根圆钢管立柱，立柱高3m,立柱基础埋深30cm；11.新建大门2个（2m*3m）。</t>
  </si>
  <si>
    <t>下察隅镇京都村阿胖养殖专业合作社</t>
  </si>
  <si>
    <t>古拉乡俄玉村</t>
  </si>
  <si>
    <t>项目模式为“合作社+贫困户”，建设猪舍105.7㎡，育种室和隔离室164.16㎡，仓库及管理用房68.64㎡，围墙200m，供水1项，购买猪仔80头，种猪4头，能繁母猪20头，饲料、防疫及运转费用1项，供电1项。</t>
  </si>
  <si>
    <t>上察隅毕达村</t>
  </si>
  <si>
    <t>土地平整：土石方工程1项，筑田埂18975.08m，挖土沟(背沟开挖）12821m；灌溉工程:管道工程1项，蓄水池1座，沉砂池1座；茶叶苗种植工程:种植1794940株；附属工程：钢丝网围栏3500m；设备及工器具购置：购买及运输除草机4部，购买及运输修剪机4台，购买及运输中耕机4台，购买及运输施肥机2台，购买、运输及安装防虫灯、黄板等设施51台，购买运输安装基地大门1个，购买安装标识牌1个。</t>
  </si>
  <si>
    <t>茶</t>
  </si>
  <si>
    <t>项目尚未移交，还在管护中</t>
  </si>
  <si>
    <t>确权资料+50-1000万财评统计表</t>
  </si>
  <si>
    <t>下察隅镇松古村</t>
  </si>
  <si>
    <t>土地平整：土石方工程1项，修筑田埂24087m，挖土沟(背沟开挖）16275m；灌溉工程：管道工程1项，蓄水池1座，沉砂池1座；茶叶苗种植2598500株；附属工程：钢丝网围栏3500m，设备及工器具购置费，购买及运输除草机4部，购买及运输修剪机4台，购买及运输中耕机4台，购买及运输施肥机2台，购买、运输及安装防虫灯、黄板等设施65台，购买运输安装基地大门1个，购买安装标识牌1个。</t>
  </si>
  <si>
    <t>竹瓦根镇学尼村</t>
  </si>
  <si>
    <t>新建猪舍375.06平方米、库房153.52平方米、宿舍及办公室119.31平方米、铁丝网围栏465m、病害猪隔离圈24平方米、无公害处理设施16平方米、场地硬化562.45平方米、新建大门一座，采购相关设备及相应配套设施。</t>
  </si>
  <si>
    <t>底稿已写</t>
  </si>
  <si>
    <t>下察隅沙玛村、上察隅米古村</t>
  </si>
  <si>
    <t>在沙玛村、米古村、群众房前屋后等地点实施茶叶种植及配套附属设施建设等</t>
  </si>
  <si>
    <t>林芝毛尖茶叶有限责任公司</t>
  </si>
  <si>
    <t>与沙玛村枇杷种植水肥一体化项目同一地点实施，枇杷茶叶套种，期间补种茶叶，原茶叶数量不详</t>
  </si>
  <si>
    <t>上察隅镇荣玉村</t>
  </si>
  <si>
    <t>土地平整650亩，修建灌溉与排水工程，茶叶种植，第一次树苗种植1094660株，第二次补苗131359株，第三次补苗10508株，设备采购及附属设施</t>
  </si>
  <si>
    <t>村里收取管护费，分给村民，800/亩，共计158亩。收取了22年、23年。</t>
  </si>
  <si>
    <t>上察隅镇体育村</t>
  </si>
  <si>
    <t>土地平整244.12亩，修建灌溉与排水工程，茶叶种植、设备采购及附属设施。第一次树苗种植854420株，第二次补苗102530株，第三次补苗8202株，及附属设施等。</t>
  </si>
  <si>
    <t>察瓦龙乡龙普村</t>
  </si>
  <si>
    <t>为察瓦龙乡龙普村嘉兴组购置牦奶牛15头，种牛1头</t>
  </si>
  <si>
    <t>确权表主体是察瓦龙乡人民政府</t>
  </si>
  <si>
    <t>察瓦龙乡卡地村</t>
  </si>
  <si>
    <t>营造林：种苗9804株，种植130.7亩，培训指导2年，有机肥98.04吨，病虫害防治130.7亩，人工修枝及管理130.7亩，工具费130.7亩（每亩配2把修枝剪、1个喷雾器）。</t>
  </si>
  <si>
    <t>察瓦龙乡格布村</t>
  </si>
  <si>
    <t>营造林：种苗8313株，种植184.7亩，培训指导2年，有机肥83.13吨，病虫害防治184.7亩，人工修枝及管理184.7亩，工具费184.7亩（每亩配2把修枝剪、1个喷雾器）。</t>
  </si>
  <si>
    <t>仁青</t>
  </si>
  <si>
    <t>​察隅县农业农村局</t>
  </si>
  <si>
    <t>确权表主体是察隅县扶贫开发办公室</t>
  </si>
  <si>
    <t>察瓦龙乡左布村</t>
  </si>
  <si>
    <t>营造林：种苗5441株，种植120.9亩，培训指导2年，有机肥54.41吨，病虫害防治120.9亩，人工修枝及管理120.9亩，工具费120.9亩（每亩配2把修枝剪、1个喷雾器）</t>
  </si>
  <si>
    <t>察瓦龙乡处尼村</t>
  </si>
  <si>
    <t>营造林：种苗2610株，种植58亩，培训指导2年，有机肥26.1吨，病虫害防治58亩，人工修枝及管理58亩，工具费58亩（每亩配2把修枝剪、1个喷雾器）。</t>
  </si>
  <si>
    <t>察瓦龙乡沙布村</t>
  </si>
  <si>
    <t>营造林：种苗7866株，种植174.81亩，培训指导2年，有机肥78.66吨，病虫害防治174.81亩，人工修枝及管理174.81亩，工具费174.81亩（每亩配2把修枝剪、1个喷雾器）</t>
  </si>
  <si>
    <t>古拉乡察空村</t>
  </si>
  <si>
    <t>营造林：种苗23573株，种植428.6亩，培训指导2年，有机肥235.73吨，病虫害防治428.6亩，人工修枝及管理428.36亩，工具费428.6亩（每亩配2把修枝剪、1个喷雾器），保水剂428.6亩，网围栏4871米；给水工程：蓄水池120㎡，管网工程1项；土石方工程：客土改良2000m³，机械挖坑428.6亩。</t>
  </si>
  <si>
    <t>察瓦龙乡邓许村、扎那村、龙普村、岗藏村、康然村、前中瓦村、梦扎村、格日村、拉卡村、巴布村、目巴村、学巴村、珠拉村、洪东村、扎然村、瓦布村、古拉乡安巴村、关龙村、觉不如村、则巴村、扎兴村、日托村、俄玉村</t>
  </si>
  <si>
    <t>在察瓦龙乡、古拉乡23个村开展庭院经济项目，为23个村群众发放经济林木1.5万余株。</t>
  </si>
  <si>
    <t>生活管理用房：建筑装饰工程123.96㎡，安装工程123.96㎡；管道工程8520m，水池工程2座，道路工程1188m3，围墙945m；其他工程：混凝土立柱22500根，网围栏1290m，架设钢丝60t，土地整治300亩，树苗种植27000株，广告牌1套。</t>
  </si>
  <si>
    <t>营造林：种苗4344株，种植96.5亩，培训指导2年，有机肥43.44吨，病虫害防治96.5亩，人工修枝及管理96.5亩，工具费96.5亩（每亩配2把修枝剪、1个喷雾器）</t>
  </si>
  <si>
    <t>农村集体经济组织</t>
  </si>
  <si>
    <t>林芝市察隅县察瓦龙乡扎恩村股份经济合作社</t>
  </si>
  <si>
    <t>乔君伟</t>
  </si>
  <si>
    <t>古玉乡然乌学村</t>
  </si>
  <si>
    <t>营造林：种苗14022株，种植311.6亩，培训指导2年，有机肥140.22吨，病虫害防治311.6亩，工具费311.6亩（每亩配2把修枝剪、1个喷雾器）</t>
  </si>
  <si>
    <t>1#楼：建筑装饰工程828.99m2，安装工程828.99m2；2#楼：建筑装饰工程671.58m2，安装工程671.58m2；3#楼：建筑装饰工程1446.48m2，安装工程1446.48m2；4#楼：建筑装饰工程671.58m2，安装工程671.58m2；5#楼：建筑装饰工程576.45m2，安装工程576.45m2；6#楼：建筑装饰工程1177.38m2，安装工程1177.38m2；主大门1座，附属工程：室外电气1项，车行硬化工程2689.82m2，人行硬化工程375.9m2，次大门1座，挡土墙工程300.74m，绿化工程1159.45m2，土石方工程1项，通透式围墙456.69m，室外给排水1项</t>
  </si>
  <si>
    <t>石榴种植30亩，购置苗木2000株，有机肥、农家肥、新建围栏1000m、病虫害防治30亩、人工修枝及管护30亩，60mmPE管400m，25mmPE管1600m，新建蓄水池1座（2m*2m*2m），土地平整30亩</t>
  </si>
  <si>
    <t>林芝市察隅县古拉乡则巴村股份经济合作社</t>
  </si>
  <si>
    <t>竹瓦根镇空档村</t>
  </si>
  <si>
    <t>1、新建鸡舍255.60㎡；2、新建门卫室及消毒室57.76㎡；3、新增给水管道120m；4、新增排水管道100m（双壁波纹管Φ200）；5、新增供电线路100m；6、新增铁艺大门1座（宽4米，高3.6米）；7、新建消毒池1座；8、新建防护网600m；9、购买喂食槽4个；10、购买藏鸡苗400只；11、购买成年藏鸡100只</t>
  </si>
  <si>
    <t>布索朗</t>
  </si>
  <si>
    <t>下察隅镇沙琼村</t>
  </si>
  <si>
    <t>新建猪舍200㎡、饲料库60㎡及饲料加工房40㎡、蓄水池1座、硬化路面及购买种猪、饲料、柴油发电机等</t>
  </si>
  <si>
    <t>察隅县下察隅镇沙琼村小次仁农民专业合作社</t>
  </si>
  <si>
    <t>下察隅镇自更村</t>
  </si>
  <si>
    <t>新建饲料仓库59.04平方米，配套网围栏等附属设施</t>
  </si>
  <si>
    <t>下察隅镇拉丁村</t>
  </si>
  <si>
    <t>新建猪圈149.24平方米，新建蓄水池3.14立方米，化粪池一座3立方米等附属设施</t>
  </si>
  <si>
    <t>谢次仁</t>
  </si>
  <si>
    <t>下察隅镇塔玛村</t>
  </si>
  <si>
    <t>扩建猪圈51.34平米，并配套库房、饲料加工厂、围栏等附属设施。</t>
  </si>
  <si>
    <t>塔玛村藏香猪养殖专业合作社</t>
  </si>
  <si>
    <t>鸡舍、仓库、化粪池、铁大门、附属设施部分、设备购置部分</t>
  </si>
  <si>
    <t>成晓</t>
  </si>
  <si>
    <t>察瓦龙乡扎那村</t>
  </si>
  <si>
    <t>新建养猪厂面积314.32㎡（采用砖混结构），购买母猪30头，公猪3头，购买饲料加工机1台（型号：9FQ40－28，动力：11－15KW），购买柴油发电机1台（型号：Ｌ32－ROO，动力：23KW），新建猪舍C20砼硬化路面180.64㎡，饲养用水水管直径75mmPE管300m,饲养用水水管直径25mmPE管260m，新建大门一座</t>
  </si>
  <si>
    <t>资产闲置了</t>
  </si>
  <si>
    <t>新建猪舍153.78平方米，新建值班室44.65平方米，硬化工程115.02平方米，新建网围栏114.50米，新建挡土墙工程1.06立方米，挖填方工程1项，新建大门一座，室外给排水工程1项，室外电气工程1项；种猪、小猪、柴油发电机、饲料加工机等设备购置</t>
  </si>
  <si>
    <t>察瓦龙乡前中瓦村</t>
  </si>
  <si>
    <t>新建特色产品加工坊173.50m²，硬化工程220m²，土石方工程1500m3，新建围墙90m,新建大门1座，购置核桃加工设备1套</t>
  </si>
  <si>
    <t>多吉</t>
  </si>
  <si>
    <t>新建特色产品加工坊558.96m²，硬化工程423.12m²，购置仙人掌加工设备1套，核桃加工设备1套</t>
  </si>
  <si>
    <t>前中瓦村、拉卡村、松塔村、扎那村、扎恩村、昌西村、曲珠村、龙普村、沙布村、目巴村、格布村、俄玉村</t>
  </si>
  <si>
    <t>购置经济林木，前中瓦村：石榴1440株，苹果600株；拉卡村：石榴585株；松塔村：石榴500株；扎那村：石榴2908株；扎恩村：石榴2045株，苹果630株，橘子380株，水蜜桃25株；昌西村：石榴160株；曲珠村：石榴1030株；龙普村：石榴1240株，苹果995株，橘子115株，水蜜桃230株；沙布村：苹果148株，橘子145株；目巴村：石榴2100株；格布村：石榴675株；俄玉村：苹果380株，水蜜桃380株</t>
  </si>
  <si>
    <t>上察隅镇体育迪通种植茶叶136亩，新建蓄水池，购买茶苗，安装网围栏等附属设施</t>
  </si>
  <si>
    <t>加工场地晒坝硬化260㎡，围墙48m，线路改造180m；设备购置：液压榨油机1台，剥壳机 2台，分拣机1台，烘干机1台，过滤器2台，核桃粉碎机（核桃粉）1台，包装机2台，包装袋及包装瓶1项，变压器及安装备件等1台，销售点装修费及柜台等1项，后期运转经费1项</t>
  </si>
  <si>
    <t>在上察隅迟巴村建立鸡爪股粉生产线、花生生产线等附属设施</t>
  </si>
  <si>
    <t>产权未确定</t>
  </si>
  <si>
    <t>古拉乡目本村</t>
  </si>
  <si>
    <t>人工种植突尼斯软粒石榴(含种苗购置及种植）45703株，成活养护960项，网围栏9587m，给水工程1项：灌溉水管共10819m、蓄水池4个共180m³、取水器260套、控制阀28个</t>
  </si>
  <si>
    <t>察空村已整体搬迁</t>
  </si>
  <si>
    <t>上察隅镇本堆村</t>
  </si>
  <si>
    <t>土地平整133亩，新建蓄水池，购买茶苗，安装网围栏等附属设施</t>
  </si>
  <si>
    <t>察隅伟诚茶业有限责任公司</t>
  </si>
  <si>
    <t>下察隅拉丁村</t>
  </si>
  <si>
    <t>生化有机肥厂：建筑装饰工程1206.96平方米，安装工程1206.96平方米；门卫宿舍楼：建筑工程45.1平方米，安装工程45.1平方米；附属工程：通透式围墙316米，新建大门1座，室外电气工程1项，室外给排水工程1项，设备购置等</t>
  </si>
  <si>
    <t>饲料</t>
  </si>
  <si>
    <t>土地平整103目，新建蓄水池，购买茶苗，安装网围栏等附属设施</t>
  </si>
  <si>
    <t>新建轻质隔墙141.4㎡，乳胶漆内墙853.8㎡，乳胶漆顶棚407.3㎡，瓷砖内墙5.4㎡，新建台阶12.16㎡，安装工程454.5㎡，展览架5架，脚手架1项,拆除工程1项，门窗工程1项</t>
  </si>
  <si>
    <t>县脱贫攻坚指挥部产业组</t>
  </si>
  <si>
    <t>下察隅镇格巴村、卡地村等村</t>
  </si>
  <si>
    <t>240平米温室大棚工程（共15栋），216平米温室大棚工程（共3栋），土石方工程、总平给排水工程</t>
  </si>
  <si>
    <t>西藏利隆农业有限公司</t>
  </si>
  <si>
    <t>目本村由西藏利隆农业有限公司运营、</t>
  </si>
  <si>
    <t>上察隅镇竹巴村</t>
  </si>
  <si>
    <t>新建蔬菜温室大棚6栋，每栋240㎡</t>
  </si>
  <si>
    <t>吴芝云</t>
  </si>
  <si>
    <t>竹瓦根镇知美村、曲瓦村</t>
  </si>
  <si>
    <t>在知美村新建10座100平方米的钢架双膜结构温室大棚，在曲瓦村新建6座99平方米的钢架双膜结构温室大棚</t>
  </si>
  <si>
    <t>联栋温室大棚：建筑装饰工程3499.32㎡，安装工程3499.32㎡，附属工程：通透式围墙455m，新建大门1座，新建硬化247.73㎡，种植土1项</t>
  </si>
  <si>
    <t>察隅县牧丰绿色农业有限公司</t>
  </si>
  <si>
    <t>客栈：建筑装饰工程196.71㎡，安装工程196.71㎡；附属工程：总平电气1项，总平给排水1项，大门工程1项，透视围墙1项及设备购置。</t>
  </si>
  <si>
    <t>孙玉聪</t>
  </si>
  <si>
    <t>察瓦龙乡梦扎村</t>
  </si>
  <si>
    <t>建筑装饰工程686.76㎡，安装工程686.76㎡；附属工程：总体给排水工程1项，总体电器工程1项等内容</t>
  </si>
  <si>
    <t>立项批复，审定金额无，以批复金额确权</t>
  </si>
  <si>
    <t>察瓦龙乡洪东村</t>
  </si>
  <si>
    <t>挖种植穴2750株，购买种苗2750株，基肥7吨，病虫害防治50亩，围栏、大门等3000米，保湿地膜2750米，蓄水池50立方米，取水口2立方米，PE75引水管2500米，PE50支管300米，32塑料软管900米。</t>
  </si>
  <si>
    <t>江村</t>
  </si>
  <si>
    <t>竹瓦根镇目若村</t>
  </si>
  <si>
    <t>车行道工程3133.8㎡，入户道路工程909㎡，路基土方工程1项，排水沟工程550m，垃圾收集池工程1座，路缘石工程1102m，排污工程1项，照明工程1项，给水工程1项</t>
  </si>
  <si>
    <t>立项+50-1000万台账+财评</t>
  </si>
  <si>
    <t>上察隅竹巴村</t>
  </si>
  <si>
    <t>土地平整：土石方工程1项；灌溉工程：管道工程1项，取水口1座，100m3蓄水池1座；茶叶种植：第一次树苗种植424950株，第二次补苗70825株；附属工程：铁丝网围栏2834.83m，大门3座，道路破除及恢复8㎡，设备购置：购买及运输除草机2部，购买安装防虫灯12个，购买安装标识牌2个</t>
  </si>
  <si>
    <t>土地平整；灌溉工程：管道工程1项，取水口1座，10m3蓄水池1座；花椒种植：花椒种植6066株，购买、施有机肥18.2t；附属工程：铁丝网围栏786m，大门1座</t>
  </si>
  <si>
    <t>江安扎西</t>
  </si>
  <si>
    <t>项目以由花椒改种果园、产值、产量以及收益不详，无法开展评估</t>
  </si>
  <si>
    <t>下察隅镇巴安通村</t>
  </si>
  <si>
    <t>饲料加工厂，建筑装饰工程725.24平方米，安装工程725.4平方米，附属工程及设备购置</t>
  </si>
  <si>
    <t>土地平整：土方清理150076.39m³，石方清理13985m³，场地平整699023.24m2，灌溉工程，管道工程1项，沉砂池1座，取水口1座，100m3蓄水池1座；茶叶种植：第一次茶苗种植2432636株，第二次茶苗补植419420株，防草布547154.36m2，反光膜151987.32m2，有机肥524.28t；附属设施：铁丝网围栏7684.07m，大门2座，标识牌1个</t>
  </si>
  <si>
    <t>西藏宏峰建筑工程有限公司</t>
  </si>
  <si>
    <t>西藏自治区察隅县国有资产经营有限公司</t>
  </si>
  <si>
    <t>竹瓦根镇嘎巴村</t>
  </si>
  <si>
    <t>采购水处理系统一套、粉碎系统一套、啤酒糖化设备生产线一套、发酵系统一套等</t>
  </si>
  <si>
    <t>察隅县雪巅啤酒有限公司</t>
  </si>
  <si>
    <t>察隅县国资委</t>
  </si>
  <si>
    <t>察瓦龙乡珠拉村</t>
  </si>
  <si>
    <t>种植工程，石榴种苗1454株，种植费32.3亩，有机肥1454株，病虫害防治32.3亩，人工修枝及管护32.3亩，保水剂32.3亩，蓄水池工程2座，灌溉支水管588.7m（PE,DN60），灌溉毛管541.13m（PE,DN13），控制阀门16个，网围栏906.21m。</t>
  </si>
  <si>
    <t>察瓦龙乡阿丙村</t>
  </si>
  <si>
    <t>种植工程，石榴种苗6469株，种植费125亩，有机肥5625株，病虫害防治125亩，人工修枝及管护125亩，保水剂125亩，主水管299.18m（PE-DN110），灌溉支水管815.04m（PE-DN60），灌溉毛管16320.17m（PE-DN13），滴头5625个，控制阀门4个，网围栏1122.13m</t>
  </si>
  <si>
    <t>种植工程，石榴种苗12420株，种植费240亩，有机肥10800株，病虫害防治240亩，人工修枝及管护240亩，保水剂240亩，蓄水池工程2座，主水管1957.75m（PE,DN110），灌溉支水管1719.76m（PE,DN60），灌溉毛管4300.07m（PE,DN13），控制阀门60个，网围栏4271.4m。</t>
  </si>
  <si>
    <t>古拉乡安巴村</t>
  </si>
  <si>
    <t>种植工程：管道工程1项，闸阀井5套，蓄水池3座，网围栏1998m，石榴种植1项；临时工程：临时工程1项。</t>
  </si>
  <si>
    <t>县农业农村局</t>
  </si>
  <si>
    <t>土地平整：土方清理13844.69m³，石方清理11610m³，场地平整357492.358m2，灌溉工程，管道工程1项，沉砂池3座，取水口3座，50m3蓄水池1座，25m3蓄水池2座；茶叶种植：第一次茶苗种植1833264株，第二次茶苗补植316080株，防草布412342.25m2，反光膜90833.48m2，有机肥395.11t；附属设施：铁丝网围栏8517.58m，大门3座，标识牌3个</t>
  </si>
  <si>
    <t>种植羊肚菌40亩，并配套灌溉、围栏等附属设施</t>
  </si>
  <si>
    <t>菌类</t>
  </si>
  <si>
    <t>种植灵芝菌8亩，并配套灌溉、围栏等附属设施</t>
  </si>
  <si>
    <t>上察隅镇松林村</t>
  </si>
  <si>
    <t>土地平整：土方清理5113.18m³，石方清理6000m³，场地平整196025.72m2；灌溉工程：管道工程1项，沉砂池2座，取水口2座，25m3蓄水池1座，50m3蓄水池1座；茶叶种植：第一次茶苗种植682150株，第二次茶苗补植117612株，防草布153430.8m2，反光膜42619.65m2，有机肥147.02t，附属设施：铁丝网围栏3969.32m，大门2座，标识牌2个。</t>
  </si>
  <si>
    <t>西藏朝发润物农业开发有限公司</t>
  </si>
  <si>
    <t>下察隅京都村</t>
  </si>
  <si>
    <t>购买京都村柑桔地120亩地面附着物以及152亩新建网围栏、灌溉管道工程、追肥等配套附属设施。</t>
  </si>
  <si>
    <t>种植石榴222.5亩，并配套附属设施</t>
  </si>
  <si>
    <t>察瓦龙乡拉卡村</t>
  </si>
  <si>
    <t>种植石榴110.4亩，并配套附属设施</t>
  </si>
  <si>
    <t>种植石榴300亩，灌溉工程2885M，并配套附属设施</t>
  </si>
  <si>
    <t>种植石榴120亩，并配套附属设施</t>
  </si>
  <si>
    <t>县文化和旅游局</t>
  </si>
  <si>
    <t>接待中心：建筑装饰工程53.88m²，安装工程53.88m²；2#楼餐厅：建筑装饰工程184.86m²，安装工程184.86m²；3#楼客栈：建筑装饰工程151.68m²，安装工程151.68m²，附属工程：室外电气工程1项，室外给排水工程1项，引水工程3023.78m，新建汤池6座，场地硬化工程227.04m2，园林绿化576.91m2，休息石桌椅6套，大门石墩2套，围墙工程132.52m，栏杆工程66.15m，帐篷承台1项；设备及工器具购置：空气能热源泵1台，家具、帐篷、遮阳座椅1项</t>
  </si>
  <si>
    <t>珠格</t>
  </si>
  <si>
    <t>上察隅镇格拥村</t>
  </si>
  <si>
    <t>土地平整：土方清理2557.8m3，石方清理1200m3，场地平整81109㎡；灌溉工程：管道工程1项，沉砂池1座，取水口1座，50m3蓄水池1座；茶叶种植：第一次茶树种植351086株，第二次茶树种植60552株，防草布78993.2㎡，反光膜21942.6㎡，有机肥75.7t；附属设施：铁丝网围栏2900m，大门3座，标识牌1个</t>
  </si>
  <si>
    <t>上察隅米古村</t>
  </si>
  <si>
    <t>土石方工程1项，灌溉工程1项，茶苗种植工程：茶树种植160208株，防草布30835.19m2，反光膜8637.6m2，有机肥29.45t，附属工程：铁丝围栏1520m，大门1座，标识牌1个</t>
  </si>
  <si>
    <t>下察隅卡地村</t>
  </si>
  <si>
    <t>土石方工程：场地平整39768m2，土方工程1385.52m3，石方清理900m3；灌溉工程：管道工程1项，25m³蓄水池1座，取水口1座，沉砂池1座；茶叶种植：第一次茶苗种植184832株，第二次茶苗补植31868株，防草布41772.9m2，反光膜11749m2，有机肥39.8t；附属设施：铁丝围栏1051.45m，大门1座，石头围墙700m，标识牌1个</t>
  </si>
  <si>
    <t>西藏自治区林芝市察隅县下察隅镇卡地村股份经济合作社</t>
  </si>
  <si>
    <t>竹瓦根镇嘎达村</t>
  </si>
  <si>
    <t>牛棚：建筑装饰工程600.16m2，安装工程600.16m2，隔离牛舍：建筑装饰工程37.84m2，安装工程37.84m2，宿舍兼消毒室：建筑装饰工程58.96m2，安装工程58.96m2，附属工程：新建消毒池1座，新建网围栏323.57米，总平电气1项，总平给排水1项，土石方工程1项，设备及工器具购置：牦牛75头，母牛10头，种牛5头，饲草料1项，干饲料1项；防疫费1项；饲料粉碎机1台</t>
  </si>
  <si>
    <t>西藏察鑫农业科技有限公司</t>
  </si>
  <si>
    <t>察瓦龙扎那村</t>
  </si>
  <si>
    <t>种植石榴98亩，并配套附属设施</t>
  </si>
  <si>
    <t>立项批复和确权申报主体:察隅县农业农村局</t>
  </si>
  <si>
    <t>上察隅荣玉村</t>
  </si>
  <si>
    <t>茶叶粗加工厂房：建筑装饰工程725.23m2，安装工程725.23m2；门卫室：建筑装饰工程53.04m2，安装工程53.04m2；附属工程：新建围墙144.60m，硬化工程637.32m2，停车位画线1.00项，绿化工程816.04m2，总体给排水工程1.00项，总体电气工程1.00项</t>
  </si>
  <si>
    <t>察隅县百振茶叶有限公司</t>
  </si>
  <si>
    <t>茶叶加工厂房：建筑装饰工程725.23m2，安装工程725.23m2；门卫室：建筑装饰工程53.04m2，安装工程53.04m2；附属工程：通透式围墙116.66m，硬化面积1100.51m2，停车位1.00项，绿化面积816.32m2，给排水工程1.00项，电气工程1.00项</t>
  </si>
  <si>
    <t>种植石榴255亩，并配套附属设施</t>
  </si>
  <si>
    <t>建设规模及工程内容，办公住宿综合楼:建筑装饰工程3029.42㎡，安装工程3029.42㎡;茶叶加工厂:建筑装饰工程2298.27㎡，安装工程2298.27㎡;库房办公室:建筑装饰工程1360.30㎡，安装工程1360.30㎡;设备用房(含消防水池):建筑装饰工程543.90㎡，安装工程543.90㎡;附属工程:挡墙114m，路沿石1303.88m，混凝土硬化工程6849.15㎡，总平电气工程1项，总平给排水工程1项。</t>
  </si>
  <si>
    <t>察瓦龙原岗藏村</t>
  </si>
  <si>
    <t>种植石榴60亩，新建蓄水池、灌溉管渠、网围栏等附属设施。</t>
  </si>
  <si>
    <t>古拉则巴村</t>
  </si>
  <si>
    <t>土地平整52.01亩，100m³蓄水池1座，喷灌系统1项，苗木种植2692株，网围栏2199m，阀门井6座等附属设施</t>
  </si>
  <si>
    <t>整体搬迁，尚未移交村集体。底稿资料已写</t>
  </si>
  <si>
    <t>古拉日托村</t>
  </si>
  <si>
    <t>种植石榴30亩，新建蓄水池、灌溉管渠、网围栏等附属设施。</t>
  </si>
  <si>
    <t>尚未移交，未实际经营</t>
  </si>
  <si>
    <t>温室大棚：建筑装饰工程2042.48㎡，安装工程2042.48㎡；附属工程：围墙工程（含大门）308.9m，有机营养土+营养液1项，土石方工程1项，总体电气工程1项，总体给排水工程1项。</t>
  </si>
  <si>
    <t>底稿资料已写</t>
  </si>
  <si>
    <t>察瓦龙乡邓许村</t>
  </si>
  <si>
    <t>360m³大棚3座，装饰工程1080㎡，安装工程1080㎡；296m³大棚2座，装饰工程592㎡，安装工程592㎡；240m³大棚9座，装饰工程2160㎡，安装工程2160㎡；216m³大棚6座，装饰工程1296㎡，安装工程1296㎡；168m³大棚1座，装饰工程168㎡，安装工程168㎡；等附属设施。</t>
  </si>
  <si>
    <t>种植石榴120亩，新建蓄水池、灌溉管渠、网围栏等附属设施。并引进专业人才进行察瓦龙乡全乡石榴的技术指导</t>
  </si>
  <si>
    <t>察瓦龙阿丙村</t>
  </si>
  <si>
    <t>土地平整72.07亩，100m³蓄水池1座，喷灌系统1项，苗木种植3730株，网围栏2109m，阀门井7座等附属设施</t>
  </si>
  <si>
    <t>修建停车场1个、门牌标识5个附属设施。</t>
  </si>
  <si>
    <t>在猕猴桃园铺设宽0.6米、长600米石板，并对360亩猕猴桃园施有机肥（每亩1吨）。</t>
  </si>
  <si>
    <t>察瓦龙松塔村</t>
  </si>
  <si>
    <t>建筑安装工程:管道工程1.00沉砂池4.00座，m³蓄水池1.00座，m³蓄水池1.00座，有机肥128.20t。</t>
  </si>
  <si>
    <t>下察隅镇布巴村、沙玛村</t>
  </si>
  <si>
    <t>计划对布巴村370亩猕猴桃、30亩石榴及沙玛村370亩枇杷和280亩石榴施加有机肥（每亩1吨）。</t>
  </si>
  <si>
    <t>下察隅镇布巴村</t>
  </si>
  <si>
    <t>计划修建产业园道路429米及三相电接入。</t>
  </si>
  <si>
    <t>在夏尼村种植猕猴桃100亩，及灌溉、购置有机肥等附属设施。</t>
  </si>
  <si>
    <t>村集体商超餐饮等经济用房:建筑装饰工程346.56㎡，安装工程346.56㎡;附属工程总体电气工程1.00项,总体给排水工程1.00项,硬化工程 25.59 ㎡,拆除工程228.75㎡,市政土建工程1.00项,市政管网工程1.00项,园林绿化 0.00㎡</t>
  </si>
  <si>
    <t>彭琼玲</t>
  </si>
  <si>
    <t>牛棚：建筑装饰工程982.83㎡，安装工程982.83㎡；隔离牛舍：建筑装饰工程39.15㎡安装工程39.15㎡；宿舍兼消毒室：建筑装饰工程60.75㎡，安装工程60.75㎡；饲料加工房：建筑装饰工程60.75㎡，安装工程60.75m2；附属工程：新建实体围墙443.82m，新建大门4.00座，总平电气工程1.00项，总平给排水工程1.00项。</t>
  </si>
  <si>
    <t>察隅县古玉乡罗马村宾馆（没有实施过）</t>
  </si>
  <si>
    <t>修建家庭旅馆一座</t>
  </si>
  <si>
    <t>王新华</t>
  </si>
  <si>
    <t>情况说明</t>
  </si>
  <si>
    <t>察瓦龙左布村</t>
  </si>
  <si>
    <t>种植工程，石榴种苗6277株，种植费121.3亩，有机肥5459株，病虫害防治121.3亩，人工修枝及管护121.3亩，保水剂121.3亩，蓄水池工程2座，主水管1967.57m（PE,DN110），灌溉支水管1039.25m（PE,DN60），灌溉毛管16109.74m（PE,DN13），滴头5459个，控制阀门8个，网围栏1987.52m，客土1200.98m3</t>
  </si>
  <si>
    <t>林芝市察隅县察瓦龙乡左布村股份经济合作社</t>
  </si>
  <si>
    <t>察瓦龙乡集镇</t>
  </si>
  <si>
    <t>特色产业楼：建筑装饰工程5768.20㎡,安装工程5768.20㎡;附属工程：道路硬化工程323.38㎡,花岗岩铺装工程715.01㎡,绿化工程964.87㎡,土石方工程1项，总体给排水工程1项，总体电气工程1项。设备购置：电梯2.00部，500KVA箱变1.00座。</t>
  </si>
  <si>
    <t>下察隅集镇</t>
  </si>
  <si>
    <t>计划建筑面积5731.74㎡，其中1#冷藏库3892.36m³，2#冷冻库2186.87m³及其他附属设施等。</t>
  </si>
  <si>
    <t>察瓦龙乡集镇、扎恩村</t>
  </si>
  <si>
    <t>冷链库:建筑装饰工程1830.06㎡,安装工程1830.06㎡;石榴仓库:建筑装饰工程45.36㎡，安装工程45.36㎡;物流仓库:建筑装饰工程503.12㎡，安装工程503.12㎡值班室:建筑装饰工程158.40㎡，安装工程158.40㎡;附属工程:土石方工程1项，挡墙工程1项，不锈钢伸缩门2套，围墙工程220m，原有围墙拆除及新建围墙工程24m，混凝土硬化工程2776.44㎡，混凝土硬化破除、恢复工程93.78㎡，减速带14m，截水沟22米，绿化工程1项，砖砌踏步1项，总体给排水工程1项总体电气工程1项。设备购置:冷链库设备购置1项，石榴仓库设备购置1项，400KVA变压器1台,高效双线机械选果机XGJ-JL型1套，冷链车1台，又车1台。</t>
  </si>
  <si>
    <t>下察隅共同村、上察隅荣玉村</t>
  </si>
  <si>
    <t>温室大棚:建筑装饰工程1222.44㎡,安装装工程1222.44㎡;育菌室:建筑装饰工程124.22㎡，安装工程124.22m:包装同:建筑装饰工程131.68㎡，安装工程131.68㎡:大门:建筑装饰工程1.00项;附属工程:总平给排水工程1.00项土石方工程1.00项，总平电气工程1.00项。</t>
  </si>
  <si>
    <t>淳安千岛湖正杰农业发展有限责任公司</t>
  </si>
  <si>
    <t>上察隅桑典村</t>
  </si>
  <si>
    <t>土地平整:土方清理2129.4m³,石方清理26764m³，场地平整330197.6m³，种植沟开挖10646.8m³，种植沟回填8519.44m³;种植工程:茶苗1337040株,防草布267383.24㎡,反光膜74275.05㎡,有机肥247.6t;种植辅助工程:灌溉工程1项，铁丝网围栏4723m，大门及标牌1项;</t>
  </si>
  <si>
    <t>西藏自治区林芝市察隅县上察隅镇桑典村股份经济合作社</t>
  </si>
  <si>
    <t>2024年村集体接收与管护，管护验收通过率为60%，未开始采摘,无法开展评估</t>
  </si>
  <si>
    <t>古玉乡巴依村</t>
  </si>
  <si>
    <t>1#牛棚:建筑装饰工程982.83㎡安装工程982.83㎡;2#牛棚:建筑装饰工程982.83㎡，安装工程982.83m;3#牛棚:建筑装饰工程982.83m，安装工程982.83㎡犊牛舍:建筑装饰工程420.21㎡，安装工程420.21㎡;草料棚:建筑装饰工程263.61㎡，安装工程263.61㎡;消毒室兼管理用房:建筑装饰工程85.05㎡，安装工程85.05㎡;隔离牛舍:建筑装饰工程39.15㎡，安装工程39.15㎡;牛粪处理间:建筑装饰工程66.15㎡安装工程66.15㎡;总平附属工程:土石方工程1项，给排水工程1项,电气工程1项,混凝土道路850.63㎡,三合土活动区2361.76㎡，粪便处理区161.76㎡，新建围墙505.05m，铁围栏351.8m，2m高挡墙80m，新建大门3座。设备购置费:饲料粉碎机2台，室外箱变1项，饲草料1项，精饲料1项，仔牛(母)154头，母牛4头种牛8头，消毒设备1项，牛粪生物质燃料压块1项。</t>
  </si>
  <si>
    <t>猕猴桃种植配套工程：灌溉工程1项，立柱11499根，新建铁丝网围栏1585.4m,1.8mm钢丝262780m,砂砾石路面1890.42m²,表土清理19999.98m³(含树木砍伐及转运),种植土换填2589.62m³,标志标牌工程1座，大门2座，防草布26343.6m²,3.5米高太阳能杀虫灯10盏；猕猴桃工程：猕猴桃苗11989株，猕猴桃种植150亩，病虫害防治150亩，人工修枝及管护(三年)150亩，有机肥225吨。</t>
  </si>
  <si>
    <t>2025年才挂果</t>
  </si>
  <si>
    <t>立项批复+财评还未出</t>
  </si>
  <si>
    <t>土地平整工程1项，种植沟开挖，回填工程1项，管道工程1项，沉砂池1座，取水口1座，50立方米蓄水池1座；第一次茶叶种植724500株，第二次种植茶叶198080株，防草布164373.3平方米，反光膜45659.25平方米，有机肥157.5吨，铁丝网围栏2783.5米，大门2座，标识牌1个。该项目的实施可保证搬迁群众的产业发展，保证搬迁群众的产业收入。经营主体：本堆村搬迁点村委会；项目建成后可有效带动91户，418人实现增收。</t>
  </si>
  <si>
    <t>通电工程1项</t>
  </si>
  <si>
    <t>建设内容：管理用房：建筑装饰工程68.75㎡，安装工程68.75㎡;加工厂：建筑装饰工程542.8㎡，安装工程542.8㎡;室外附属工程：室外电气工程1项，室外给排水工程1项，照明工程10盏，场地平整1项，场地道硬化1386.3㎡，排水沟96.58m，护栏80.32m，1.5m高挡土墙80.32m，通透式围墙149.78m;供水工程：给水管道工程1项，100m³蓄水池1座；田间种植、灌溉工程：场地清表106667.99㎡，灌溉工程1项；其他工程：网围栏2949.32m，大门6座，简介标识牌3座。设备购置及安装：茯苓菌棒1884m³，茯苓菌种100000袋，不锈钢操作台1套，成品钢制货架30个，成品烘千设备40kw6套，监控终端设备1套。可行性、必要性：该项目的建设可有效带动察隅县林下菌类产业发展，促进农牧民增收；经营主体：下察隅镇人民政府；效益分析：项目建成后可有效带动48户，266人实现增收。</t>
  </si>
  <si>
    <t>上察隅镇布宗村</t>
  </si>
  <si>
    <t>建设内容：田间种植、灌溉工程：场地清表14540m³，灌溉工程1项，200m³蓄水池1座，取水口1座，过滤池1座；附属工程：网围栏2972.27m，大门11座，简介标识牌4个，机耕道5681.04㎡，盖板沟5米；设备购置及安装：木耳菌包387831袋。可行性、必要性：该项目的建设可有效带动察隅县林下菌类产业发展，促进农牧民增收。经营主体：上察隅镇人民政府；效益分析：项目建成后可有效带动26户，142人实现增收。</t>
  </si>
  <si>
    <t>西藏上诚健康产业股份有限公司</t>
  </si>
  <si>
    <t>因经营主体财务数据不健全等原因无法开展评估</t>
  </si>
  <si>
    <t>下察隅镇沙琼村、洞冲村</t>
  </si>
  <si>
    <t>项目计划将资金入股华源佳隅农业科技技术开发有限公司（目前该公司拥有猕猴桃种植园1500亩，年亩产猕猴桃2500斤，可实现产值3750万元/年，带动周边群众务工收入近200万元，土地流转费用200万元以上），基地在保证70万元/村本金不损失的情况下，每年按照扶持资金的5%向入股村集体分红，为2个村每年集体增收共7万元。同时，如果出现撤股情况，村集体保证将70万元本金继续用于村集体经济建设。</t>
  </si>
  <si>
    <t>林芝华源佳隅农业科技开发有限公司</t>
  </si>
  <si>
    <t>修建啤酒、自来水加工厂房、成品仓库、原料仓库、综合楼、配套用房、公厕、水电工程、绿化硬化等，建筑面积7550.34㎡。</t>
  </si>
  <si>
    <t>立项批复，项目资料</t>
  </si>
  <si>
    <t>种植核桃900亩、石榴700亩</t>
  </si>
  <si>
    <t>核桃、石榴</t>
  </si>
  <si>
    <t>察隅县林草局提供了资料</t>
  </si>
  <si>
    <t>二镇所有行政村</t>
  </si>
  <si>
    <t>为两镇的贫困户购置仔猪2048头。</t>
  </si>
  <si>
    <t>古拉乡觉布如村</t>
  </si>
  <si>
    <t>占地面积400平米，其中农家乐建筑面积310平米，绿化用地90平米，农家乐配套餐饮、住宿和便利商店。</t>
  </si>
  <si>
    <t>下察隅镇沙玛村</t>
  </si>
  <si>
    <t>饮水灌溉工程：滴灌供水管1.00项 ,集水池1.00项，沉砂池1.00项；附属工程：除草工程1项，室外总水1项，室外总电1项，标识标牌2个，铁艺大门1座，1.5米高挡墙20.6m，附属用房庭院1.5米高围墙51m，附属用房庭院大门1座，150厚水泥硬化地面226m2；设备用房1#：建筑装饰工程48.84m2，安装工程48.84m2；设备用房2#：建筑装饰工程48.84m2，安装工程48.84m2；附属用房：建筑装饰工程81.00m2，安装工程81.00m2；设备购置：柴油发电机2.00台，智能水肥一体机2.00台。</t>
  </si>
  <si>
    <t>与察隅县茶叶产业项目（第二批）地点实施，枇杷茶叶套种</t>
  </si>
  <si>
    <t>察隅县上察隅镇人民政府</t>
  </si>
  <si>
    <t>温室大棚：建筑装饰工程1320.00m2，安装工程1320.00m2。</t>
  </si>
  <si>
    <t>下察隅镇卡地村</t>
  </si>
  <si>
    <t>水肥一体化用房：建筑装饰工程51.65m2，安装工程51.65m2；附属工程：智能溯源体系1项，室外电气工程1项，室外灌溉工程1项；景观工程：主大门1座，次大门1座，景观木屋1座，木栈道672m，金属围网643m，碎石道路2525m2，石材铺装273m2，种植工程1项，葡萄廊架30m，茶树补栽1项</t>
  </si>
  <si>
    <t>新建4座猪舍，及围墙500m等</t>
  </si>
  <si>
    <t>合作运营</t>
  </si>
  <si>
    <t>察隅县昌林养殖有限公司</t>
  </si>
  <si>
    <t>土地平整:土方清理3688.90m³，石方清理2800.00m³，场地平整141418.80㎡;灌溉工程:管道工程1.00项，沉砂池1.00 座，取水口1.00 座，50m蓄水池 1.00 座;茶叶种植:第一次茶叶种植492119.00株，第二次茶叶种植(补植)84848.00株，防草布101460.48㎡，反光膜 30746.80㎡，有机肥106.06t;附属设施:铁丝网围栏 1830.40m,大门1.00座，标识牌1.00个</t>
  </si>
  <si>
    <t>对阿丙村96户居民进行家庭旅馆的风格改造，为每户安装围布、顶灯、线路改造，进行墙面粉刷</t>
  </si>
  <si>
    <t>购置农机具</t>
  </si>
  <si>
    <t>购买微耕机</t>
  </si>
  <si>
    <t>为察瓦龙乡购置常柴188微耕机336台，配套犁、深耕刀和500-12轮胎</t>
  </si>
  <si>
    <t>确权申报主体是察隅县扶贫开发办公室</t>
  </si>
  <si>
    <t>以村集体、双联户或贫困户为单位，采购微耕机、收割机、脱粒机等农机具</t>
  </si>
  <si>
    <t>在布宗村：田间整治工程252亩；桑久村：田间整治工程426亩；桑久村珠组：田间整治工程90亩；桑久村加达组：田间整治工程94亩；；龙古村：田间整治工程248亩；目若村：田间整治工程223亩；曲瓦村：田间整治工程164亩；日东村：田间整治工程192亩；日东之推组：田间整治工程178亩；知美村：田间整治工程：670亩；雄久村：田间整治工程23亩；雄久村达巴组：田间整治工程250亩；雄久村西拖拉卡组：田间整治工程：307亩；罗马村：田间整治工程320亩；机耕道工程：空档村然巴组：田间整治工程92亩；空档村色巴组，田间整治工程325亩；空档村：田间整治工程446亩；邓许存邓许组：田间整治工程17亩；机耕道工程430米；邓许村熊组：田间整治工程45亩；邓许村共同组：田间整治工程120亩；龙普存：田间整治工程415亩；前中瓦村：田间整治工程600亩；沙布村：田间整治工程273亩；玉和村布玉组：田间整治工程273亩；玉和村达达组：田间整治工程290亩等</t>
  </si>
  <si>
    <t>邀请专业机构进行整体及旅游发展规划。编制上察隅镇、下察隅镇总体规划和详细规划；援藏项目设计、地形图测量和地质灾害评估费用；察隅县援藏公寓维护等费用</t>
  </si>
  <si>
    <t>种植197亩到户突尼斯软籽石榴其配套灌溉设施，肥料、农药及管护197亩</t>
  </si>
  <si>
    <t>种植109亩到户突尼斯软籽石榴其配套灌溉设施，肥料、农药及管护109亩</t>
  </si>
  <si>
    <t>种植32亩到户突尼斯软籽石榴其配套灌溉设施，肥料、农药及管护32亩</t>
  </si>
  <si>
    <t>察瓦龙乡曲珠村</t>
  </si>
  <si>
    <t>种植6亩到户突尼斯软籽石榴其配套灌溉设施，肥料、农药及管护6亩</t>
  </si>
  <si>
    <t>察瓦龙乡松塔村</t>
  </si>
  <si>
    <t>种植126亩到户突尼斯软籽石榴其配套灌溉设施，肥料、农药及管护126亩</t>
  </si>
  <si>
    <t>种植到户突尼斯软籽石榴其配套灌溉设施，肥料、农药及管护</t>
  </si>
  <si>
    <t>装修装饰松塔民俗客栈</t>
  </si>
  <si>
    <t>个人</t>
  </si>
  <si>
    <t>核定本工程概算总投资1375.76万元，其中建筑安装工程费1200.93万元，设备购置费29.1万元，工程其他费用85.27万元，基本预备费用60.46万元；察隅县农贸市场综合改造项目位于察隅县农贸市场，核定建设规模及工程内容为：建筑面积3973.89平方米。</t>
  </si>
  <si>
    <t>新建2457.5平米的商住楼及附属工程。</t>
  </si>
  <si>
    <t>察瓦龙乡、古拉乡</t>
  </si>
  <si>
    <t>柑橘4212株，共计113,724.00元，石榴10281株，共计462,645.00元，香梨10281株，共计18,941.00元，苹果7304株，共计204,512.00元，桃子2907株，共计90,117.00元，葡萄2755株，共计82,650.00元，核桃743株，共计22,020.00元。</t>
  </si>
  <si>
    <t>林芝市巴宜区</t>
  </si>
  <si>
    <t>购置商铺8068.46㎡。</t>
  </si>
  <si>
    <t>巴宜区幸福小区对面，2017年10月16日09时30分在林芝市建设工程交易中心进行公开招标，确定林芝睿晟商贸有限公司为中标人；中标价为5,020,200.00元;中标内容：共购置商铺8068.46㎡（其中商贸城：3491.99㎡，幸福小区：4576.47㎡），商品房整体年租金为人民币5,020,200.00元，租金按年缴纳，每年为一期，两个月装修期免租金（自2017年11月3日至2018年1月2日），免租期到期后5个工作日内乙方应缴纳第一年度租金合计4,183,500.00元整。</t>
  </si>
  <si>
    <t>土地平整：土石方工程1项；2#地：管道工程1项，50m³蓄水池1座；茶叶种植：茶苗第一次种植402420株，茶苗第二次补种67070株，防草布58156㎡，反光膜31314㎡，铺干松叶枝9320㎡，有机肥67.07t，铁丝网围栏528.6m，大门1座，标识牌2块。</t>
  </si>
  <si>
    <t>下察隅沙玛村</t>
  </si>
  <si>
    <t>土地平整：土方清理6964.99m³,石方清理15900m³,场地平整298543.48 m²;灌溉工程：管道工程1项，沉砂池1座，取水口1座；50m³蓄水池1座；茶叶种植：第一次茶苗种植1038896株，第二次茶苗补植179120株，防草布233671m²,反光膜64908.61m²,有机肥223.9t;附属设施：铁丝网围栏4988.71m,大门3座，标识牌3个</t>
  </si>
  <si>
    <t>下察隅嘎腰村</t>
  </si>
  <si>
    <t>414亩茶苗茶园补植、附属设施完善及管护等</t>
  </si>
  <si>
    <t>下察隅镇塔玛村、宗古村、竹尼村</t>
  </si>
  <si>
    <t>1797亩茶叶提升改造，土地平整、灌溉工程、茶苗种植、附属工程及三年管理</t>
  </si>
  <si>
    <t>下察隅镇扎巴村、塔林村、自更村、共同村、沙琼村</t>
  </si>
  <si>
    <t>3513亩茶叶提升改造，土地平整、灌溉工程、茶苗种植、附属工程及三年管理</t>
  </si>
  <si>
    <t>下察隅镇扎巴村</t>
  </si>
  <si>
    <t>土地平整及茶叶种植138.4亩、网围栏、大门等附属设施</t>
  </si>
  <si>
    <t>下察隅镇新村、嘎堆嘎美村</t>
  </si>
  <si>
    <t>788.46亩茶园茶苗补植、附属设施完善及管护等</t>
  </si>
  <si>
    <t>土地平整：土方清理2995m³,石方清理1000m³,场地平整713085.95m²,种植沟开挖21392.64m³,种植沟回填18397.64m³;灌溉工程：取水口1座，沉砂池1座，100m³蓄水池1座；茶叶种植：第一次茶叶种植2481542株，第二次茶叶种植427852株，防革布558155m²,反光膜155043m²,有机肥534.82t,附属设施；铁丝网围栏8527.50m,大门2座，标识牌1个</t>
  </si>
  <si>
    <t>察隅县西典圣茗农业发展有限公司</t>
  </si>
  <si>
    <t>下察隅仲萨村</t>
  </si>
  <si>
    <t>土地平整：土方清理2851.76m³,石方清理10512.50m³,场地平整292175m²,种植沟开挖9421.30m³,种植沟回填7537.04m³;种植工程：茶苗1183140株，防草布236508.90m²,反光膜65698.62m²,有机肥219.10t;种植辅助工程：灌溉工程1项，铁丝网围栏4914.40m,大门及标牌1项</t>
  </si>
  <si>
    <t>西藏自治区林芝市察隅县下察隅镇仲萨村股份经济合作社</t>
  </si>
  <si>
    <t>上察隅巩固村</t>
  </si>
  <si>
    <t>，新建铁丝围栏1435m,新建大门2座，喷灌工程1项，土方工程1项，标识牌2套，地面破除及恢复8m²;茶叶种植：茶苗第一次种植510750株，茶苗第二次补种85125株，防草布73811 m²,反光膜39744 m²,有机肥463190t</t>
  </si>
  <si>
    <t>新建铁丝围栏4720.4m,新建大门1座，100m³蓄水池1座，取水口1座，喷灌工程1项，场地清理1项，标识牌1套；第一次茶叶种植748290株，第二次补植249430株，防草布194652m²,反光膜104812m²,茶苗及相关采购，茶苗第一次种植748290株，茶苗第二次补种249430株，防草布194652 m²,反光膜104812m²,有机肥249.43t</t>
  </si>
  <si>
    <t>西藏自治区林芝市察隅县上察隅镇巩固村股份经济合作社</t>
  </si>
  <si>
    <t>上察隅镇岗藏村</t>
  </si>
  <si>
    <t>土地平整：石方清理3500m³,场地平整170632.56 m²,种植沟开挖5503m³,植沟回填4403m³;灌溉工程：管道工程1项，50m³蓄水池1座，25m³蓄水池1座；茶叶种植：茶苗种植1项；附属设施：铁丝网围栏1905.12米，大门1座，标识牌1个</t>
  </si>
  <si>
    <t>西藏自治区林芝市察隅县上察隅镇岗藏村股份经济合作社</t>
  </si>
  <si>
    <t>土地平整1项，灌溉工程：管道工程1项，取水口3座，100m3蓄水池3座；茶叶种植：茶苗第一次种植1376520株，茶苗第二次补种458840株，防草布 358074㎡，反光膜192809㎡，有机肥458.84t；茶叶种植附属工程，铁丝网围栏3600.38m，大门3座，标识牌4块</t>
  </si>
  <si>
    <t>茶叶粗加工厂房：建筑装饰工程725.23㎡，安装工程725.23㎡；门卫室：建筑装饰工程53.04㎡，安装工程53.04㎡；附属工程：新建围墙147.50m，硬化工程363.69㎡，停车位画线1.00项，绿化工程530.66㎡，总体给排水工程1.00项，总体电气工程1.00项</t>
  </si>
  <si>
    <t>土地平整：土石方工程1项；2＃地：管道工程1项，取水口1座，50m3蓄水池1座；茶叶种植：茶苗第一次种植182610株，茶苗第二次补种60870株，防草布47502㎡，反光膜25578㎡，有机肥60.87t；茶叶种植附属：铁丝网围栏3310m，标识牌2块</t>
  </si>
  <si>
    <t>竹瓦根镇巴嘎村</t>
  </si>
  <si>
    <t>种苗1519800株：辅助材料：有机肥447000kg,遮阳膜92332m²,防草布205669m²;人工种植：清林、整地、起龚447亩，植苗、铺防草布、遮阳膜447亩；有害生物害防治：病虫(鼠)害防治447亩(3年);辅助工程：拦河坝1座，宣传牌1套，滴溉管网1项，输水管网1项，1#管桥1座，2#管桥1座，30m³蓄水池土建1座，40m³蓄水池土建1座</t>
  </si>
  <si>
    <t>茶叶生产加工车间：建筑装饰工程1620.04㎡，安装工程1620.04㎡；茶叶库房：建筑装饰工程762.01㎡，安装工程762.01㎡；室外晒茶架：建筑装饰工程100㎡；门卫室及大门：建筑装饰工程1项，安装工程1项；附属工程：场内道路2299.4㎡，消防车道144㎡，通透式围墙420m，土石方工程1项，排水暗沟300m，新建堡坎77.2m，室外电气工程1项，室外给排水工程1项，设备及工具、器具购置</t>
  </si>
  <si>
    <t>下察隅镇塔林村</t>
  </si>
  <si>
    <t>茶叶加工厂房：建筑装饰工程725.23m²,安装工程725.23m²;门卫室：建筑装饰工程53.04m²,安装工程53.04m²;附属工程：通透式围墙50.00m,硬化面积524.00m²,停车位1.00项，绿化面积791.00m²,给排水工程1.00项，电气工程1.00项</t>
  </si>
  <si>
    <t>察隅县雪山圣茗有限公司</t>
  </si>
  <si>
    <t>灌溉工程：管道工程3000m，蓄水池1座，标识牌1个；茶苗种植工程：清除地表杂物40亩，挖穴、茶苗人工种植费80000株，有机肥、表土等回填人工费80000株；附属设施：大门1座，铁丝网围栏1430m；设备及工器具购置费：茶苗购置费80000株，购买及运输修剪机2台，购买、运输及安装防虫灯、黄板等设施10台，有机肥采购40t</t>
  </si>
  <si>
    <t>灌溉工程：管道工程6700m，蓄水池2座，标识牌1个；茶苗种植工程：清除地表杂物148亩，挖穴、茶苗人工种植费420000株，有机肥、表土等回填人工费420000株；附属设施：大门3座，铁丝网围栏2600m；设备及工器具购置费：茶苗购置费 420000株，购买及运输修剪机4台，购买、运输及安装防虫灯、黄板等设施20台，有机肥采购148t</t>
  </si>
  <si>
    <t>下察隅沙琼村</t>
  </si>
  <si>
    <t>茶叶加工厂房：建筑装饰工程728.80㎡，安装工程728.80㎡；附属工程：混凝土路面工程86.22㎡，硬化工程1272.11㎡，停车位工程90㎡，挡土墙工程1237.81㎡，土石方工程1项，总体电气工程1项，总体给排水工程1项</t>
  </si>
  <si>
    <t>整地280亩，植苗、铺防草布280亩，引水管修复DN75（1.0MPA）PE管2000m，宣传牌一座，购买茶苗588000株，购买有机肥280000kg，购买防草布154001㎡等内容</t>
  </si>
  <si>
    <t>新建蓄水池2个，灌溉工程1项，标志牌1座，整体含施底肥370亩，植苗、铺防草布370亩，购买茶苗777000株，购买有机肥370000kg，购买防草布192400 m² 等内容</t>
  </si>
  <si>
    <t>下察隅镇沙玛、卡地村</t>
  </si>
  <si>
    <t>新建茶园338.85亩。其中沙玛村132.05亩、卡地村206.8亩，土地平整、灌溉、茶树种植、设备购置及附属</t>
  </si>
  <si>
    <t>下察隅镇宗古村</t>
  </si>
  <si>
    <t>在下察隅镇宗古村种植茶叶386亩，涉及土地平整、灌溉工程、茶树种植及其附属设施等建设</t>
  </si>
  <si>
    <t>察隅县德茗茶业有限责任公司</t>
  </si>
  <si>
    <t>在下察隅镇自更村种植茶叶430亩，涉及土地平整、灌溉工程、茶树种植及其附属设施等建设</t>
  </si>
  <si>
    <t>下察隅镇竹尼村</t>
  </si>
  <si>
    <t>在下察隅镇竹尼村种植茶叶903亩，涉及土地平整、灌溉工程、茶树种植及其附属设施等建设</t>
  </si>
  <si>
    <t>在下察隅镇塔玛村种植茶叶508亩，涉及土地平整、灌溉工程、茶树种植及其附属设施等建设</t>
  </si>
  <si>
    <t>在下察隅镇塔林村种植茶叶540亩，涉及土地平整、灌溉工程、茶树种植及其附属设施等建设</t>
  </si>
  <si>
    <t>在下察隅镇沙琼村种植茶叶2056亩，涉及土地平整、灌溉工程、茶树种植及其附属设施等建设</t>
  </si>
  <si>
    <t>下察隅镇共同村</t>
  </si>
  <si>
    <t>在下察隅镇共同村种植茶叶320亩，涉及土地平整、灌溉工程、茶树种植及其附属设施等建设</t>
  </si>
  <si>
    <t>下察隅镇嘎腰村</t>
  </si>
  <si>
    <t>在下察隅镇嘎腰村种植茶叶414亩，涉及土地平整、灌溉工程、茶树种植及其附属设施等建设</t>
  </si>
  <si>
    <t>下察隅镇嘎堆嘎美村</t>
  </si>
  <si>
    <t>在下察隅镇嘎堆嘎美村种植茶叶430亩，涉及土地平整、灌溉工程、茶树种植及其附属设施等建设</t>
  </si>
  <si>
    <t>下察隅镇新村</t>
  </si>
  <si>
    <t>在下察隅镇新村种植茶叶358.46亩，涉及土地平整、灌溉工程、茶树种植及其附属设施等建设</t>
  </si>
  <si>
    <t>在下察隅镇扎巴村种植茶叶167亩，涉及土地平整、灌溉工程、茶树种植及其附属设施等建设</t>
  </si>
  <si>
    <t>上察隅永宁村</t>
  </si>
  <si>
    <t>新建遮阳温室2栋，每栋温室占地240㎡（规格：24m×10m），购买灵芝菌袋1万袋（其中：4000袋用于遮阳温室栽种，其余6000袋野外栽种），并聘请地区科技局专家进行实地技术指导。</t>
  </si>
  <si>
    <t>县人民政府2014年会议纪要第二十七号</t>
  </si>
  <si>
    <t>推广种植玛卡20亩，种植贝母10亩，种植灵芝1200平方</t>
  </si>
  <si>
    <t>林地扶发〔2015〕复字1号</t>
  </si>
  <si>
    <t>种核桃160亩，约9600株，铁丝网围栏1800米，新修土渠1500米。</t>
  </si>
  <si>
    <t>核桃</t>
  </si>
  <si>
    <t>藏扶办〔2013〕复字10号</t>
  </si>
  <si>
    <t>古拉则巴村、觉布如、关龙</t>
  </si>
  <si>
    <t>在则巴、觉不如与关龙三村种植核桃1050亩：购买核桃苗木35381株，挖坑回填35381个；购买PE管材2780米；新建铁丝网围栏4000米及其它附属建设等。</t>
  </si>
  <si>
    <t>林地扶发〔2014〕复字8号.</t>
  </si>
  <si>
    <t>新建水磨坊6座，每组1座</t>
  </si>
  <si>
    <t>扩建猪舍334㎡，修建围栏500米，购买种猪、饲料加工设备</t>
  </si>
  <si>
    <t>察瓦龙乡目巴村</t>
  </si>
  <si>
    <t>新建核桃种植基地10亩，购买核桃树苗1500棵修建灌溉水渠600米，围栏3000米。</t>
  </si>
  <si>
    <t>上察隅镇翠西村</t>
  </si>
  <si>
    <t>新建核桃种植基地水渠、简易道路以及附属设施建设。</t>
  </si>
  <si>
    <t>新种植丹参、黄牡丹等藏药原料原材料200亩</t>
  </si>
  <si>
    <t>新建拟魔芋种植基地10亩，铁丝围栏2000米，够加工设备等</t>
  </si>
  <si>
    <t>新建猪舍800平方米、围墙5000米以及附属设施建设。</t>
  </si>
  <si>
    <t>察瓦龙前中瓦村</t>
  </si>
  <si>
    <t>新建10座，每组2座水泥结构</t>
  </si>
  <si>
    <t>新建种植面积6亩，围墙280米</t>
  </si>
  <si>
    <t>上察隅镇阿扎村</t>
  </si>
  <si>
    <t>种植面积200亩，机耕道1000米，水渠1000米及附属设施项目建设</t>
  </si>
  <si>
    <t>新建藏猪舍、鸡舍共380平方米以及附属设施建设。</t>
  </si>
  <si>
    <t>修建鸡舍150㎡、围栏、工房，购买鸡种、机器设备等。</t>
  </si>
  <si>
    <t>540425201519412</t>
  </si>
  <si>
    <t>种植鸡爪谷60亩，修建灌溉水渠1.5公里，架设网围栏4千米</t>
  </si>
  <si>
    <t>540425201519417</t>
  </si>
  <si>
    <t>新建占地50亩，购买核桃苗1000棵，建工房、围墙、仓库等辅助设施</t>
  </si>
  <si>
    <t>察瓦龙乡岗藏村</t>
  </si>
  <si>
    <t>新建核种植基地15亩，购买核桃苗850株，灌溉水渠600米，围栏300米</t>
  </si>
  <si>
    <t>540425201519413</t>
  </si>
  <si>
    <t>改造农家乐内部设施等</t>
  </si>
  <si>
    <t>540425202219039</t>
  </si>
  <si>
    <t>核定建设内容为:为我县6个乡镇28个行政村120户建档立卡贫困户新建蔬菜大棚10栋，共22205平方米(单栋蔬菜大棚规格:古拉乡和察瓦龙乡20m*6m=120m;竹瓦根镇、上察隅镇和下察隅镇30m*8m=240m2)。</t>
  </si>
  <si>
    <t>种植枇杷146亩，由村集体统一从四川成都龙泉驿区龙泉驿镇采购优质的五大星枇杷苗子7287/株，维修围栏等基础设施;修建438米石头围墙，规格为宽.0.5米、高1.5米，修建一座长6m*宽5m=30m2的枇杷果实收藏室</t>
  </si>
  <si>
    <t xml:space="preserve"> </t>
  </si>
  <si>
    <r>
      <rPr>
        <sz val="22"/>
        <color theme="1"/>
        <rFont val="方正小标宋简体"/>
        <charset val="134"/>
      </rPr>
      <t xml:space="preserve">西藏自治区察隅县帮扶产业项目资产总台账
</t>
    </r>
    <r>
      <rPr>
        <sz val="18"/>
        <color theme="1"/>
        <rFont val="方正小标宋简体"/>
        <charset val="134"/>
      </rPr>
      <t>（截至2026年6月20日数据）</t>
    </r>
  </si>
  <si>
    <t>项目县区</t>
  </si>
  <si>
    <t>项目实际投入金额
（万元）</t>
  </si>
  <si>
    <t>资产
个数</t>
  </si>
  <si>
    <t>资产原值总金额（万元）</t>
  </si>
  <si>
    <t>资产净值总金额
（万元）</t>
  </si>
  <si>
    <t>资产属性</t>
  </si>
  <si>
    <t>资产“五权”确权主体</t>
  </si>
  <si>
    <t>所有权</t>
  </si>
  <si>
    <t>经营权主体名称</t>
  </si>
  <si>
    <t>收益权主体名称</t>
  </si>
  <si>
    <t>监督权主体名称</t>
  </si>
  <si>
    <t>处置权主体名称</t>
  </si>
  <si>
    <t>主体类别</t>
  </si>
  <si>
    <t>填表说明：与表3项目编号一致</t>
  </si>
  <si>
    <t>一个项目仅填写一行</t>
  </si>
  <si>
    <t>与表2项目实际投资金额合计数一致</t>
  </si>
  <si>
    <t>应为项目实际形成资产个数合计数</t>
  </si>
  <si>
    <t>应为项目实际形成资产总数
（保留小数点后面2位）</t>
  </si>
  <si>
    <t>统计时间为截止2024年12月31日</t>
  </si>
  <si>
    <t>在“国有资产、集体资产、到户资产”中选择</t>
  </si>
  <si>
    <t>在“农村集体经济组织、农户、国企、乡（镇）人民政府”中选择</t>
  </si>
  <si>
    <t>集体资产</t>
  </si>
  <si>
    <t>林芝市察隅县竹瓦根镇学尼村股份经济合作社</t>
  </si>
  <si>
    <t>西藏自治区林芝市察隅县竹瓦根镇学尼村村民委员会</t>
  </si>
  <si>
    <t>林芝市察隅县竹瓦根镇空档村股份经济合作社</t>
  </si>
  <si>
    <t>西藏自治区林芝市察隅县竹瓦根镇空档村村民委员会</t>
  </si>
  <si>
    <t>国有资产</t>
  </si>
  <si>
    <t>林芝市察隅县竹瓦根镇扎拉村股份经济合作社</t>
  </si>
  <si>
    <t>西藏自治区林芝市察隅县竹瓦根镇扎拉村村民委员会</t>
  </si>
  <si>
    <t>林芝市察隅县竹瓦根镇桑久村股份经济合作社</t>
  </si>
  <si>
    <t>西藏自治区林芝市察隅县竹瓦根镇桑久村村民委员会</t>
  </si>
  <si>
    <t>察隅县国有资产监督管理委员会</t>
  </si>
  <si>
    <t>林芝市察隅县竹瓦根镇嘎达村股份经济合作社</t>
  </si>
  <si>
    <t>西藏自治区林芝市察隅县竹瓦根镇嘎达村村民委员会</t>
  </si>
  <si>
    <t>察隅县竹瓦根镇日东片区农畜产品专业合作社</t>
  </si>
  <si>
    <t>察隅县古玉乡然乌学村茶馆</t>
  </si>
  <si>
    <t>林芝市察隅县古玉乡然乌学村股份经济合作社</t>
  </si>
  <si>
    <t>西藏自治区林芝市察隅县古玉乡然乌学村村民委员会</t>
  </si>
  <si>
    <t>林芝市察隅县古玉乡博学村股份经济合作社</t>
  </si>
  <si>
    <t>西藏自治区林芝市察隅县古玉乡博学村村民委员会</t>
  </si>
  <si>
    <t>林芝市察隅县古玉乡巴依村股份经济合作社、林芝市察隅县古玉乡玉和村股份经济合作社</t>
  </si>
  <si>
    <t>西藏自治区林芝市察隅县古玉乡巴依村村民委员会、西藏自治区林芝市察隅县古玉乡巴玉和村村民委员会</t>
  </si>
  <si>
    <t>林芝市察隅县古玉乡古井村股份经济合作社</t>
  </si>
  <si>
    <t>西藏自治区林芝市察隅县古玉乡古井村村民委员会</t>
  </si>
  <si>
    <t>林芝市察隅县古玉乡罗马村股份经济合作社</t>
  </si>
  <si>
    <t>西藏自治区林芝市察隅县古玉乡罗马村村民委员会</t>
  </si>
  <si>
    <t>察隅县古玉乡罗马村犏牛养殖场</t>
  </si>
  <si>
    <t>林芝市察隅县下察隅镇京都村股份经济合作社</t>
  </si>
  <si>
    <t>西藏自治区林芝市察隅县下察隅镇京都村村民委员会</t>
  </si>
  <si>
    <t>林芝市察隅县下察隅镇沙琼村股份经济合作社</t>
  </si>
  <si>
    <t>西藏自治区林芝市察隅县下察隅镇沙琼村村民委员会</t>
  </si>
  <si>
    <t>林芝市察隅县下察隅镇沙琼村股份经济合作社、林芝市察隅县下察隅镇洞冲村股份经济合作社</t>
  </si>
  <si>
    <t>西藏自治区林芝市察隅县下察隅镇沙琼村村民委员会、西藏自治区林芝市察隅县下察隅镇洞冲村村民委员会</t>
  </si>
  <si>
    <t>林芝市察隅县下察隅镇夏尼村股份经济合作社</t>
  </si>
  <si>
    <t>西藏自治区林芝市察隅县下察隅镇夏尼村村民委员会</t>
  </si>
  <si>
    <t>林芝市察隅县下察隅镇卡地村股份经济合作社</t>
  </si>
  <si>
    <t>西藏自治区林芝市察隅县下察隅镇卡地村村民委员会</t>
  </si>
  <si>
    <t>林芝市察隅县下察隅镇布巴村股份经济合作社、林芝市察隅县下察隅镇宗古村股份经济合作社、林芝市察隅县下察隅镇京都村股份经济合作社</t>
  </si>
  <si>
    <t>西藏自治区林芝市察隅县下察隅镇布巴村村民委员会、西藏自治区林芝市察隅县下察隅镇京都村村民委员会、西藏自治区林芝市察隅县下察隅镇宗古村村民委员会</t>
  </si>
  <si>
    <t>林芝市察隅县下察隅镇自更村股份经济合作社</t>
  </si>
  <si>
    <t>-</t>
  </si>
  <si>
    <t>西藏自治区林芝市察隅县下察隅镇自更村村民委员会</t>
  </si>
  <si>
    <t>林芝市察隅县下察隅镇共同村股份经济合作社</t>
  </si>
  <si>
    <t>西藏自治区林芝市察隅县下察隅镇共同村村民委员会</t>
  </si>
  <si>
    <t>到户资产</t>
  </si>
  <si>
    <t>林芝市察隅县下察隅镇塔玛村股份经济合作社</t>
  </si>
  <si>
    <t>西藏自治区林芝市察隅县下察隅镇塔玛村村民委员会</t>
  </si>
  <si>
    <t>林芝市察隅县下察隅镇布巴村股份经济合作社</t>
  </si>
  <si>
    <t>西藏自治区林芝市察隅县下察隅镇布巴村村民委员会</t>
  </si>
  <si>
    <t>林芝市察隅县下察隅镇拉丁村股份经济合作社</t>
  </si>
  <si>
    <t>西藏自治区林芝市察隅县下察隅镇拉丁村村民委员会</t>
  </si>
  <si>
    <t>林芝市察隅县下察隅镇沙玛村股份经济合作社</t>
  </si>
  <si>
    <t>西藏自治区林芝市察隅县下察隅镇沙玛村村民委员会</t>
  </si>
  <si>
    <t>林芝市察隅县上察隅镇目本村股份经济合作社</t>
  </si>
  <si>
    <t>西藏自治区林芝市察隅县上察隅镇目本村村民委员会</t>
  </si>
  <si>
    <t>林芝市察隅县上察隅镇布宗村股份经济合作社</t>
  </si>
  <si>
    <t>西藏自治区林芝市察隅县上察隅镇布宗村村民委员会</t>
  </si>
  <si>
    <t>林芝市察隅县上察隅镇本堆村股份经济合作社</t>
  </si>
  <si>
    <t>西藏自治区林芝市察隅县上察隅镇本堆村村民委员会</t>
  </si>
  <si>
    <t>项目验收未通过</t>
  </si>
  <si>
    <t>林芝市察隅县上察隅镇西巴村股份经济合作社</t>
  </si>
  <si>
    <t>西藏自治区林芝市察隅县上察隅镇西巴村村民委员会</t>
  </si>
  <si>
    <t>林芝市察隅县上察隅镇荣玉村股份经济合作社</t>
  </si>
  <si>
    <t>西藏自治区林芝市察隅县上察隅镇荣玉村村民委员会</t>
  </si>
  <si>
    <t>原有1236527株，182亩，因退耕还林仅剩下约40亩</t>
  </si>
  <si>
    <t>项目于2025年完成财评，未开始采摘，经营权尚未确定。</t>
  </si>
  <si>
    <t>项目未移交，计划移交给村集体</t>
  </si>
  <si>
    <t>林芝市察隅县上察隅镇竹巴村股份经济合作社</t>
  </si>
  <si>
    <t>西藏自治区林芝市察隅县上察隅镇竹巴村村民委员会</t>
  </si>
  <si>
    <t>林芝市察隅县上察隅镇体育村股份经济合作社</t>
  </si>
  <si>
    <t>西藏自治区林芝市察隅县上察隅镇体育村村民委员会</t>
  </si>
  <si>
    <t>消耗性生物资产</t>
  </si>
  <si>
    <t>林芝市察隅县上察隅镇桑典村股份经济合作社</t>
  </si>
  <si>
    <t>西藏自治区林芝市察隅县上察隅镇桑典村村民委员会</t>
  </si>
  <si>
    <t>林芝市察隅县上察隅镇米古村股份经济合作社</t>
  </si>
  <si>
    <t>西藏自治区林芝市察隅县上察隅镇米古村村民委员会</t>
  </si>
  <si>
    <t>林芝市察隅县下察隅镇布巴村股份经济合作社、林芝市察隅县下察隅镇沙玛村股份经济合作社</t>
  </si>
  <si>
    <t>西藏自治区林芝市察隅县下察隅镇布巴村村民委员会、西藏自治区林芝市察隅县下察隅镇沙玛村村民委员会</t>
  </si>
  <si>
    <t>林芝市察隅县上察隅镇松林村股份经济合作社</t>
  </si>
  <si>
    <t>西藏自治区林芝市察隅县上察隅镇松林村村民委员会</t>
  </si>
  <si>
    <t>林芝市察隅县察瓦龙乡昌西村股份经济合作社</t>
  </si>
  <si>
    <t>西藏自治区林芝市察隅县察瓦龙乡昌西村村民委员会</t>
  </si>
  <si>
    <t>察隅县养猪项目</t>
  </si>
  <si>
    <t>察隅县养鸡项目</t>
  </si>
  <si>
    <t>察隅县温室建设项目</t>
  </si>
  <si>
    <t>古拉乡则巴村养殖基地项目</t>
  </si>
  <si>
    <t>西藏自治区林芝市察隅县古拉乡则巴村村民委员会</t>
  </si>
  <si>
    <t>古拉乡安巴村养猪基地项目</t>
  </si>
  <si>
    <t>林芝市察隅县古拉乡安巴村股份经济合作社</t>
  </si>
  <si>
    <t>西藏自治区林芝市察隅县古拉乡安巴村村民委员会</t>
  </si>
  <si>
    <t>古拉乡则巴村菩提树种
植及加工项目</t>
  </si>
  <si>
    <t>俄玉村藏香猪养殖</t>
  </si>
  <si>
    <t>林芝市察隅县上察隅镇阿扎村股份经济合作社</t>
  </si>
  <si>
    <t>西藏自治区林芝市察隅县上察隅镇阿扎村村民委员会</t>
  </si>
  <si>
    <t>察隅县优质犏奶牛繁育基地建设项目</t>
  </si>
  <si>
    <t>乡（镇）人民政府</t>
  </si>
  <si>
    <t>林芝市察隅县察瓦龙乡龙布村股份经济合作社</t>
  </si>
  <si>
    <t>西藏自治区林芝市察隅县察瓦龙乡龙布村村民委员会</t>
  </si>
  <si>
    <t>西藏自治区林芝市察隅县察瓦龙乡扎恩村村民委员会</t>
  </si>
  <si>
    <t>林芝市察隅县古拉乡俄玉村股份经济合作社</t>
  </si>
  <si>
    <t>西藏自治区林芝市察隅县古拉乡俄玉村村民委员会</t>
  </si>
  <si>
    <t>俄玉村集体经济组织尚未成立</t>
  </si>
  <si>
    <t>林芝市察隅县下察隅镇松古村股份经济合作社</t>
  </si>
  <si>
    <t>西藏自治区林芝市察隅县下察隅镇松古村村民委员会</t>
  </si>
  <si>
    <t>林芝市察隅县察瓦龙乡格布村股份经济合作社</t>
  </si>
  <si>
    <t>西藏自治区林芝市察隅县察瓦龙乡格布村村民委员会</t>
  </si>
  <si>
    <t>林芝市察隅县察瓦龙乡处尼村股份经济合作社</t>
  </si>
  <si>
    <t>西藏自治区林芝市察隅县察瓦龙乡处尼村村民委员会</t>
  </si>
  <si>
    <t>林芝市察隅县古拉乡察空村股份经济合作社</t>
  </si>
  <si>
    <t>西藏自治区林芝市察隅县古拉乡察空村村民委员会</t>
  </si>
  <si>
    <t>已整村搬迁</t>
  </si>
  <si>
    <t>察隅县察瓦龙乡洪东村软籽石榴种植基地建设项目</t>
  </si>
  <si>
    <t>林芝市察隅县察瓦龙乡洪东村股份经济合作社</t>
  </si>
  <si>
    <t>西藏自治区林芝市察隅县察瓦龙乡洪东村村民委员会</t>
  </si>
  <si>
    <t>察隅县察瓦龙乡龙布村软籽石榴种植基地建设项目</t>
  </si>
  <si>
    <t>林芝市察隅县察瓦龙乡扎那村股份经济合作社</t>
  </si>
  <si>
    <t>西藏自治区林芝市察隅县察瓦龙乡扎那村村民委员会</t>
  </si>
  <si>
    <t>林芝市察隅县察瓦龙乡前中瓦村股份经济合作社</t>
  </si>
  <si>
    <t>西藏自治区林芝市察隅县察瓦龙乡前中瓦村村民委员会</t>
  </si>
  <si>
    <t>林芝市察隅县竹瓦根镇知美村股份经济合作社、林芝市察隅县竹瓦根镇曲瓦村股份经济合作社</t>
  </si>
  <si>
    <t>西藏自治区林芝市察隅县竹瓦根镇知美村村民委员会、西藏自治区林芝市察隅县竹瓦根镇曲瓦村村民委员会</t>
  </si>
  <si>
    <t>林芝市察隅县察瓦龙乡梦扎村股份经济合作社</t>
  </si>
  <si>
    <t>西藏自治区林芝市察隅县察瓦龙乡梦扎村村民委员会</t>
  </si>
  <si>
    <t>林芝市察隅县竹瓦根镇目若村股份经济合作社</t>
  </si>
  <si>
    <t>西藏自治区林芝市察隅县竹瓦根镇目若村村民委员会</t>
  </si>
  <si>
    <t>林芝市察隅县下察隅镇巴安通村股份经济合作社</t>
  </si>
  <si>
    <t>西藏自治区林芝市察隅县下察隅镇巴安通村村民委员会</t>
  </si>
  <si>
    <t>林芝市察隅县察瓦龙乡珠拉村股份经济合作社</t>
  </si>
  <si>
    <t>西藏自治区林芝市察隅县察瓦龙乡珠拉村村民委员会</t>
  </si>
  <si>
    <t>林芝市察隅县察瓦龙乡阿丙村股份经济合作社</t>
  </si>
  <si>
    <t>西藏自治区林芝市察隅县察瓦龙乡阿丙村村民委员会</t>
  </si>
  <si>
    <t>未实际经营，项目尚未完结未确认所有权主体</t>
  </si>
  <si>
    <t>林芝市察隅县察瓦龙乡阿卡村股份经济合作社</t>
  </si>
  <si>
    <t>西藏自治区林芝市察隅县察瓦龙乡阿卡村村民委员会</t>
  </si>
  <si>
    <t>林芝市察隅县察瓦龙乡龙普村股份经济合作社</t>
  </si>
  <si>
    <t>西藏自治区林芝市察隅县察瓦龙乡龙普村村民委员会</t>
  </si>
  <si>
    <t>林芝市察隅县察瓦龙乡松塔村股份经济合作社</t>
  </si>
  <si>
    <t>西藏自治区林芝市察隅县察瓦龙乡松塔村村民委员会</t>
  </si>
  <si>
    <t>察隅县下察隅镇人民政府</t>
  </si>
  <si>
    <t>林芝市察隅县察瓦龙乡原岗藏村股份经济合作社</t>
  </si>
  <si>
    <t>西藏自治区林芝市察隅县察瓦龙乡原岗藏村村民委员会</t>
  </si>
  <si>
    <t>林芝市察隅县古拉乡日托村股份经济合作社</t>
  </si>
  <si>
    <t>西藏自治区林芝市察隅县古拉乡日托村村民委员会</t>
  </si>
  <si>
    <t>未实际经营，项目尚未确认所有权主体</t>
  </si>
  <si>
    <t>西藏自治区林芝市察隅县察瓦龙乡左布村村民委员会</t>
  </si>
  <si>
    <t>所有权未定</t>
  </si>
  <si>
    <t>林芝市察隅县古拉乡觉布如村股份经济合作社</t>
  </si>
  <si>
    <t>西藏自治区林芝市察隅县古拉乡觉布如村村民委员会</t>
  </si>
  <si>
    <t>察隅县产业扶贫竹巴村茶叶种植项目（2018）</t>
  </si>
  <si>
    <t>林芝市察隅县下察隅镇扎巴村股份经济合作社</t>
  </si>
  <si>
    <t>林芝市察隅县下察隅镇仲萨村股份经济合作社</t>
  </si>
  <si>
    <t>林芝市察隅县上察隅镇巩固村股份经济合作社</t>
  </si>
  <si>
    <t>林芝市察隅县上察隅镇岗藏村村股份经济合作社</t>
  </si>
  <si>
    <t>林芝市察隅县竹瓦根镇巴嘎村股份经济合作社</t>
  </si>
  <si>
    <t>林芝市察隅县下察隅镇塔林村股份经济合作社</t>
  </si>
  <si>
    <t>林芝市察隅县下察隅镇沙玛村股份经济合作社、林芝市察隅县下察隅镇卡地村股份经济合作社</t>
  </si>
  <si>
    <t>林芝市察隅县下察隅镇宗古村股份经济合作社</t>
  </si>
  <si>
    <t>林芝市察隅县下察隅镇竹尼村股份经济合作社</t>
  </si>
  <si>
    <t>林芝市察隅县下察隅镇嘎腰村股份经济合作社</t>
  </si>
  <si>
    <t>林芝市察隅县下察隅镇嘎堆嘎美村股份经济合作社</t>
  </si>
  <si>
    <t>林芝市察隅县下察隅镇新村股份经济合作社</t>
  </si>
  <si>
    <t>察隅县下察隅镇松古村委会</t>
  </si>
  <si>
    <t>核桃种植基地建设项目（察瓦乡岗藏村核桃种植项目）</t>
  </si>
  <si>
    <t>林芝市察隅县上察隅镇翠西村股份经济合作社</t>
  </si>
  <si>
    <t>古玉乡巴依村典东组藏药原料种植</t>
  </si>
  <si>
    <t>林芝市察隅县古玉乡巴依村股份经济合作社</t>
  </si>
  <si>
    <t>下察隅镇沙琼村二村藏猪养殖项</t>
  </si>
  <si>
    <r>
      <rPr>
        <sz val="22"/>
        <color theme="1"/>
        <rFont val="方正小标宋简体"/>
        <charset val="134"/>
      </rPr>
      <t xml:space="preserve">西藏自治区察隅县帮扶产业项目资产明细表
</t>
    </r>
    <r>
      <rPr>
        <sz val="16"/>
        <color theme="1"/>
        <rFont val="方正小标宋简体"/>
        <charset val="134"/>
      </rPr>
      <t>（截至2026年6月20日数据）</t>
    </r>
  </si>
  <si>
    <t>项目编号</t>
  </si>
  <si>
    <t>资产编号</t>
  </si>
  <si>
    <t>资产名称</t>
  </si>
  <si>
    <t>构（购）建时间
（必填年月）</t>
  </si>
  <si>
    <t>坐落或置放
位置</t>
  </si>
  <si>
    <t>资产
型号</t>
  </si>
  <si>
    <t>预计使用年限（自构建时间起预计能够使用的年限数）</t>
  </si>
  <si>
    <t>资产
原值（元）</t>
  </si>
  <si>
    <t>资产累计
折旧
（摊销）（元）</t>
  </si>
  <si>
    <t>资产
净值（元）</t>
  </si>
  <si>
    <t>资产形态</t>
  </si>
  <si>
    <t>具体形态</t>
  </si>
  <si>
    <t>资产
属性</t>
  </si>
  <si>
    <t>资产状态</t>
  </si>
  <si>
    <t>资产使用情况</t>
  </si>
  <si>
    <t>资产
类别</t>
  </si>
  <si>
    <t>经营性资产运营情况</t>
  </si>
  <si>
    <t>资产所有权主体名称</t>
  </si>
  <si>
    <t>根据指南编码规则对资产进行编号</t>
  </si>
  <si>
    <t>按形成的具体资产名称填写，不同资产应分行填写</t>
  </si>
  <si>
    <t>例：2018.01</t>
  </si>
  <si>
    <t>例：10（即为该资产预计可使用时间为10年）</t>
  </si>
  <si>
    <t>保留2位小数</t>
  </si>
  <si>
    <t>统计时间为截止2024年12月31日
（权益类资产、消耗性生物资产、公益性生物资产不填）
保留2位小数</t>
  </si>
  <si>
    <t>统计时间为截止2024年12月31日
保留2位小数</t>
  </si>
  <si>
    <t>在“固定资产、生物资产（含消耗性生物资产、生产性生物资产、公益性生物资产）、权益类资产、其他资产”中选择</t>
  </si>
  <si>
    <t>在“房屋建筑物、构筑物、机器设备、车辆、办公用具家具、牲畜（禽）、林木、股权资产、债权资产、低值易耗品、无形资产”中选择</t>
  </si>
  <si>
    <t>在“国有资产、集体资产”中选择</t>
  </si>
  <si>
    <t>在“正常、损坏、损毁”中选择</t>
  </si>
  <si>
    <t>根据实际情况填写“在用/不在用”</t>
  </si>
  <si>
    <t>在“自用、出租、存栏、在培、已消耗、已出售、已死亡、闲置、损毁、拆除、待维修、盘亏等”中选择</t>
  </si>
  <si>
    <t>在“经营性资产、公益性资产”中选择</t>
  </si>
  <si>
    <t>在“正常、低效、闲置”中选择</t>
  </si>
  <si>
    <t>54042520191601210001</t>
  </si>
  <si>
    <t>联栋温室大棚</t>
  </si>
  <si>
    <t>学尼村</t>
  </si>
  <si>
    <t>个</t>
  </si>
  <si>
    <t>固定资产</t>
  </si>
  <si>
    <t>构筑物</t>
  </si>
  <si>
    <t>正常</t>
  </si>
  <si>
    <t>在用</t>
  </si>
  <si>
    <t>出租</t>
  </si>
  <si>
    <t>经营性资产</t>
  </si>
  <si>
    <t>54042520191601210002</t>
  </si>
  <si>
    <t>54042520191601210003</t>
  </si>
  <si>
    <t>54042520191601210004</t>
  </si>
  <si>
    <t>54042520211601310001</t>
  </si>
  <si>
    <t>温室大棚</t>
  </si>
  <si>
    <t>闲置</t>
  </si>
  <si>
    <t>54042520211601310002</t>
  </si>
  <si>
    <t>54042520211601310003</t>
  </si>
  <si>
    <t>54042520190800610001</t>
  </si>
  <si>
    <t>鸡舍</t>
  </si>
  <si>
    <t>空档村</t>
  </si>
  <si>
    <t>栋</t>
  </si>
  <si>
    <t>房屋建筑物</t>
  </si>
  <si>
    <t>54042520190800610002</t>
  </si>
  <si>
    <t>54042520190800610003</t>
  </si>
  <si>
    <t>消毒池</t>
  </si>
  <si>
    <t>座</t>
  </si>
  <si>
    <t>54042520201902810001</t>
  </si>
  <si>
    <t>10吨水处理系统</t>
  </si>
  <si>
    <t>嘎巴村</t>
  </si>
  <si>
    <t>套</t>
  </si>
  <si>
    <t>机器设备</t>
  </si>
  <si>
    <t>54042520201902810002</t>
  </si>
  <si>
    <t>粉碎系统</t>
  </si>
  <si>
    <t>54042520201902810003</t>
  </si>
  <si>
    <t>糖化系统</t>
  </si>
  <si>
    <t>54042520201902810004</t>
  </si>
  <si>
    <t>发酵系统</t>
  </si>
  <si>
    <t>54042520201902810005</t>
  </si>
  <si>
    <t>过滤系统</t>
  </si>
  <si>
    <t>54042520201902810006</t>
  </si>
  <si>
    <t>发酵CIP系统</t>
  </si>
  <si>
    <t>54042520201902810007</t>
  </si>
  <si>
    <t>制冷系统</t>
  </si>
  <si>
    <t>54042520201902810008</t>
  </si>
  <si>
    <t>配电系统</t>
  </si>
  <si>
    <t>54042520201902810009</t>
  </si>
  <si>
    <t>后包装系统</t>
  </si>
  <si>
    <t>54042520180700810001</t>
  </si>
  <si>
    <t>猪圈</t>
  </si>
  <si>
    <t>扎拉村</t>
  </si>
  <si>
    <t>54042520180700910001</t>
  </si>
  <si>
    <t>桑久村</t>
  </si>
  <si>
    <t>消毒设备</t>
  </si>
  <si>
    <t>台</t>
  </si>
  <si>
    <t>电力变压器</t>
  </si>
  <si>
    <t>54042520190800710001</t>
  </si>
  <si>
    <t>54042520190800710002</t>
  </si>
  <si>
    <t>喂食槽</t>
  </si>
  <si>
    <t>54042520190800710003</t>
  </si>
  <si>
    <t>54042520190800710004</t>
  </si>
  <si>
    <t>54042520190800720005</t>
  </si>
  <si>
    <t>藏鸡苗</t>
  </si>
  <si>
    <t>只</t>
  </si>
  <si>
    <t>生物资产</t>
  </si>
  <si>
    <t>牲畜（禽）</t>
  </si>
  <si>
    <t>损毁</t>
  </si>
  <si>
    <t>不在用</t>
  </si>
  <si>
    <t>已死亡</t>
  </si>
  <si>
    <t>54042520190800720205</t>
  </si>
  <si>
    <t>成年藏鸡</t>
  </si>
  <si>
    <t>54042520211701410001</t>
  </si>
  <si>
    <t>村集体经济用房</t>
  </si>
  <si>
    <t>54042520180500110001</t>
  </si>
  <si>
    <t>牛圈</t>
  </si>
  <si>
    <t>博学村</t>
  </si>
  <si>
    <t>54042520180701010001</t>
  </si>
  <si>
    <t>猪舍</t>
  </si>
  <si>
    <t>京都村</t>
  </si>
  <si>
    <t>低效</t>
  </si>
  <si>
    <t>54042520180701010002</t>
  </si>
  <si>
    <t>饲料库房加工坊</t>
  </si>
  <si>
    <t>54042520180701010003</t>
  </si>
  <si>
    <t>饲料加工机</t>
  </si>
  <si>
    <t>损坏</t>
  </si>
  <si>
    <t>54042520180701010004</t>
  </si>
  <si>
    <t>柴油发电机</t>
  </si>
  <si>
    <t>54042520180701020005</t>
  </si>
  <si>
    <t>藏香猪</t>
  </si>
  <si>
    <t>54042520181901710001</t>
  </si>
  <si>
    <t>松茸加工坊</t>
  </si>
  <si>
    <t>古井村</t>
  </si>
  <si>
    <t>54042520181901810001</t>
  </si>
  <si>
    <t>然乌学村</t>
  </si>
  <si>
    <t>54042520181901810002</t>
  </si>
  <si>
    <t>电力稳压器</t>
  </si>
  <si>
    <t>54042520181901810003</t>
  </si>
  <si>
    <t>热风循环烘箱</t>
  </si>
  <si>
    <t>54042520161903810001</t>
  </si>
  <si>
    <t>茶馆房屋</t>
  </si>
  <si>
    <t>54042520171901110001</t>
  </si>
  <si>
    <t>加工房</t>
  </si>
  <si>
    <t>54042520171901110002</t>
  </si>
  <si>
    <t>25公斤空气锤</t>
  </si>
  <si>
    <t>54042520220400810001</t>
  </si>
  <si>
    <t>巴依村</t>
  </si>
  <si>
    <t>54042520151700310001</t>
  </si>
  <si>
    <t>农家乐房屋</t>
  </si>
  <si>
    <t>罗马村</t>
  </si>
  <si>
    <t>54042520211701510001</t>
  </si>
  <si>
    <t>宾馆</t>
  </si>
  <si>
    <t>54042520180800510001</t>
  </si>
  <si>
    <t>54042520180800510002</t>
  </si>
  <si>
    <t>消毒室</t>
  </si>
  <si>
    <t>54042520180800510003</t>
  </si>
  <si>
    <t>饲料加工间</t>
  </si>
  <si>
    <t>54042520180800510004</t>
  </si>
  <si>
    <t>仓库</t>
  </si>
  <si>
    <t>54042520180800510005</t>
  </si>
  <si>
    <t>职工宿舍</t>
  </si>
  <si>
    <t>54042520180800510006</t>
  </si>
  <si>
    <t>下蛋室</t>
  </si>
  <si>
    <t>54042520180800510007</t>
  </si>
  <si>
    <t>蓄水池</t>
  </si>
  <si>
    <t>54042520180800510008</t>
  </si>
  <si>
    <t>化粪池</t>
  </si>
  <si>
    <t>54042520180800510009</t>
  </si>
  <si>
    <t>饲料加工设备</t>
  </si>
  <si>
    <t>540425201808005100010</t>
  </si>
  <si>
    <t>孵化器</t>
  </si>
  <si>
    <t>54042520180800520011</t>
  </si>
  <si>
    <t>藏鸡</t>
  </si>
  <si>
    <t>54042520130400110001</t>
  </si>
  <si>
    <t>牛棚</t>
  </si>
  <si>
    <t>54042520130400110002</t>
  </si>
  <si>
    <t>管理用房</t>
  </si>
  <si>
    <t>54042520130400110003</t>
  </si>
  <si>
    <t>草料间</t>
  </si>
  <si>
    <t>54042520171901210001</t>
  </si>
  <si>
    <t>1#牛棚</t>
  </si>
  <si>
    <t>54042520220400810002</t>
  </si>
  <si>
    <t>2#牛棚</t>
  </si>
  <si>
    <t>54042520220400810003</t>
  </si>
  <si>
    <t>3#牛棚</t>
  </si>
  <si>
    <t>54042520220400810004</t>
  </si>
  <si>
    <t>犊牛舍</t>
  </si>
  <si>
    <t>54042520220400810005</t>
  </si>
  <si>
    <t>草料棚</t>
  </si>
  <si>
    <t>54042520220400810006</t>
  </si>
  <si>
    <t>消毒间兼管理用房</t>
  </si>
  <si>
    <t>54042520220400810007</t>
  </si>
  <si>
    <t>隔离牛舍</t>
  </si>
  <si>
    <t>54042520220400810008</t>
  </si>
  <si>
    <t>牛粪处理间</t>
  </si>
  <si>
    <t>54042520220400810009</t>
  </si>
  <si>
    <t>饲料粉碎机</t>
  </si>
  <si>
    <t>54042520220400810010</t>
  </si>
  <si>
    <t>54042520220400810011</t>
  </si>
  <si>
    <t>室外箱变</t>
  </si>
  <si>
    <t>54042520220400810012</t>
  </si>
  <si>
    <t>54042520220400810013</t>
  </si>
  <si>
    <t>牛粪生物质燃料压块</t>
  </si>
  <si>
    <t>54042520220400820014</t>
  </si>
  <si>
    <t>犏牛（死）</t>
  </si>
  <si>
    <t>54042520220400820015</t>
  </si>
  <si>
    <t>犏牛（活）</t>
  </si>
  <si>
    <t>54042520180700710001</t>
  </si>
  <si>
    <t>54042520180700710002</t>
  </si>
  <si>
    <t>办公室及厨房</t>
  </si>
  <si>
    <t>54042520180700710003</t>
  </si>
  <si>
    <t>饲料加工室</t>
  </si>
  <si>
    <t>54042520180700710004</t>
  </si>
  <si>
    <t>育猪室</t>
  </si>
  <si>
    <t>54042520180700710005</t>
  </si>
  <si>
    <t>库房</t>
  </si>
  <si>
    <t>54042520180700710006</t>
  </si>
  <si>
    <t>待宰室</t>
  </si>
  <si>
    <t>54042520180700710007</t>
  </si>
  <si>
    <t>水池</t>
  </si>
  <si>
    <t>54042520180700710008</t>
  </si>
  <si>
    <t>54042520180700710009</t>
  </si>
  <si>
    <t>54042520180700720010</t>
  </si>
  <si>
    <t>种猪（死）</t>
  </si>
  <si>
    <t>54042520180700720011</t>
  </si>
  <si>
    <t>种猪（活）</t>
  </si>
  <si>
    <t>54042520200400510001</t>
  </si>
  <si>
    <t>嘎达村</t>
  </si>
  <si>
    <t>54042520200400510002</t>
  </si>
  <si>
    <t>54042520200400510003</t>
  </si>
  <si>
    <t>宿舍及消毒室</t>
  </si>
  <si>
    <t>54042520200400520004</t>
  </si>
  <si>
    <t>牦牛（死）</t>
  </si>
  <si>
    <t>54042520200400520005</t>
  </si>
  <si>
    <t>牦牛（活）</t>
  </si>
  <si>
    <t>54042520210400610001</t>
  </si>
  <si>
    <t>54042520210400610002</t>
  </si>
  <si>
    <t>54042520210400610003</t>
  </si>
  <si>
    <t>54042520210400610004</t>
  </si>
  <si>
    <t>饲料加工房</t>
  </si>
  <si>
    <t>54042520210400610005</t>
  </si>
  <si>
    <t>54042520210400610006</t>
  </si>
  <si>
    <t>54042520210400610008</t>
  </si>
  <si>
    <t>太阳能光伏板</t>
  </si>
  <si>
    <t>54042520210400620009</t>
  </si>
  <si>
    <t>54042520210400620010</t>
  </si>
  <si>
    <t>54042520171800210001</t>
  </si>
  <si>
    <t>1#楼</t>
  </si>
  <si>
    <t>54042520171800210002</t>
  </si>
  <si>
    <t>2#楼</t>
  </si>
  <si>
    <t>54042520171800210003</t>
  </si>
  <si>
    <t>门卫室</t>
  </si>
  <si>
    <t>54042520191800310001</t>
  </si>
  <si>
    <t>54042520191800310002</t>
  </si>
  <si>
    <t>54042520191800310003</t>
  </si>
  <si>
    <t>3#楼</t>
  </si>
  <si>
    <t>54042520191800310004</t>
  </si>
  <si>
    <t>4#楼</t>
  </si>
  <si>
    <t>54042520191800310005</t>
  </si>
  <si>
    <t>5#楼</t>
  </si>
  <si>
    <t>54042520191800310006</t>
  </si>
  <si>
    <t>6#楼</t>
  </si>
  <si>
    <t>54042520191800310007</t>
  </si>
  <si>
    <t>大门</t>
  </si>
  <si>
    <t>54042520220400910001</t>
  </si>
  <si>
    <t>通电工程</t>
  </si>
  <si>
    <t>公益性资产</t>
  </si>
  <si>
    <t>54042520190701210001</t>
  </si>
  <si>
    <t>沙琼村</t>
  </si>
  <si>
    <t>54042520190701210002</t>
  </si>
  <si>
    <t>饲料库房</t>
  </si>
  <si>
    <t>54042520190701210003</t>
  </si>
  <si>
    <t>54042520190701210004</t>
  </si>
  <si>
    <t>54042520190701210005</t>
  </si>
  <si>
    <t>54042520190701210006</t>
  </si>
  <si>
    <t>54042520190701220007</t>
  </si>
  <si>
    <t>54042520171500110001</t>
  </si>
  <si>
    <t>管理培训中心</t>
  </si>
  <si>
    <t>夏尼村</t>
  </si>
  <si>
    <t>54042520171500110002</t>
  </si>
  <si>
    <t>猕猴桃架桩</t>
  </si>
  <si>
    <t>54042520171500110003</t>
  </si>
  <si>
    <t>铁丝网</t>
  </si>
  <si>
    <t>54042520171500120004</t>
  </si>
  <si>
    <t>猕猴桃苗木</t>
  </si>
  <si>
    <t>株</t>
  </si>
  <si>
    <t>林木</t>
  </si>
  <si>
    <t>54042520211500620001</t>
  </si>
  <si>
    <t>亩</t>
  </si>
  <si>
    <t>项目原种植数量无数据，期间又有补种等，无法核实项目原始株树</t>
  </si>
  <si>
    <t>54042520211500410001</t>
  </si>
  <si>
    <t>青石板步道</t>
  </si>
  <si>
    <t>600米</t>
  </si>
  <si>
    <t>54042520211701310001</t>
  </si>
  <si>
    <t>铭牌</t>
  </si>
  <si>
    <t>54042520211701310002</t>
  </si>
  <si>
    <t>停车场</t>
  </si>
  <si>
    <t>525平方米</t>
  </si>
  <si>
    <t>自用</t>
  </si>
  <si>
    <t>54042520211701310003</t>
  </si>
  <si>
    <t>镂空围墙</t>
  </si>
  <si>
    <t>51米</t>
  </si>
  <si>
    <t>54042520211701310004</t>
  </si>
  <si>
    <t>小挡墙</t>
  </si>
  <si>
    <t>35.96米</t>
  </si>
  <si>
    <t>54042520211701310005</t>
  </si>
  <si>
    <t>僜人雕塑</t>
  </si>
  <si>
    <t>54042520211701310006</t>
  </si>
  <si>
    <t>54042520211701310007</t>
  </si>
  <si>
    <t>景观石</t>
  </si>
  <si>
    <t>54042520211701310008</t>
  </si>
  <si>
    <t>54042520211701310009</t>
  </si>
  <si>
    <t>54042520211701310010</t>
  </si>
  <si>
    <t>54042520201903010001</t>
  </si>
  <si>
    <t>网围栏</t>
  </si>
  <si>
    <t>4346米</t>
  </si>
  <si>
    <t>54042520201903010002</t>
  </si>
  <si>
    <t>混泥土道路</t>
  </si>
  <si>
    <t>939.16平方米</t>
  </si>
  <si>
    <t>54042520231500830001</t>
  </si>
  <si>
    <t>下察隅镇沙琼村、洞冲村入股猕猴桃基地</t>
  </si>
  <si>
    <t>140万元</t>
  </si>
  <si>
    <t>权益类资产</t>
  </si>
  <si>
    <t>股权资产</t>
  </si>
  <si>
    <t>5404252022120290001</t>
  </si>
  <si>
    <t>一体化用房</t>
  </si>
  <si>
    <t>卡地村</t>
  </si>
  <si>
    <t>5404252022120290002</t>
  </si>
  <si>
    <t>主大门</t>
  </si>
  <si>
    <t>5404252022120290003</t>
  </si>
  <si>
    <t>次大门</t>
  </si>
  <si>
    <t>5404252022120290004</t>
  </si>
  <si>
    <t>景观木屋</t>
  </si>
  <si>
    <t>5404252022120290005</t>
  </si>
  <si>
    <t>木栈道</t>
  </si>
  <si>
    <t>672米</t>
  </si>
  <si>
    <t>5404252022120290006</t>
  </si>
  <si>
    <t>金属围网</t>
  </si>
  <si>
    <t>643米</t>
  </si>
  <si>
    <t>5404252022120290007</t>
  </si>
  <si>
    <t>碎石道路</t>
  </si>
  <si>
    <t>2525米</t>
  </si>
  <si>
    <t>5404252022120290008</t>
  </si>
  <si>
    <t>石材铺装路</t>
  </si>
  <si>
    <t>273米</t>
  </si>
  <si>
    <t>5404252022120290009</t>
  </si>
  <si>
    <t>葡萄廊架</t>
  </si>
  <si>
    <t>30米</t>
  </si>
  <si>
    <t xml:space="preserve">5404252020120200001 </t>
  </si>
  <si>
    <t>茶苗</t>
  </si>
  <si>
    <t>5404252018120030001</t>
  </si>
  <si>
    <t>毕达村</t>
  </si>
  <si>
    <t>5404252018120030002</t>
  </si>
  <si>
    <t>5404252018120030003</t>
  </si>
  <si>
    <t>沉砂池</t>
  </si>
  <si>
    <t>5404252018120030004</t>
  </si>
  <si>
    <t>钢丝网围栏</t>
  </si>
  <si>
    <t>3500米</t>
  </si>
  <si>
    <t>5404252018120030005</t>
  </si>
  <si>
    <t>除草机</t>
  </si>
  <si>
    <t>部</t>
  </si>
  <si>
    <t>5404252018120030006</t>
  </si>
  <si>
    <t>修剪机</t>
  </si>
  <si>
    <t>5404252018120030007</t>
  </si>
  <si>
    <t>中耕机</t>
  </si>
  <si>
    <t>5404252018120030008</t>
  </si>
  <si>
    <t>施肥机</t>
  </si>
  <si>
    <t>5404252022120240001</t>
  </si>
  <si>
    <t>桑典村</t>
  </si>
  <si>
    <t>5404252020120170001</t>
  </si>
  <si>
    <t>松林村</t>
  </si>
  <si>
    <t>25m3蓄水池</t>
  </si>
  <si>
    <t>5404252020120170002</t>
  </si>
  <si>
    <t>50m3蓄水池</t>
  </si>
  <si>
    <t>5404252020120170003</t>
  </si>
  <si>
    <t>5404252020120170004</t>
  </si>
  <si>
    <t>铁丝网围栏</t>
  </si>
  <si>
    <t>3969.32米</t>
  </si>
  <si>
    <t>5404252020120170005</t>
  </si>
  <si>
    <t>5404252019120140001</t>
  </si>
  <si>
    <t>100m³蓄水池</t>
  </si>
  <si>
    <t>竹巴村</t>
  </si>
  <si>
    <t>5404252019120140002</t>
  </si>
  <si>
    <t>5404252019120140003</t>
  </si>
  <si>
    <t>2834.83米</t>
  </si>
  <si>
    <t>5404252019120140004</t>
  </si>
  <si>
    <t>5404252019120140005</t>
  </si>
  <si>
    <t>5404252018120090001</t>
  </si>
  <si>
    <t>体育村</t>
  </si>
  <si>
    <t>不再用</t>
  </si>
  <si>
    <t>5404252019120110001</t>
  </si>
  <si>
    <t>50m³蓄水池</t>
  </si>
  <si>
    <t>5404252019120110002</t>
  </si>
  <si>
    <t>5404252019120110003</t>
  </si>
  <si>
    <t>1263米</t>
  </si>
  <si>
    <t>5404252019120110004</t>
  </si>
  <si>
    <t>5404252023210040001</t>
  </si>
  <si>
    <t>木耳菌包</t>
  </si>
  <si>
    <t>布宗村</t>
  </si>
  <si>
    <t>已消耗</t>
  </si>
  <si>
    <t>5404252023210040002</t>
  </si>
  <si>
    <t>200m³蓄水池</t>
  </si>
  <si>
    <t>泥石流</t>
  </si>
  <si>
    <t>5404252018120080001</t>
  </si>
  <si>
    <t>荣玉村</t>
  </si>
  <si>
    <t>到户资产，保留的面积与数量个户不同，难以核顶具体株数</t>
  </si>
  <si>
    <t>5404252020120150001</t>
  </si>
  <si>
    <t>100m3蓄水池</t>
  </si>
  <si>
    <t>5404252020120150002</t>
  </si>
  <si>
    <t>5404252020120150003</t>
  </si>
  <si>
    <t>7684.07米</t>
  </si>
  <si>
    <t>5404252020120150004</t>
  </si>
  <si>
    <t>5404252021120210001</t>
  </si>
  <si>
    <t>茶叶粗加工厂坊</t>
  </si>
  <si>
    <t>（含门卫室及配套）</t>
  </si>
  <si>
    <t>5404252022120250001</t>
  </si>
  <si>
    <t>本堆村</t>
  </si>
  <si>
    <t>5404252022120250002</t>
  </si>
  <si>
    <t>5404252022120250003</t>
  </si>
  <si>
    <t>2783.50米</t>
  </si>
  <si>
    <t>5404252022120250004</t>
  </si>
  <si>
    <t>5404252019120120001</t>
  </si>
  <si>
    <t>10m3蓄水池</t>
  </si>
  <si>
    <t>5404252019120120002</t>
  </si>
  <si>
    <t>5404252019120120003</t>
  </si>
  <si>
    <t>铁丝围栏</t>
  </si>
  <si>
    <t>1455.71米</t>
  </si>
  <si>
    <t>5404252019120120004</t>
  </si>
  <si>
    <t>5404252019120120005</t>
  </si>
  <si>
    <t>5404252019120130001</t>
  </si>
  <si>
    <t>5404252019120130002</t>
  </si>
  <si>
    <t>5404252019120130003</t>
  </si>
  <si>
    <t>5404252019160090001</t>
  </si>
  <si>
    <t>240㎡温室大棚</t>
  </si>
  <si>
    <t>目本村</t>
  </si>
  <si>
    <t>5404252019160090002</t>
  </si>
  <si>
    <t>216㎡温室大棚</t>
  </si>
  <si>
    <t>5404252022150070001</t>
  </si>
  <si>
    <t>拉丁村</t>
  </si>
  <si>
    <t>1585.4米</t>
  </si>
  <si>
    <t>5404252022150070002</t>
  </si>
  <si>
    <t>5404252022150070003</t>
  </si>
  <si>
    <t>5404252021150050001</t>
  </si>
  <si>
    <t>产业道路</t>
  </si>
  <si>
    <t>布巴村</t>
  </si>
  <si>
    <t>1598.59㎡</t>
  </si>
  <si>
    <t>5404252021150050002</t>
  </si>
  <si>
    <t>高压通电</t>
  </si>
  <si>
    <t>5404252022160170001</t>
  </si>
  <si>
    <t>集水池</t>
  </si>
  <si>
    <t>沙玛村</t>
  </si>
  <si>
    <t>5404252022160170002</t>
  </si>
  <si>
    <t>5404252022160170003</t>
  </si>
  <si>
    <t>铁艺大门</t>
  </si>
  <si>
    <t>5404252022160170004</t>
  </si>
  <si>
    <t>1.5米高挡墙</t>
  </si>
  <si>
    <t>20.6米</t>
  </si>
  <si>
    <t>5404252022160170005</t>
  </si>
  <si>
    <t>附属用房庭院1.5米高围墙</t>
  </si>
  <si>
    <t>5404252022160170006</t>
  </si>
  <si>
    <t>附属用房庭院大门</t>
  </si>
  <si>
    <t>5404252022160170007</t>
  </si>
  <si>
    <t>150厚水泥硬化地面</t>
  </si>
  <si>
    <t>226㎡</t>
  </si>
  <si>
    <t>5404252022160170008</t>
  </si>
  <si>
    <t>设备用房1#</t>
  </si>
  <si>
    <t>5404252022160170009</t>
  </si>
  <si>
    <t>设备用房2#</t>
  </si>
  <si>
    <t>54042520221601700010</t>
  </si>
  <si>
    <t>附属用房</t>
  </si>
  <si>
    <t>54042520221601700011</t>
  </si>
  <si>
    <t>54042520221601700012</t>
  </si>
  <si>
    <t>智能水肥一体机</t>
  </si>
  <si>
    <t>5404252017150020001</t>
  </si>
  <si>
    <t>京都村、宗古村、布巴村</t>
  </si>
  <si>
    <r>
      <rPr>
        <sz val="10"/>
        <rFont val="宋体"/>
        <charset val="0"/>
      </rPr>
      <t>布巴村</t>
    </r>
    <r>
      <rPr>
        <sz val="10"/>
        <rFont val="Arial"/>
        <charset val="0"/>
      </rPr>
      <t>37000</t>
    </r>
    <r>
      <rPr>
        <sz val="10"/>
        <rFont val="宋体"/>
        <charset val="0"/>
      </rPr>
      <t>株、京都村24300株、宗古村23000株；无固定资产原值数据</t>
    </r>
  </si>
  <si>
    <t>5404252017150020002</t>
  </si>
  <si>
    <t>值班室及大门</t>
  </si>
  <si>
    <t>5404252017150020003</t>
  </si>
  <si>
    <t>5404252019160100001</t>
  </si>
  <si>
    <t>5404252019190260001</t>
  </si>
  <si>
    <t>5404252019190260002</t>
  </si>
  <si>
    <t>花椒</t>
  </si>
  <si>
    <t>珠</t>
  </si>
  <si>
    <t>5404252019190260003</t>
  </si>
  <si>
    <t>786米</t>
  </si>
  <si>
    <t>5404252018190130001</t>
  </si>
  <si>
    <t>石斛</t>
  </si>
  <si>
    <t>西巴村</t>
  </si>
  <si>
    <t>5404252017190100001</t>
  </si>
  <si>
    <t>纺织套组</t>
  </si>
  <si>
    <t>5404252019190230001</t>
  </si>
  <si>
    <t>秧耙生产车间</t>
  </si>
  <si>
    <t>迟巴村</t>
  </si>
  <si>
    <t>未确认权属</t>
  </si>
  <si>
    <t>5404252019190230002</t>
  </si>
  <si>
    <t>石磨机</t>
  </si>
  <si>
    <t>5404252019190230003</t>
  </si>
  <si>
    <t>混合机</t>
  </si>
  <si>
    <t>5404252019190230004</t>
  </si>
  <si>
    <t>脱皮机</t>
  </si>
  <si>
    <t>5404252019190230005</t>
  </si>
  <si>
    <t>清洗机</t>
  </si>
  <si>
    <t>5404252019190230006</t>
  </si>
  <si>
    <t>比重分级去杂机</t>
  </si>
  <si>
    <t>5404252019190230007</t>
  </si>
  <si>
    <t>玻璃沙克龙</t>
  </si>
  <si>
    <t>5404252019190230008</t>
  </si>
  <si>
    <t>电子流量称</t>
  </si>
  <si>
    <t>5404252019190230009</t>
  </si>
  <si>
    <t>皮带输送机</t>
  </si>
  <si>
    <t>54042520191902300010</t>
  </si>
  <si>
    <t>移动式清理筛</t>
  </si>
  <si>
    <t>54042520191902300011</t>
  </si>
  <si>
    <t>杀菌设备</t>
  </si>
  <si>
    <t>54042520191902300012</t>
  </si>
  <si>
    <t>自动真空整形包装机</t>
  </si>
  <si>
    <t>54042520191902300013</t>
  </si>
  <si>
    <t>激光打标机</t>
  </si>
  <si>
    <t>54042520191902300014</t>
  </si>
  <si>
    <t>喷码机</t>
  </si>
  <si>
    <t>5404252021160180001</t>
  </si>
  <si>
    <t>大棚</t>
  </si>
  <si>
    <t>5404252020160190001</t>
  </si>
  <si>
    <r>
      <rPr>
        <sz val="10"/>
        <rFont val="宋体"/>
        <charset val="0"/>
      </rPr>
      <t>仅知道总投资</t>
    </r>
    <r>
      <rPr>
        <sz val="10"/>
        <rFont val="Arial"/>
        <charset val="0"/>
      </rPr>
      <t>120</t>
    </r>
    <r>
      <rPr>
        <sz val="10"/>
        <rFont val="宋体"/>
        <charset val="0"/>
      </rPr>
      <t>万元，无资产明细费用</t>
    </r>
  </si>
  <si>
    <t>5404252020160190002</t>
  </si>
  <si>
    <t>实验室</t>
  </si>
  <si>
    <t>5404252020160190003</t>
  </si>
  <si>
    <t>办公用房</t>
  </si>
  <si>
    <t>5404252020160190004</t>
  </si>
  <si>
    <t>员工宿舍</t>
  </si>
  <si>
    <t>5404252019030010001</t>
  </si>
  <si>
    <t>生化有机肥厂（含大门门卫）</t>
  </si>
  <si>
    <t>5404252019070140001</t>
  </si>
  <si>
    <t>猪厂</t>
  </si>
  <si>
    <t>5404252019070150001</t>
  </si>
  <si>
    <t>扩建猪圈及饲料加工坊</t>
  </si>
  <si>
    <t>塔玛村</t>
  </si>
  <si>
    <t>5404252022190350001</t>
  </si>
  <si>
    <t>共同村</t>
  </si>
  <si>
    <t>5404252022190350002</t>
  </si>
  <si>
    <t>育菌室</t>
  </si>
  <si>
    <t>5404252022190350003</t>
  </si>
  <si>
    <t>包装间</t>
  </si>
  <si>
    <t>5404252022190350004</t>
  </si>
  <si>
    <t>木耳设备</t>
  </si>
  <si>
    <t>5404252019070130001</t>
  </si>
  <si>
    <t>饲料仓库</t>
  </si>
  <si>
    <t>自更村</t>
  </si>
  <si>
    <t>5404252023210030001</t>
  </si>
  <si>
    <t>加工厂及配套</t>
  </si>
  <si>
    <t>5404252023210030002</t>
  </si>
  <si>
    <t>菌包及配套设备</t>
  </si>
  <si>
    <t>5404252020190290001</t>
  </si>
  <si>
    <t>灵芝</t>
  </si>
  <si>
    <t>龙布村</t>
  </si>
  <si>
    <t>无具体株树</t>
  </si>
  <si>
    <t>5404252018110010001</t>
  </si>
  <si>
    <t>重楼</t>
  </si>
  <si>
    <t>54042520180701110001</t>
  </si>
  <si>
    <t>俄玉村</t>
  </si>
  <si>
    <t>105.7㎡</t>
  </si>
  <si>
    <t>54042520180701110002</t>
  </si>
  <si>
    <t>育种室和隔离室</t>
  </si>
  <si>
    <t>164.16㎡</t>
  </si>
  <si>
    <t>54042520180701110003</t>
  </si>
  <si>
    <t>仓库及管理用房</t>
  </si>
  <si>
    <t>64.84㎡</t>
  </si>
  <si>
    <t>54042520180701110004</t>
  </si>
  <si>
    <t>围墙</t>
  </si>
  <si>
    <t>200m</t>
  </si>
  <si>
    <t>54042520180701120001</t>
  </si>
  <si>
    <t>头</t>
  </si>
  <si>
    <t>54042520191701710001</t>
  </si>
  <si>
    <t>家庭旅馆</t>
  </si>
  <si>
    <t>觉布如村</t>
  </si>
  <si>
    <t>54042520212003420001</t>
  </si>
  <si>
    <t>石榴（活株）</t>
  </si>
  <si>
    <t>日托村</t>
  </si>
  <si>
    <t>54042520212003410001</t>
  </si>
  <si>
    <t>54042520202002410001</t>
  </si>
  <si>
    <t>安巴村</t>
  </si>
  <si>
    <t>1998m</t>
  </si>
  <si>
    <t>54042520202002410002</t>
  </si>
  <si>
    <t>54042520202002420001</t>
  </si>
  <si>
    <t>54042520212003120002</t>
  </si>
  <si>
    <t>54042520212003110001</t>
  </si>
  <si>
    <t>灌溉工程</t>
  </si>
  <si>
    <t>项</t>
  </si>
  <si>
    <t>54042520212003320002</t>
  </si>
  <si>
    <t>石榴（存活）</t>
  </si>
  <si>
    <t>则巴村</t>
  </si>
  <si>
    <t>54042520212003310001</t>
  </si>
  <si>
    <t>54042520212003310002</t>
  </si>
  <si>
    <t>2199m</t>
  </si>
  <si>
    <t>54042520191902210001</t>
  </si>
  <si>
    <t>液压榨油机</t>
  </si>
  <si>
    <t>54042520191902210002</t>
  </si>
  <si>
    <t>剥壳机</t>
  </si>
  <si>
    <t>54042520191902210003</t>
  </si>
  <si>
    <t>分拣机</t>
  </si>
  <si>
    <t>54042520191902210004</t>
  </si>
  <si>
    <t>烘干机</t>
  </si>
  <si>
    <t>54042520191902210005</t>
  </si>
  <si>
    <t>过滤器</t>
  </si>
  <si>
    <t>54042520191902210006</t>
  </si>
  <si>
    <t>核桃粉碎机</t>
  </si>
  <si>
    <t>54042520191902210007</t>
  </si>
  <si>
    <t>包装机</t>
  </si>
  <si>
    <t>54042520191902210008</t>
  </si>
  <si>
    <t>变压器</t>
  </si>
  <si>
    <t>54042520192001820002</t>
  </si>
  <si>
    <t>54042520192001810001</t>
  </si>
  <si>
    <t>1000m</t>
  </si>
  <si>
    <t>54042520192001810002</t>
  </si>
  <si>
    <t>54042520191902420001</t>
  </si>
  <si>
    <t>察空村</t>
  </si>
  <si>
    <t>整村搬迁</t>
  </si>
  <si>
    <t>54042520191902410001</t>
  </si>
  <si>
    <t>9587m</t>
  </si>
  <si>
    <t>54042520191902410002</t>
  </si>
  <si>
    <t>给水工程</t>
  </si>
  <si>
    <t>54042520182001320001</t>
  </si>
  <si>
    <t>54042520182001310001</t>
  </si>
  <si>
    <t>4871m</t>
  </si>
  <si>
    <t>54042520182001310002</t>
  </si>
  <si>
    <t>54042520202002220001</t>
  </si>
  <si>
    <t>阿丙村</t>
  </si>
  <si>
    <t>54042520212003620002</t>
  </si>
  <si>
    <t>松塔村</t>
  </si>
  <si>
    <t>54042520212003610001</t>
  </si>
  <si>
    <t>54042520212003610002</t>
  </si>
  <si>
    <t>2109m</t>
  </si>
  <si>
    <t>54042520182001520002</t>
  </si>
  <si>
    <t>扎恩村</t>
  </si>
  <si>
    <t>54042520212003520002</t>
  </si>
  <si>
    <t>邓许村</t>
  </si>
  <si>
    <t>54042520212003510001</t>
  </si>
  <si>
    <t>54042520202002120002</t>
  </si>
  <si>
    <t>珠拉村</t>
  </si>
  <si>
    <t>54042520202002110001</t>
  </si>
  <si>
    <t>54042520192002020002</t>
  </si>
  <si>
    <t>洪东村</t>
  </si>
  <si>
    <t>54042520192002010001</t>
  </si>
  <si>
    <t>围栏及大门</t>
  </si>
  <si>
    <t>3000m</t>
  </si>
  <si>
    <t>54042520192002010002</t>
  </si>
  <si>
    <t>54042520212003820002</t>
  </si>
  <si>
    <t>左布村</t>
  </si>
  <si>
    <t>54042520212003810001</t>
  </si>
  <si>
    <t>54042520212003810002</t>
  </si>
  <si>
    <t>1789.52m</t>
  </si>
  <si>
    <t>54042520182000920002</t>
  </si>
  <si>
    <t>格布村</t>
  </si>
  <si>
    <t>54042520202002710001</t>
  </si>
  <si>
    <t>龙普村</t>
  </si>
  <si>
    <t>54042520202002720001</t>
  </si>
  <si>
    <t>54042520202002320001</t>
  </si>
  <si>
    <t>54042520202002310001</t>
  </si>
  <si>
    <t>54042520171800110001</t>
  </si>
  <si>
    <t>汽车修理厂</t>
  </si>
  <si>
    <t>54042520171800110002</t>
  </si>
  <si>
    <t>商业楼</t>
  </si>
  <si>
    <t>54042520171800110003</t>
  </si>
  <si>
    <t>洗车间</t>
  </si>
  <si>
    <t>54042520171800110004</t>
  </si>
  <si>
    <t>54042520171800110005</t>
  </si>
  <si>
    <t>公厕</t>
  </si>
  <si>
    <t>54042520171800110006</t>
  </si>
  <si>
    <t>54042520171800110007</t>
  </si>
  <si>
    <t>箱式变压器</t>
  </si>
  <si>
    <t>54042520191700910001</t>
  </si>
  <si>
    <t>民宿客栈</t>
  </si>
  <si>
    <t>54042520191700910002</t>
  </si>
  <si>
    <t>床</t>
  </si>
  <si>
    <t>格</t>
  </si>
  <si>
    <t>办公用具家具</t>
  </si>
  <si>
    <t>54042520191700910003</t>
  </si>
  <si>
    <t>冰柜</t>
  </si>
  <si>
    <t>54042520191700910004</t>
  </si>
  <si>
    <t>电视</t>
  </si>
  <si>
    <t>54042520201701210001</t>
  </si>
  <si>
    <t>接待中心</t>
  </si>
  <si>
    <t>53.88㎡</t>
  </si>
  <si>
    <t>54042520201701210002</t>
  </si>
  <si>
    <t>2号楼餐厅</t>
  </si>
  <si>
    <t>184.86㎡</t>
  </si>
  <si>
    <t>54042520201701210003</t>
  </si>
  <si>
    <t>3号楼客栈</t>
  </si>
  <si>
    <t>151.68㎡</t>
  </si>
  <si>
    <t>54042520201701210004</t>
  </si>
  <si>
    <t>附属设施</t>
  </si>
  <si>
    <t>152.68㎡</t>
  </si>
  <si>
    <t>54042520201701210005</t>
  </si>
  <si>
    <t>空气热能泵</t>
  </si>
  <si>
    <t>54042520201701210006</t>
  </si>
  <si>
    <t>家具、帐篷、遮阳座椅</t>
  </si>
  <si>
    <t>54042520190701610001</t>
  </si>
  <si>
    <t>扎那村</t>
  </si>
  <si>
    <t>54042520190701620001</t>
  </si>
  <si>
    <t>54042520190701610002</t>
  </si>
  <si>
    <t>54042520190701610003</t>
  </si>
  <si>
    <t>54042520182001620001</t>
  </si>
  <si>
    <t>54042520191901900001</t>
  </si>
  <si>
    <t>加工设备</t>
  </si>
  <si>
    <t>前中瓦村</t>
  </si>
  <si>
    <t>54042520191901900002</t>
  </si>
  <si>
    <t>加工坊</t>
  </si>
  <si>
    <t>54042520221904500001</t>
  </si>
  <si>
    <t>商铺</t>
  </si>
  <si>
    <t>巴宜区</t>
  </si>
  <si>
    <t>8068.46㎡</t>
  </si>
  <si>
    <t>54042520221905500001</t>
  </si>
  <si>
    <t>商住楼</t>
  </si>
  <si>
    <t>2457.5㎡</t>
  </si>
  <si>
    <t>54042520221903300001</t>
  </si>
  <si>
    <t>冷链库</t>
  </si>
  <si>
    <t>1830.06㎡</t>
  </si>
  <si>
    <t>尚未移交，权属未定</t>
  </si>
  <si>
    <t>54042520221903300002</t>
  </si>
  <si>
    <t>石榴仓库</t>
  </si>
  <si>
    <t>45.36㎡</t>
  </si>
  <si>
    <t>54042520221903300003</t>
  </si>
  <si>
    <t>物流仓库</t>
  </si>
  <si>
    <t>503.12㎡</t>
  </si>
  <si>
    <t>54042520221903300004</t>
  </si>
  <si>
    <t>值班室</t>
  </si>
  <si>
    <t>158.40㎡</t>
  </si>
  <si>
    <t>54042520221903300005</t>
  </si>
  <si>
    <t>400KVA变压器</t>
  </si>
  <si>
    <t>54042520221903300006</t>
  </si>
  <si>
    <t>高效双线机械选果机</t>
  </si>
  <si>
    <t>54042520221903300007</t>
  </si>
  <si>
    <t>冷链车</t>
  </si>
  <si>
    <t>辆</t>
  </si>
  <si>
    <t>车辆</t>
  </si>
  <si>
    <t>54042520221903300008</t>
  </si>
  <si>
    <t>叉车</t>
  </si>
  <si>
    <t>54042520191201000001</t>
  </si>
  <si>
    <t>茶园</t>
  </si>
  <si>
    <t>54042520181203000001</t>
  </si>
  <si>
    <t>54042520181203100001</t>
  </si>
  <si>
    <t>54042520181203700001</t>
  </si>
  <si>
    <t>138.4亩</t>
  </si>
  <si>
    <t>54042520181203900001</t>
  </si>
  <si>
    <t>54042520181204000001</t>
  </si>
  <si>
    <t>54042520181204300001</t>
  </si>
  <si>
    <t>54042520181204400001</t>
  </si>
  <si>
    <t>54042520181204500001</t>
  </si>
  <si>
    <t>54042520181204600001</t>
  </si>
  <si>
    <t>54042520181204700001</t>
  </si>
  <si>
    <t>茶叶粗加工厂房</t>
  </si>
  <si>
    <t>54042520181204800001</t>
  </si>
  <si>
    <t>54042520181204900001</t>
  </si>
  <si>
    <t>54042520181205000001</t>
  </si>
  <si>
    <t xml:space="preserve">54042520181205100001 </t>
  </si>
  <si>
    <t>茶叶加工厂房</t>
  </si>
  <si>
    <t>54042520181205200001</t>
  </si>
  <si>
    <t xml:space="preserve">54042520181205300001 </t>
  </si>
  <si>
    <t>54042520181205400001</t>
  </si>
  <si>
    <t>54042520181205700001</t>
  </si>
  <si>
    <t>54042520181205800001</t>
  </si>
  <si>
    <t>540425201812059000001</t>
  </si>
  <si>
    <t>338.85亩</t>
  </si>
  <si>
    <t>540425201812060000001</t>
  </si>
  <si>
    <t>386亩</t>
  </si>
  <si>
    <t>540425201812061000001</t>
  </si>
  <si>
    <t>430亩</t>
  </si>
  <si>
    <t>540425201812062000001</t>
  </si>
  <si>
    <t>903亩</t>
  </si>
  <si>
    <t>540425201812063000001</t>
  </si>
  <si>
    <t>508亩</t>
  </si>
  <si>
    <t>54042520181206400001</t>
  </si>
  <si>
    <t>540亩</t>
  </si>
  <si>
    <t>54042520181206500001</t>
  </si>
  <si>
    <t>2056亩</t>
  </si>
  <si>
    <t>54042520181206600001</t>
  </si>
  <si>
    <t>320亩</t>
  </si>
  <si>
    <t>54042520181206700001</t>
  </si>
  <si>
    <t>414亩</t>
  </si>
  <si>
    <t>54042520181206800001</t>
  </si>
  <si>
    <t>54042520181206900001</t>
  </si>
  <si>
    <t>358.46亩</t>
  </si>
  <si>
    <t>54042520181207000001</t>
  </si>
  <si>
    <t>167亩</t>
  </si>
  <si>
    <t>54042520181207100001</t>
  </si>
  <si>
    <t>280亩</t>
  </si>
  <si>
    <t>54042520211202300001</t>
  </si>
  <si>
    <t>茶叶基地</t>
  </si>
  <si>
    <t>下察隅镇钢桥</t>
  </si>
  <si>
    <t>54042520130702200001</t>
  </si>
  <si>
    <r>
      <rPr>
        <sz val="22"/>
        <color theme="1"/>
        <rFont val="方正小标宋简体"/>
        <charset val="134"/>
      </rPr>
      <t xml:space="preserve">西藏自治区察隅县低效、闲置项目资产台账
</t>
    </r>
    <r>
      <rPr>
        <sz val="18"/>
        <color theme="1"/>
        <rFont val="方正小标宋简体"/>
        <charset val="134"/>
      </rPr>
      <t>（截至2026年6月20日数据）</t>
    </r>
  </si>
  <si>
    <t>资产
名称</t>
  </si>
  <si>
    <t>坐落或置放位置</t>
  </si>
  <si>
    <t>资产个数</t>
  </si>
  <si>
    <t>资产原值（元）</t>
  </si>
  <si>
    <t>资产累计折旧（摊销）（元）</t>
  </si>
  <si>
    <t>资产净值（元）</t>
  </si>
  <si>
    <t>资产
状态</t>
  </si>
  <si>
    <t>资产类别</t>
  </si>
  <si>
    <t>资产所有权
（资产盘活责任主体）
主体名称</t>
  </si>
  <si>
    <t>资产盘活措施</t>
  </si>
  <si>
    <t>是否完成盘活</t>
  </si>
  <si>
    <t>资产完成盘活时间</t>
  </si>
  <si>
    <t>填表说明：与表2项目编号一致</t>
  </si>
  <si>
    <t>在“固定资产、生物资产、权益类资产、其他资产”中选择</t>
  </si>
  <si>
    <t>在“低效、闲置”中选择</t>
  </si>
  <si>
    <t>填写“是/否”</t>
  </si>
  <si>
    <t>例：2025.09.30</t>
  </si>
  <si>
    <t>丛</t>
  </si>
  <si>
    <t>54042520202002220002</t>
  </si>
  <si>
    <t>石榴（未存活）</t>
  </si>
  <si>
    <t>54042520212003620001</t>
  </si>
  <si>
    <t>54042520212003520001</t>
  </si>
  <si>
    <t>54042520202002120001</t>
  </si>
  <si>
    <t>54042520192002020001</t>
  </si>
  <si>
    <t>54042520212003820001</t>
  </si>
  <si>
    <t>54042520182000920001</t>
  </si>
  <si>
    <t>54042520202002720002</t>
  </si>
  <si>
    <t>54042520202002320002</t>
  </si>
  <si>
    <t>54042520182001620002</t>
  </si>
  <si>
    <r>
      <rPr>
        <sz val="22"/>
        <color theme="1"/>
        <rFont val="方正小标宋简体"/>
        <charset val="134"/>
      </rPr>
      <t xml:space="preserve">西藏自治区察隅县帮扶产业项目待处置资产台账
</t>
    </r>
    <r>
      <rPr>
        <sz val="18"/>
        <color theme="1"/>
        <rFont val="方正小标宋简体"/>
        <charset val="134"/>
      </rPr>
      <t>（截至2026年6月20日数据）</t>
    </r>
  </si>
  <si>
    <t>资产
编号</t>
  </si>
  <si>
    <t>资产所有权主体（处置责任主体）名称</t>
  </si>
  <si>
    <t>资产处置方法</t>
  </si>
  <si>
    <t>资产处置流程是否执行到位</t>
  </si>
  <si>
    <t>资产完成处置时间</t>
  </si>
  <si>
    <t>统计时间为截止2024年12月31日
（保留2位小数）</t>
  </si>
  <si>
    <t>仅为“待处置”</t>
  </si>
  <si>
    <t>如：2025.09.30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</si>
</sst>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d&quot;日&quot;;@"/>
    <numFmt numFmtId="178" formatCode="0_);[Red]\(0\)"/>
    <numFmt numFmtId="179" formatCode="yyyy&quot;年&quot;m&quot;月&quot;;@"/>
    <numFmt numFmtId="180" formatCode="0.00_ "/>
    <numFmt numFmtId="181" formatCode="#,##0.00_ "/>
    <numFmt numFmtId="182" formatCode="0.00_);[Red]\(0.00\)"/>
  </numFmts>
  <fonts count="70">
    <font>
      <sz val="11"/>
      <color theme="1"/>
      <name val="宋体"/>
      <charset val="134"/>
      <scheme val="minor"/>
    </font>
    <font>
      <sz val="22"/>
      <color theme="1"/>
      <name val="方正小标宋简体"/>
      <charset val="134"/>
    </font>
    <font>
      <b/>
      <sz val="14"/>
      <color indexed="8"/>
      <name val="仿宋_GB2312"/>
      <charset val="134"/>
    </font>
    <font>
      <sz val="14"/>
      <color indexed="8"/>
      <name val="仿宋_GB2312"/>
      <charset val="134"/>
    </font>
    <font>
      <sz val="14"/>
      <color rgb="FF000000"/>
      <name val="仿宋_GB2312"/>
      <charset val="134"/>
    </font>
    <font>
      <sz val="11"/>
      <color indexed="8"/>
      <name val="仿宋_GB2312"/>
      <charset val="134"/>
    </font>
    <font>
      <sz val="11"/>
      <name val="宋体"/>
      <charset val="134"/>
    </font>
    <font>
      <sz val="11"/>
      <color rgb="FF000000"/>
      <name val="仿宋_GB2312"/>
      <charset val="134"/>
    </font>
    <font>
      <sz val="10"/>
      <name val="Times New Roman"/>
      <charset val="134"/>
    </font>
    <font>
      <sz val="10"/>
      <name val="宋体"/>
      <charset val="134"/>
    </font>
    <font>
      <sz val="10"/>
      <name val="Times New Roman"/>
      <charset val="0"/>
    </font>
    <font>
      <sz val="10"/>
      <color theme="1"/>
      <name val="宋体"/>
      <charset val="134"/>
    </font>
    <font>
      <sz val="10"/>
      <name val="宋体"/>
      <charset val="0"/>
    </font>
    <font>
      <sz val="10"/>
      <name val="Arial"/>
      <charset val="0"/>
    </font>
    <font>
      <sz val="10"/>
      <color rgb="FFFF0000"/>
      <name val="宋体"/>
      <charset val="134"/>
    </font>
    <font>
      <sz val="10"/>
      <color theme="1"/>
      <name val="宋体"/>
      <charset val="134"/>
      <scheme val="minor"/>
    </font>
    <font>
      <sz val="11"/>
      <name val="宋体"/>
      <charset val="134"/>
      <scheme val="minor"/>
    </font>
    <font>
      <sz val="11"/>
      <color rgb="FFFF0000"/>
      <name val="宋体"/>
      <charset val="134"/>
      <scheme val="minor"/>
    </font>
    <font>
      <b/>
      <sz val="14"/>
      <color rgb="FF000000"/>
      <name val="仿宋_GB2312"/>
      <charset val="134"/>
    </font>
    <font>
      <b/>
      <sz val="14"/>
      <name val="仿宋_GB2312"/>
      <charset val="134"/>
    </font>
    <font>
      <sz val="24"/>
      <name val="方正小标宋简体"/>
      <charset val="134"/>
    </font>
    <font>
      <b/>
      <sz val="11"/>
      <color indexed="8"/>
      <name val="仿宋_GB2312"/>
      <charset val="134"/>
    </font>
    <font>
      <b/>
      <sz val="11"/>
      <color rgb="FF000000"/>
      <name val="仿宋_GB2312"/>
      <charset val="134"/>
    </font>
    <font>
      <b/>
      <sz val="11"/>
      <name val="仿宋_GB2312"/>
      <charset val="134"/>
    </font>
    <font>
      <sz val="11"/>
      <name val="仿宋_GB2312"/>
      <charset val="134"/>
    </font>
    <font>
      <b/>
      <sz val="11"/>
      <color rgb="FFFF0000"/>
      <name val="仿宋_GB2312"/>
      <charset val="134"/>
    </font>
    <font>
      <sz val="11"/>
      <color rgb="FF000000"/>
      <name val="宋体"/>
      <charset val="134"/>
    </font>
    <font>
      <sz val="12"/>
      <name val="宋体"/>
      <charset val="134"/>
    </font>
    <font>
      <sz val="10"/>
      <name val="仿宋_GB2312"/>
      <charset val="134"/>
    </font>
    <font>
      <sz val="10"/>
      <name val="宋体"/>
      <charset val="134"/>
      <scheme val="minor"/>
    </font>
    <font>
      <sz val="11"/>
      <color rgb="FF000000"/>
      <name val="宋体"/>
      <charset val="134"/>
      <scheme val="minor"/>
    </font>
    <font>
      <sz val="36"/>
      <name val="方正小标宋简体"/>
      <charset val="134"/>
    </font>
    <font>
      <b/>
      <sz val="12"/>
      <name val="仿宋_GB2312"/>
      <charset val="134"/>
    </font>
    <font>
      <sz val="12"/>
      <name val="仿宋_GB2312"/>
      <charset val="134"/>
    </font>
    <font>
      <sz val="12"/>
      <name val="宋体"/>
      <charset val="134"/>
      <scheme val="minor"/>
    </font>
    <font>
      <sz val="12"/>
      <color rgb="FF000000"/>
      <name val="宋体"/>
      <charset val="134"/>
    </font>
    <font>
      <sz val="12"/>
      <color rgb="FF000000"/>
      <name val="宋体"/>
      <charset val="134"/>
      <scheme val="minor"/>
    </font>
    <font>
      <sz val="10"/>
      <color rgb="FF000000"/>
      <name val="宋体"/>
      <charset val="134"/>
      <scheme val="minor"/>
    </font>
    <font>
      <sz val="12"/>
      <color rgb="FFFF0000"/>
      <name val="宋体"/>
      <charset val="134"/>
    </font>
    <font>
      <sz val="12"/>
      <color rgb="FFFF0000"/>
      <name val="宋体"/>
      <charset val="134"/>
      <scheme val="minor"/>
    </font>
    <font>
      <sz val="10"/>
      <color rgb="FFFF0000"/>
      <name val="宋体"/>
      <charset val="134"/>
      <scheme val="minor"/>
    </font>
    <font>
      <sz val="11"/>
      <color rgb="FFFF0000"/>
      <name val="宋体"/>
      <charset val="134"/>
    </font>
    <font>
      <sz val="12"/>
      <color theme="1"/>
      <name val="宋体"/>
      <charset val="134"/>
      <scheme val="minor"/>
    </font>
    <font>
      <sz val="26"/>
      <color theme="1"/>
      <name val="方正小标宋简体"/>
      <charset val="134"/>
    </font>
    <font>
      <sz val="18"/>
      <color theme="1"/>
      <name val="方正小标宋简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0"/>
      <name val="Arial"/>
      <charset val="134"/>
    </font>
    <font>
      <b/>
      <sz val="12"/>
      <name val="宋体"/>
      <charset val="134"/>
    </font>
    <font>
      <sz val="16"/>
      <color theme="1"/>
      <name val="方正小标宋简体"/>
      <charset val="134"/>
    </font>
    <font>
      <sz val="18"/>
      <name val="方正小标宋简体"/>
      <charset val="134"/>
    </font>
    <font>
      <b/>
      <sz val="9"/>
      <name val="宋体"/>
      <charset val="134"/>
    </font>
  </fonts>
  <fills count="43">
    <fill>
      <patternFill patternType="none"/>
    </fill>
    <fill>
      <patternFill patternType="gray125"/>
    </fill>
    <fill>
      <patternFill patternType="solid">
        <fgColor theme="2"/>
        <bgColor indexed="64"/>
      </patternFill>
    </fill>
    <fill>
      <patternFill patternType="solid">
        <fgColor theme="7" tint="0.8"/>
        <bgColor indexed="64"/>
      </patternFill>
    </fill>
    <fill>
      <patternFill patternType="solid">
        <fgColor theme="7" tint="0.6"/>
        <bgColor indexed="64"/>
      </patternFill>
    </fill>
    <fill>
      <patternFill patternType="solid">
        <fgColor rgb="FFD2F4F2"/>
        <bgColor indexed="64"/>
      </patternFill>
    </fill>
    <fill>
      <patternFill patternType="solid">
        <fgColor theme="8" tint="0.8"/>
        <bgColor indexed="64"/>
      </patternFill>
    </fill>
    <fill>
      <patternFill patternType="solid">
        <fgColor theme="9" tint="0.8"/>
        <bgColor indexed="64"/>
      </patternFill>
    </fill>
    <fill>
      <patternFill patternType="solid">
        <fgColor theme="0"/>
        <bgColor indexed="64"/>
      </patternFill>
    </fill>
    <fill>
      <patternFill patternType="solid">
        <fgColor theme="2" tint="-0.1"/>
        <bgColor indexed="64"/>
      </patternFill>
    </fill>
    <fill>
      <patternFill patternType="solid">
        <fgColor theme="8" tint="0.8"/>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auto="1"/>
      </top>
      <bottom/>
      <diagonal/>
    </border>
    <border>
      <left style="thin">
        <color rgb="FF000000"/>
      </left>
      <right style="thin">
        <color auto="1"/>
      </right>
      <top style="thin">
        <color auto="1"/>
      </top>
      <bottom/>
      <diagonal/>
    </border>
    <border>
      <left/>
      <right style="thin">
        <color auto="1"/>
      </right>
      <top style="thin">
        <color auto="1"/>
      </top>
      <bottom/>
      <diagonal/>
    </border>
    <border>
      <left style="thin">
        <color rgb="FF000000"/>
      </left>
      <right/>
      <top style="thin">
        <color rgb="FF000000"/>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8">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5" fillId="0" borderId="0">
      <alignment vertical="center"/>
    </xf>
    <xf numFmtId="0" fontId="46" fillId="0" borderId="0">
      <alignment vertical="center"/>
    </xf>
    <xf numFmtId="0" fontId="0" fillId="12" borderId="25">
      <alignment vertical="center"/>
    </xf>
    <xf numFmtId="0" fontId="47" fillId="0" borderId="0">
      <alignment vertical="center"/>
    </xf>
    <xf numFmtId="0" fontId="48" fillId="0" borderId="0">
      <alignment vertical="center"/>
    </xf>
    <xf numFmtId="0" fontId="49" fillId="0" borderId="0">
      <alignment vertical="center"/>
    </xf>
    <xf numFmtId="0" fontId="50" fillId="0" borderId="26">
      <alignment vertical="center"/>
    </xf>
    <xf numFmtId="0" fontId="51" fillId="0" borderId="26">
      <alignment vertical="center"/>
    </xf>
    <xf numFmtId="0" fontId="52" fillId="0" borderId="27">
      <alignment vertical="center"/>
    </xf>
    <xf numFmtId="0" fontId="52" fillId="0" borderId="0">
      <alignment vertical="center"/>
    </xf>
    <xf numFmtId="0" fontId="53" fillId="13" borderId="28">
      <alignment vertical="center"/>
    </xf>
    <xf numFmtId="0" fontId="54" fillId="14" borderId="29">
      <alignment vertical="center"/>
    </xf>
    <xf numFmtId="0" fontId="55" fillId="14" borderId="28">
      <alignment vertical="center"/>
    </xf>
    <xf numFmtId="0" fontId="56" fillId="15" borderId="30">
      <alignment vertical="center"/>
    </xf>
    <xf numFmtId="0" fontId="57" fillId="0" borderId="31">
      <alignment vertical="center"/>
    </xf>
    <xf numFmtId="0" fontId="58" fillId="0" borderId="32">
      <alignment vertical="center"/>
    </xf>
    <xf numFmtId="0" fontId="59" fillId="16" borderId="0">
      <alignment vertical="center"/>
    </xf>
    <xf numFmtId="0" fontId="60" fillId="17" borderId="0">
      <alignment vertical="center"/>
    </xf>
    <xf numFmtId="0" fontId="61" fillId="18" borderId="0">
      <alignment vertical="center"/>
    </xf>
    <xf numFmtId="0" fontId="62" fillId="19" borderId="0">
      <alignment vertical="center"/>
    </xf>
    <xf numFmtId="0" fontId="63" fillId="20" borderId="0">
      <alignment vertical="center"/>
    </xf>
    <xf numFmtId="0" fontId="63" fillId="21" borderId="0">
      <alignment vertical="center"/>
    </xf>
    <xf numFmtId="0" fontId="62" fillId="22" borderId="0">
      <alignment vertical="center"/>
    </xf>
    <xf numFmtId="0" fontId="62" fillId="23" borderId="0">
      <alignment vertical="center"/>
    </xf>
    <xf numFmtId="0" fontId="63" fillId="24" borderId="0">
      <alignment vertical="center"/>
    </xf>
    <xf numFmtId="0" fontId="63" fillId="25" borderId="0">
      <alignment vertical="center"/>
    </xf>
    <xf numFmtId="0" fontId="62" fillId="26" borderId="0">
      <alignment vertical="center"/>
    </xf>
    <xf numFmtId="0" fontId="62" fillId="27" borderId="0">
      <alignment vertical="center"/>
    </xf>
    <xf numFmtId="0" fontId="63" fillId="28" borderId="0">
      <alignment vertical="center"/>
    </xf>
    <xf numFmtId="0" fontId="63" fillId="29" borderId="0">
      <alignment vertical="center"/>
    </xf>
    <xf numFmtId="0" fontId="62" fillId="30" borderId="0">
      <alignment vertical="center"/>
    </xf>
    <xf numFmtId="0" fontId="62" fillId="31" borderId="0">
      <alignment vertical="center"/>
    </xf>
    <xf numFmtId="0" fontId="63" fillId="32" borderId="0">
      <alignment vertical="center"/>
    </xf>
    <xf numFmtId="0" fontId="63" fillId="33" borderId="0">
      <alignment vertical="center"/>
    </xf>
    <xf numFmtId="0" fontId="62" fillId="34" borderId="0">
      <alignment vertical="center"/>
    </xf>
    <xf numFmtId="0" fontId="62" fillId="35" borderId="0">
      <alignment vertical="center"/>
    </xf>
    <xf numFmtId="0" fontId="63" fillId="36" borderId="0">
      <alignment vertical="center"/>
    </xf>
    <xf numFmtId="0" fontId="63" fillId="37" borderId="0">
      <alignment vertical="center"/>
    </xf>
    <xf numFmtId="0" fontId="62" fillId="38" borderId="0">
      <alignment vertical="center"/>
    </xf>
    <xf numFmtId="0" fontId="62" fillId="39" borderId="0">
      <alignment vertical="center"/>
    </xf>
    <xf numFmtId="0" fontId="63" fillId="40" borderId="0">
      <alignment vertical="center"/>
    </xf>
    <xf numFmtId="0" fontId="63" fillId="41" borderId="0">
      <alignment vertical="center"/>
    </xf>
    <xf numFmtId="0" fontId="62" fillId="42" borderId="0">
      <alignment vertical="center"/>
    </xf>
    <xf numFmtId="0" fontId="13" fillId="0" borderId="0">
      <alignment vertical="center"/>
    </xf>
    <xf numFmtId="0" fontId="26" fillId="0" borderId="0">
      <alignment vertical="center"/>
    </xf>
    <xf numFmtId="0" fontId="27" fillId="0" borderId="0"/>
    <xf numFmtId="0" fontId="13" fillId="0" borderId="0" applyProtection="0"/>
    <xf numFmtId="0" fontId="27" fillId="0" borderId="0" applyProtection="0"/>
    <xf numFmtId="0" fontId="27" fillId="0" borderId="0"/>
    <xf numFmtId="0" fontId="0" fillId="0" borderId="0"/>
    <xf numFmtId="0" fontId="27" fillId="0" borderId="0">
      <protection locked="0"/>
    </xf>
    <xf numFmtId="0" fontId="27" fillId="0" borderId="0">
      <alignment vertical="center"/>
    </xf>
    <xf numFmtId="0" fontId="13" fillId="0" borderId="0">
      <protection locked="0"/>
    </xf>
    <xf numFmtId="0" fontId="27" fillId="0" borderId="0" applyProtection="0"/>
    <xf numFmtId="0" fontId="27" fillId="0" borderId="0"/>
    <xf numFmtId="0" fontId="0" fillId="0" borderId="0">
      <alignment vertical="center"/>
    </xf>
    <xf numFmtId="0" fontId="64" fillId="0" borderId="0" applyProtection="0"/>
    <xf numFmtId="0" fontId="27" fillId="0" borderId="0"/>
    <xf numFmtId="0" fontId="27" fillId="0" borderId="0" applyProtection="0"/>
    <xf numFmtId="0" fontId="65" fillId="0" borderId="0"/>
    <xf numFmtId="0" fontId="27" fillId="0" borderId="0"/>
    <xf numFmtId="0" fontId="0" fillId="0" borderId="0">
      <alignment vertical="center"/>
    </xf>
  </cellStyleXfs>
  <cellXfs count="484">
    <xf numFmtId="0" fontId="0" fillId="0" borderId="0" xfId="0" applyAlignment="1">
      <alignment vertical="center"/>
    </xf>
    <xf numFmtId="0" fontId="0" fillId="0" borderId="0" xfId="0" applyAlignment="1">
      <alignment vertical="center" wrapText="1"/>
    </xf>
    <xf numFmtId="0" fontId="1" fillId="0" borderId="0" xfId="0" applyFont="1" applyFill="1" applyBorder="1" applyAlignment="1">
      <alignment horizontal="center" vertical="center" wrapText="1"/>
    </xf>
    <xf numFmtId="4" fontId="2" fillId="2" borderId="1" xfId="0" applyNumberFormat="1" applyFont="1" applyFill="1" applyBorder="1" applyAlignment="1">
      <alignment horizontal="center" vertical="center" wrapText="1"/>
    </xf>
    <xf numFmtId="4" fontId="2" fillId="2" borderId="2" xfId="0" applyNumberFormat="1" applyFont="1" applyFill="1" applyBorder="1" applyAlignment="1">
      <alignment horizontal="center" vertical="center" wrapText="1"/>
    </xf>
    <xf numFmtId="4" fontId="3" fillId="2" borderId="1" xfId="0" applyNumberFormat="1" applyFont="1" applyFill="1" applyBorder="1" applyAlignment="1">
      <alignment horizontal="center" vertical="center" wrapText="1"/>
    </xf>
    <xf numFmtId="4" fontId="4" fillId="2" borderId="1" xfId="0" applyNumberFormat="1" applyFont="1" applyFill="1" applyBorder="1" applyAlignment="1">
      <alignment horizontal="center" vertical="center" wrapText="1"/>
    </xf>
    <xf numFmtId="4" fontId="5" fillId="2" borderId="1" xfId="0" applyNumberFormat="1" applyFont="1" applyFill="1" applyBorder="1" applyAlignment="1">
      <alignment horizontal="center" vertical="center" wrapText="1"/>
    </xf>
    <xf numFmtId="176" fontId="0" fillId="0" borderId="1" xfId="0" applyNumberFormat="1" applyBorder="1" applyAlignment="1">
      <alignment vertical="center" wrapText="1"/>
    </xf>
    <xf numFmtId="0" fontId="0" fillId="0" borderId="1" xfId="0" applyBorder="1" applyAlignment="1">
      <alignment vertical="center" wrapText="1"/>
    </xf>
    <xf numFmtId="177" fontId="0" fillId="0" borderId="1" xfId="0" applyNumberFormat="1" applyBorder="1" applyAlignment="1">
      <alignment vertical="center" wrapText="1"/>
    </xf>
    <xf numFmtId="0" fontId="0" fillId="0" borderId="0" xfId="0" applyFill="1" applyAlignment="1">
      <alignment vertical="center" wrapText="1"/>
    </xf>
    <xf numFmtId="178" fontId="0" fillId="0" borderId="0" xfId="0" applyNumberFormat="1" applyAlignment="1">
      <alignment vertical="center" wrapText="1"/>
    </xf>
    <xf numFmtId="49" fontId="0" fillId="0" borderId="0" xfId="0" applyNumberFormat="1" applyAlignment="1">
      <alignment vertical="center" wrapText="1"/>
    </xf>
    <xf numFmtId="178" fontId="1" fillId="0" borderId="0" xfId="0" applyNumberFormat="1" applyFont="1" applyFill="1" applyAlignment="1">
      <alignment horizontal="center" vertical="center" wrapText="1"/>
    </xf>
    <xf numFmtId="49" fontId="1" fillId="0" borderId="0" xfId="0" applyNumberFormat="1" applyFont="1" applyFill="1" applyAlignment="1">
      <alignment horizontal="center" vertical="center" wrapText="1"/>
    </xf>
    <xf numFmtId="0" fontId="1" fillId="0" borderId="0" xfId="0" applyFont="1" applyFill="1" applyAlignment="1">
      <alignment horizontal="center" vertical="center" wrapText="1"/>
    </xf>
    <xf numFmtId="178"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178" fontId="3"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178" fontId="0" fillId="0" borderId="1" xfId="0" applyNumberFormat="1" applyBorder="1" applyAlignment="1">
      <alignment vertical="center" wrapText="1"/>
    </xf>
    <xf numFmtId="49" fontId="0" fillId="0" borderId="1" xfId="0" applyNumberFormat="1" applyBorder="1" applyAlignment="1">
      <alignment vertical="center" wrapText="1"/>
    </xf>
    <xf numFmtId="179" fontId="0" fillId="0" borderId="1" xfId="0" applyNumberFormat="1" applyBorder="1" applyAlignment="1">
      <alignment vertical="center" wrapText="1"/>
    </xf>
    <xf numFmtId="178" fontId="0" fillId="0" borderId="1" xfId="0" applyNumberFormat="1" applyFill="1" applyBorder="1" applyAlignment="1">
      <alignment vertical="center" wrapText="1"/>
    </xf>
    <xf numFmtId="49" fontId="0" fillId="0" borderId="1" xfId="0" applyNumberFormat="1" applyFill="1" applyBorder="1" applyAlignment="1">
      <alignment vertical="center" wrapText="1"/>
    </xf>
    <xf numFmtId="0" fontId="0" fillId="0" borderId="1" xfId="0" applyFill="1" applyBorder="1" applyAlignment="1">
      <alignment vertical="center" wrapText="1"/>
    </xf>
    <xf numFmtId="179" fontId="0" fillId="0" borderId="1" xfId="0" applyNumberFormat="1" applyFill="1" applyBorder="1" applyAlignment="1">
      <alignment vertical="center" wrapText="1"/>
    </xf>
    <xf numFmtId="0" fontId="0" fillId="0" borderId="0" xfId="0" applyFill="1" applyAlignment="1">
      <alignment vertical="center"/>
    </xf>
    <xf numFmtId="0" fontId="0" fillId="3" borderId="0" xfId="0" applyFill="1" applyAlignment="1">
      <alignment vertical="center"/>
    </xf>
    <xf numFmtId="49" fontId="0" fillId="0" borderId="0" xfId="0" applyNumberFormat="1" applyAlignment="1">
      <alignment vertical="center"/>
    </xf>
    <xf numFmtId="0" fontId="6" fillId="0" borderId="0" xfId="0" applyFont="1" applyFill="1" applyAlignment="1">
      <alignment horizontal="center" vertical="center" wrapText="1"/>
    </xf>
    <xf numFmtId="0" fontId="0" fillId="0" borderId="0" xfId="0" applyAlignment="1">
      <alignment horizontal="center" vertical="center"/>
    </xf>
    <xf numFmtId="49" fontId="1" fillId="0" borderId="0"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wrapText="1"/>
    </xf>
    <xf numFmtId="4" fontId="7" fillId="2"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xf>
    <xf numFmtId="0" fontId="6"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9" fillId="0" borderId="1" xfId="0" applyFont="1" applyFill="1" applyBorder="1" applyAlignment="1">
      <alignment vertical="center"/>
    </xf>
    <xf numFmtId="57" fontId="10" fillId="0" borderId="1" xfId="0" applyNumberFormat="1" applyFont="1" applyFill="1" applyBorder="1" applyAlignment="1">
      <alignment horizontal="right" vertical="center"/>
    </xf>
    <xf numFmtId="0" fontId="10" fillId="0" borderId="1" xfId="0" applyFont="1" applyFill="1" applyBorder="1" applyAlignment="1">
      <alignment horizontal="center" vertical="center"/>
    </xf>
    <xf numFmtId="0" fontId="10" fillId="0" borderId="1" xfId="0" applyFont="1" applyFill="1" applyBorder="1" applyAlignment="1">
      <alignment horizontal="left" vertical="center"/>
    </xf>
    <xf numFmtId="43" fontId="10" fillId="0" borderId="1" xfId="0" applyNumberFormat="1" applyFont="1" applyFill="1" applyBorder="1" applyAlignment="1">
      <alignment horizontal="left" vertical="center"/>
    </xf>
    <xf numFmtId="43" fontId="11" fillId="0" borderId="1" xfId="0" applyNumberFormat="1" applyFont="1" applyFill="1" applyBorder="1" applyAlignment="1">
      <alignment vertical="center"/>
    </xf>
    <xf numFmtId="43" fontId="12" fillId="0" borderId="1" xfId="0" applyNumberFormat="1" applyFont="1" applyFill="1" applyBorder="1" applyAlignment="1">
      <alignment horizontal="left" vertical="center"/>
    </xf>
    <xf numFmtId="43" fontId="10" fillId="0" borderId="1" xfId="0" applyNumberFormat="1" applyFont="1" applyFill="1" applyBorder="1" applyAlignment="1">
      <alignment vertical="center"/>
    </xf>
    <xf numFmtId="43" fontId="10" fillId="0" borderId="1" xfId="0" applyNumberFormat="1" applyFont="1" applyFill="1" applyBorder="1" applyAlignment="1">
      <alignment horizontal="right" vertical="center"/>
    </xf>
    <xf numFmtId="0" fontId="13" fillId="0" borderId="1" xfId="0" applyFont="1" applyFill="1" applyBorder="1" applyAlignment="1"/>
    <xf numFmtId="0" fontId="13" fillId="0" borderId="0" xfId="0" applyFont="1" applyFill="1" applyAlignment="1"/>
    <xf numFmtId="43" fontId="14" fillId="0" borderId="1" xfId="0" applyNumberFormat="1" applyFont="1" applyFill="1" applyBorder="1" applyAlignment="1">
      <alignment vertical="center"/>
    </xf>
    <xf numFmtId="0" fontId="12" fillId="0" borderId="1" xfId="0" applyFont="1" applyFill="1" applyBorder="1" applyAlignment="1"/>
    <xf numFmtId="43" fontId="11" fillId="0" borderId="1" xfId="0" applyNumberFormat="1" applyFont="1" applyBorder="1" applyAlignment="1">
      <alignment vertical="center"/>
    </xf>
    <xf numFmtId="0" fontId="8" fillId="0" borderId="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0" fontId="12" fillId="0" borderId="0" xfId="0" applyFont="1" applyFill="1" applyAlignment="1"/>
    <xf numFmtId="0" fontId="10" fillId="0" borderId="1" xfId="0" applyFont="1" applyFill="1" applyBorder="1" applyAlignment="1">
      <alignment horizontal="right" vertical="center"/>
    </xf>
    <xf numFmtId="0" fontId="0" fillId="0" borderId="1" xfId="0" applyFill="1" applyBorder="1" applyAlignment="1">
      <alignment vertical="center"/>
    </xf>
    <xf numFmtId="180" fontId="0" fillId="0" borderId="1" xfId="0" applyNumberFormat="1" applyFill="1" applyBorder="1" applyAlignment="1">
      <alignment vertical="center"/>
    </xf>
    <xf numFmtId="0" fontId="0" fillId="0" borderId="1" xfId="0" applyBorder="1" applyAlignment="1">
      <alignment vertical="center"/>
    </xf>
    <xf numFmtId="176" fontId="8" fillId="3" borderId="1" xfId="0" applyNumberFormat="1" applyFont="1" applyFill="1" applyBorder="1" applyAlignment="1">
      <alignment horizontal="center" vertical="center"/>
    </xf>
    <xf numFmtId="0" fontId="6" fillId="3" borderId="1" xfId="0" applyFont="1" applyFill="1" applyBorder="1" applyAlignment="1">
      <alignment horizontal="center" vertical="center" wrapText="1"/>
    </xf>
    <xf numFmtId="0" fontId="0" fillId="3" borderId="1" xfId="0" applyFill="1" applyBorder="1" applyAlignment="1">
      <alignment vertical="center"/>
    </xf>
    <xf numFmtId="0" fontId="10" fillId="3" borderId="1" xfId="0" applyFont="1" applyFill="1" applyBorder="1" applyAlignment="1">
      <alignment horizontal="right" vertical="center"/>
    </xf>
    <xf numFmtId="0" fontId="10" fillId="3" borderId="1" xfId="0" applyFont="1" applyFill="1" applyBorder="1" applyAlignment="1">
      <alignment horizontal="center" vertical="center"/>
    </xf>
    <xf numFmtId="43" fontId="10" fillId="3" borderId="1" xfId="0" applyNumberFormat="1" applyFont="1" applyFill="1" applyBorder="1" applyAlignment="1">
      <alignment horizontal="right" vertical="center"/>
    </xf>
    <xf numFmtId="43" fontId="11" fillId="3" borderId="1" xfId="0" applyNumberFormat="1" applyFont="1" applyFill="1" applyBorder="1" applyAlignment="1">
      <alignment vertical="center"/>
    </xf>
    <xf numFmtId="43" fontId="12" fillId="3" borderId="1" xfId="0" applyNumberFormat="1" applyFont="1" applyFill="1" applyBorder="1" applyAlignment="1">
      <alignment horizontal="left" vertical="center"/>
    </xf>
    <xf numFmtId="0" fontId="0" fillId="0" borderId="1" xfId="0" applyBorder="1" applyAlignment="1">
      <alignment horizontal="center" vertical="center"/>
    </xf>
    <xf numFmtId="49" fontId="15" fillId="0" borderId="1" xfId="0" applyNumberFormat="1" applyFont="1" applyBorder="1" applyAlignment="1">
      <alignment horizontal="center" vertical="center"/>
    </xf>
    <xf numFmtId="181" fontId="0" fillId="0" borderId="1" xfId="0" applyNumberFormat="1" applyBorder="1" applyAlignment="1">
      <alignment vertical="center"/>
    </xf>
    <xf numFmtId="180" fontId="8" fillId="0" borderId="1" xfId="0" applyNumberFormat="1" applyFont="1" applyFill="1" applyBorder="1" applyAlignment="1">
      <alignment horizontal="center" vertical="center"/>
    </xf>
    <xf numFmtId="49" fontId="0" fillId="0" borderId="1" xfId="0" applyNumberFormat="1" applyBorder="1" applyAlignment="1">
      <alignment vertical="center"/>
    </xf>
    <xf numFmtId="176" fontId="0" fillId="0" borderId="1" xfId="0" applyNumberFormat="1" applyBorder="1" applyAlignment="1">
      <alignment vertical="center"/>
    </xf>
    <xf numFmtId="180" fontId="0" fillId="0" borderId="1" xfId="0" applyNumberFormat="1" applyBorder="1" applyAlignment="1">
      <alignment vertical="center"/>
    </xf>
    <xf numFmtId="0" fontId="0" fillId="4" borderId="0" xfId="0" applyFill="1" applyAlignment="1">
      <alignment vertical="center"/>
    </xf>
    <xf numFmtId="0" fontId="16" fillId="0" borderId="0" xfId="0" applyFont="1" applyFill="1" applyAlignment="1">
      <alignment vertical="center"/>
    </xf>
    <xf numFmtId="0" fontId="16" fillId="0" borderId="0" xfId="0" applyFont="1" applyAlignment="1">
      <alignment vertical="center"/>
    </xf>
    <xf numFmtId="0" fontId="17" fillId="0" borderId="0" xfId="0" applyFont="1" applyAlignmen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0" fontId="1" fillId="0" borderId="0" xfId="0" applyFont="1" applyFill="1" applyAlignment="1">
      <alignment horizontal="center" vertical="center"/>
    </xf>
    <xf numFmtId="176" fontId="1" fillId="0" borderId="0" xfId="0" applyNumberFormat="1" applyFont="1" applyFill="1" applyAlignment="1">
      <alignment horizontal="center" vertical="center"/>
    </xf>
    <xf numFmtId="49" fontId="2" fillId="2" borderId="2" xfId="0" applyNumberFormat="1" applyFont="1" applyFill="1" applyBorder="1" applyAlignment="1">
      <alignment horizontal="center" vertical="center" wrapText="1"/>
    </xf>
    <xf numFmtId="176" fontId="2" fillId="2" borderId="2" xfId="0" applyNumberFormat="1" applyFont="1" applyFill="1" applyBorder="1" applyAlignment="1">
      <alignment horizontal="center" vertical="center" wrapText="1"/>
    </xf>
    <xf numFmtId="4" fontId="18" fillId="2" borderId="3" xfId="0" applyNumberFormat="1" applyFont="1" applyFill="1" applyBorder="1" applyAlignment="1">
      <alignment horizontal="center" vertical="center" wrapText="1"/>
    </xf>
    <xf numFmtId="4" fontId="18" fillId="2" borderId="4" xfId="0" applyNumberFormat="1" applyFont="1" applyFill="1" applyBorder="1" applyAlignment="1">
      <alignment horizontal="center" vertical="center" wrapText="1"/>
    </xf>
    <xf numFmtId="4" fontId="18" fillId="2" borderId="5" xfId="0" applyNumberFormat="1" applyFont="1" applyFill="1" applyBorder="1" applyAlignment="1">
      <alignment horizontal="center" vertical="center" wrapText="1"/>
    </xf>
    <xf numFmtId="0" fontId="19" fillId="2" borderId="2" xfId="0"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4" fontId="2" fillId="2" borderId="6" xfId="0" applyNumberFormat="1" applyFont="1" applyFill="1" applyBorder="1" applyAlignment="1">
      <alignment horizontal="center" vertical="center" wrapText="1"/>
    </xf>
    <xf numFmtId="176" fontId="2" fillId="2" borderId="6" xfId="0" applyNumberFormat="1" applyFont="1" applyFill="1" applyBorder="1" applyAlignment="1">
      <alignment horizontal="center" vertical="center" wrapText="1"/>
    </xf>
    <xf numFmtId="4" fontId="2" fillId="2" borderId="5" xfId="0" applyNumberFormat="1" applyFont="1" applyFill="1" applyBorder="1" applyAlignment="1">
      <alignment horizontal="center" vertical="center" wrapText="1"/>
    </xf>
    <xf numFmtId="4" fontId="2" fillId="2" borderId="3" xfId="0" applyNumberFormat="1" applyFont="1" applyFill="1" applyBorder="1" applyAlignment="1">
      <alignment horizontal="center" vertical="center" wrapText="1"/>
    </xf>
    <xf numFmtId="0" fontId="19" fillId="2" borderId="6" xfId="0" applyFont="1" applyFill="1" applyBorder="1" applyAlignment="1">
      <alignment horizontal="center" vertical="center" wrapText="1"/>
    </xf>
    <xf numFmtId="49" fontId="2" fillId="2" borderId="7" xfId="0" applyNumberFormat="1" applyFont="1" applyFill="1" applyBorder="1" applyAlignment="1">
      <alignment horizontal="center" vertical="center" wrapText="1"/>
    </xf>
    <xf numFmtId="4" fontId="2" fillId="2" borderId="7" xfId="0" applyNumberFormat="1" applyFont="1" applyFill="1" applyBorder="1" applyAlignment="1">
      <alignment horizontal="center" vertical="center" wrapText="1"/>
    </xf>
    <xf numFmtId="176" fontId="2" fillId="2" borderId="7" xfId="0" applyNumberFormat="1" applyFont="1" applyFill="1" applyBorder="1" applyAlignment="1">
      <alignment horizontal="center" vertical="center" wrapText="1"/>
    </xf>
    <xf numFmtId="4" fontId="2" fillId="2" borderId="8" xfId="0" applyNumberFormat="1" applyFont="1" applyFill="1" applyBorder="1" applyAlignment="1">
      <alignment horizontal="center" vertical="center" wrapText="1"/>
    </xf>
    <xf numFmtId="0" fontId="19" fillId="2" borderId="7" xfId="0"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 fontId="3" fillId="2" borderId="7" xfId="0" applyNumberFormat="1" applyFont="1" applyFill="1" applyBorder="1" applyAlignment="1">
      <alignment horizontal="center" vertical="center" wrapText="1"/>
    </xf>
    <xf numFmtId="176" fontId="3" fillId="2" borderId="7"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4" fillId="2" borderId="10" xfId="0" applyNumberFormat="1" applyFont="1" applyFill="1" applyBorder="1" applyAlignment="1">
      <alignment horizontal="center" vertical="center" wrapText="1"/>
    </xf>
    <xf numFmtId="4" fontId="2" fillId="2" borderId="10" xfId="0" applyNumberFormat="1" applyFont="1" applyFill="1" applyBorder="1" applyAlignment="1">
      <alignment horizontal="center" vertical="center" wrapText="1"/>
    </xf>
    <xf numFmtId="176" fontId="0" fillId="0" borderId="1" xfId="0" applyNumberFormat="1" applyFill="1" applyBorder="1" applyAlignment="1">
      <alignment horizontal="center" vertical="center"/>
    </xf>
    <xf numFmtId="0" fontId="0" fillId="0" borderId="1" xfId="0" applyFill="1" applyBorder="1" applyAlignment="1">
      <alignment horizontal="center" vertical="center"/>
    </xf>
    <xf numFmtId="43" fontId="0" fillId="0" borderId="1" xfId="0" applyNumberFormat="1" applyFill="1" applyBorder="1" applyAlignment="1">
      <alignment vertical="center"/>
    </xf>
    <xf numFmtId="0" fontId="0" fillId="0" borderId="1" xfId="0" applyFill="1" applyBorder="1" applyAlignment="1">
      <alignment horizontal="center" vertical="center" wrapText="1"/>
    </xf>
    <xf numFmtId="176"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vertical="center"/>
    </xf>
    <xf numFmtId="43" fontId="0" fillId="4" borderId="1" xfId="0" applyNumberFormat="1" applyFill="1" applyBorder="1" applyAlignment="1">
      <alignment vertical="center"/>
    </xf>
    <xf numFmtId="180" fontId="0" fillId="4" borderId="1" xfId="0" applyNumberForma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center" vertical="center" wrapText="1"/>
    </xf>
    <xf numFmtId="178" fontId="0" fillId="0" borderId="1" xfId="0" applyNumberFormat="1" applyFill="1" applyBorder="1" applyAlignment="1">
      <alignment horizontal="center" vertical="center" wrapText="1"/>
    </xf>
    <xf numFmtId="0" fontId="0" fillId="0" borderId="1" xfId="0" applyFill="1" applyBorder="1" applyAlignment="1">
      <alignment horizontal="left" vertical="top"/>
    </xf>
    <xf numFmtId="176" fontId="0" fillId="0" borderId="1" xfId="0" applyNumberFormat="1" applyBorder="1" applyAlignment="1">
      <alignment horizontal="center" vertical="center"/>
    </xf>
    <xf numFmtId="178" fontId="0" fillId="3" borderId="1" xfId="0" applyNumberFormat="1" applyFill="1" applyBorder="1" applyAlignment="1">
      <alignment horizontal="center" vertical="center" wrapText="1"/>
    </xf>
    <xf numFmtId="0" fontId="0" fillId="3" borderId="1" xfId="0" applyFill="1" applyBorder="1" applyAlignment="1">
      <alignment horizontal="center" vertical="center"/>
    </xf>
    <xf numFmtId="176" fontId="0" fillId="3" borderId="1" xfId="0" applyNumberFormat="1" applyFill="1" applyBorder="1" applyAlignment="1">
      <alignment horizontal="center" vertical="center"/>
    </xf>
    <xf numFmtId="180" fontId="0" fillId="3" borderId="1" xfId="0" applyNumberFormat="1" applyFill="1" applyBorder="1" applyAlignment="1">
      <alignment vertical="center"/>
    </xf>
    <xf numFmtId="0" fontId="0" fillId="3" borderId="1" xfId="0" applyFill="1" applyBorder="1" applyAlignment="1">
      <alignment vertical="center" wrapText="1"/>
    </xf>
    <xf numFmtId="178" fontId="16" fillId="0" borderId="1" xfId="0" applyNumberFormat="1"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Font="1" applyFill="1" applyBorder="1" applyAlignment="1">
      <alignment horizontal="left" vertical="center"/>
    </xf>
    <xf numFmtId="43" fontId="16" fillId="0" borderId="1" xfId="0" applyNumberFormat="1" applyFont="1" applyFill="1" applyBorder="1" applyAlignment="1">
      <alignment horizontal="center" vertical="center" wrapText="1"/>
    </xf>
    <xf numFmtId="0" fontId="16" fillId="0" borderId="1" xfId="0" applyFont="1" applyFill="1" applyBorder="1" applyAlignment="1">
      <alignment vertical="center"/>
    </xf>
    <xf numFmtId="43" fontId="16" fillId="0" borderId="1" xfId="0" applyNumberFormat="1" applyFont="1" applyFill="1" applyBorder="1" applyAlignment="1">
      <alignment horizontal="right" vertical="center" wrapText="1"/>
    </xf>
    <xf numFmtId="180" fontId="16" fillId="0" borderId="1" xfId="0" applyNumberFormat="1" applyFont="1" applyFill="1" applyBorder="1" applyAlignment="1">
      <alignment vertical="center"/>
    </xf>
    <xf numFmtId="0" fontId="16" fillId="0" borderId="1" xfId="0" applyFont="1" applyFill="1" applyBorder="1" applyAlignment="1">
      <alignment vertical="center" wrapText="1"/>
    </xf>
    <xf numFmtId="0" fontId="16" fillId="0" borderId="1" xfId="0" applyFont="1" applyBorder="1" applyAlignment="1">
      <alignment horizontal="center" vertical="center"/>
    </xf>
    <xf numFmtId="0" fontId="16" fillId="0" borderId="1" xfId="0" applyFont="1" applyBorder="1" applyAlignment="1">
      <alignment vertical="center"/>
    </xf>
    <xf numFmtId="180" fontId="16" fillId="0" borderId="1" xfId="0" applyNumberFormat="1" applyFont="1" applyBorder="1" applyAlignment="1">
      <alignment vertical="center"/>
    </xf>
    <xf numFmtId="0" fontId="16" fillId="0" borderId="1" xfId="0" applyFont="1" applyBorder="1" applyAlignment="1">
      <alignment vertical="center" wrapText="1"/>
    </xf>
    <xf numFmtId="178" fontId="17" fillId="0" borderId="1" xfId="0" applyNumberFormat="1" applyFont="1" applyFill="1" applyBorder="1" applyAlignment="1">
      <alignment horizontal="center" vertical="center" wrapText="1"/>
    </xf>
    <xf numFmtId="0" fontId="17" fillId="0" borderId="1" xfId="0" applyFont="1" applyBorder="1" applyAlignment="1">
      <alignment horizontal="center" vertical="center"/>
    </xf>
    <xf numFmtId="0" fontId="17" fillId="0" borderId="1" xfId="0" applyFont="1" applyFill="1" applyBorder="1" applyAlignment="1">
      <alignment horizontal="left" vertical="center"/>
    </xf>
    <xf numFmtId="43" fontId="17" fillId="0" borderId="1" xfId="0" applyNumberFormat="1" applyFont="1" applyFill="1" applyBorder="1" applyAlignment="1">
      <alignment horizontal="center" vertical="center" wrapText="1"/>
    </xf>
    <xf numFmtId="0" fontId="17" fillId="0" borderId="1" xfId="0" applyFont="1" applyBorder="1" applyAlignment="1">
      <alignment vertical="center"/>
    </xf>
    <xf numFmtId="43" fontId="17" fillId="0" borderId="1" xfId="0" applyNumberFormat="1" applyFont="1" applyFill="1" applyBorder="1" applyAlignment="1">
      <alignment horizontal="right" vertical="center" wrapText="1"/>
    </xf>
    <xf numFmtId="180" fontId="17" fillId="0" borderId="1" xfId="0" applyNumberFormat="1" applyFont="1" applyBorder="1" applyAlignment="1">
      <alignment vertical="center"/>
    </xf>
    <xf numFmtId="0" fontId="17" fillId="0" borderId="1" xfId="0" applyFont="1" applyFill="1" applyBorder="1" applyAlignment="1">
      <alignment vertical="center"/>
    </xf>
    <xf numFmtId="0" fontId="17" fillId="0" borderId="1" xfId="0" applyFont="1" applyFill="1" applyBorder="1" applyAlignment="1">
      <alignment horizontal="center" vertical="center"/>
    </xf>
    <xf numFmtId="0" fontId="17" fillId="0" borderId="1" xfId="0" applyFont="1" applyBorder="1" applyAlignment="1">
      <alignment vertical="center" wrapText="1"/>
    </xf>
    <xf numFmtId="43" fontId="17" fillId="0" borderId="1" xfId="0" applyNumberFormat="1" applyFont="1" applyBorder="1" applyAlignment="1">
      <alignment horizontal="center" vertical="center"/>
    </xf>
    <xf numFmtId="43" fontId="17" fillId="0" borderId="1" xfId="0" applyNumberFormat="1" applyFont="1" applyBorder="1" applyAlignment="1">
      <alignment horizontal="right" vertical="center"/>
    </xf>
    <xf numFmtId="0" fontId="0" fillId="0" borderId="0" xfId="0" applyFill="1" applyAlignment="1">
      <alignment horizontal="center" vertical="center"/>
    </xf>
    <xf numFmtId="0" fontId="0" fillId="0"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16" fillId="0" borderId="0" xfId="0" applyFont="1" applyAlignment="1">
      <alignment horizontal="center" vertical="center"/>
    </xf>
    <xf numFmtId="0" fontId="16" fillId="6" borderId="0" xfId="0" applyFont="1" applyFill="1" applyAlignment="1">
      <alignment horizontal="center" vertical="center"/>
    </xf>
    <xf numFmtId="0" fontId="16" fillId="0" borderId="0" xfId="0" applyFont="1" applyFill="1" applyAlignment="1">
      <alignment horizontal="center" vertical="center"/>
    </xf>
    <xf numFmtId="0" fontId="17"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0" fontId="20" fillId="0" borderId="0" xfId="0" applyFont="1" applyFill="1" applyAlignment="1" applyProtection="1">
      <alignment horizontal="center" vertical="center" wrapText="1"/>
    </xf>
    <xf numFmtId="0" fontId="20" fillId="0" borderId="0" xfId="0" applyFont="1" applyFill="1" applyAlignment="1" applyProtection="1">
      <alignment horizontal="left" vertical="center" wrapText="1"/>
    </xf>
    <xf numFmtId="49" fontId="21" fillId="2" borderId="1" xfId="0" applyNumberFormat="1" applyFont="1" applyFill="1" applyBorder="1" applyAlignment="1">
      <alignment horizontal="center" vertical="center" wrapText="1"/>
    </xf>
    <xf numFmtId="4" fontId="21" fillId="2" borderId="1" xfId="0" applyNumberFormat="1" applyFont="1" applyFill="1" applyBorder="1" applyAlignment="1">
      <alignment horizontal="center" vertical="center" wrapText="1"/>
    </xf>
    <xf numFmtId="4" fontId="22" fillId="2" borderId="1" xfId="0" applyNumberFormat="1" applyFont="1" applyFill="1" applyBorder="1" applyAlignment="1">
      <alignment horizontal="center" vertical="center" wrapText="1"/>
    </xf>
    <xf numFmtId="4" fontId="23" fillId="2" borderId="1" xfId="0" applyNumberFormat="1" applyFont="1" applyFill="1" applyBorder="1" applyAlignment="1">
      <alignment horizontal="center" vertical="center" wrapText="1"/>
    </xf>
    <xf numFmtId="4" fontId="22" fillId="2" borderId="10" xfId="0" applyNumberFormat="1" applyFont="1" applyFill="1" applyBorder="1" applyAlignment="1">
      <alignment horizontal="center" vertical="center" wrapText="1"/>
    </xf>
    <xf numFmtId="4" fontId="22" fillId="2" borderId="5"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0" fillId="0" borderId="10" xfId="0" applyBorder="1" applyAlignment="1">
      <alignment horizontal="center" vertical="center"/>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4" fontId="5" fillId="2" borderId="1" xfId="0" applyNumberFormat="1" applyFont="1" applyFill="1" applyBorder="1" applyAlignment="1">
      <alignment horizontal="left" vertical="center" wrapText="1"/>
    </xf>
    <xf numFmtId="4" fontId="24" fillId="2" borderId="1" xfId="0" applyNumberFormat="1" applyFont="1" applyFill="1" applyBorder="1" applyAlignment="1">
      <alignment horizontal="center" vertical="center" wrapText="1"/>
    </xf>
    <xf numFmtId="4" fontId="7" fillId="2" borderId="7" xfId="0" applyNumberFormat="1" applyFont="1" applyFill="1" applyBorder="1" applyAlignment="1">
      <alignment horizontal="center" vertical="center" wrapText="1"/>
    </xf>
    <xf numFmtId="4" fontId="25" fillId="2" borderId="7" xfId="0" applyNumberFormat="1" applyFont="1" applyFill="1" applyBorder="1" applyAlignment="1">
      <alignment horizontal="center" vertical="center" wrapText="1"/>
    </xf>
    <xf numFmtId="4" fontId="22" fillId="2" borderId="7" xfId="0" applyNumberFormat="1" applyFont="1" applyFill="1" applyBorder="1" applyAlignment="1">
      <alignment horizontal="center" vertical="center" wrapText="1"/>
    </xf>
    <xf numFmtId="4" fontId="5" fillId="2" borderId="7" xfId="0" applyNumberFormat="1" applyFont="1" applyFill="1" applyBorder="1" applyAlignment="1">
      <alignment horizontal="center" vertical="center" wrapText="1"/>
    </xf>
    <xf numFmtId="0" fontId="0" fillId="0" borderId="1" xfId="0" applyFill="1" applyBorder="1" applyAlignment="1">
      <alignment horizontal="left" vertical="center" wrapText="1"/>
    </xf>
    <xf numFmtId="43" fontId="0" fillId="0" borderId="1" xfId="0" applyNumberFormat="1" applyFill="1" applyBorder="1" applyAlignment="1">
      <alignment horizontal="center" vertical="center" wrapText="1"/>
    </xf>
    <xf numFmtId="0" fontId="26"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0" fillId="0" borderId="10" xfId="0" applyFill="1" applyBorder="1" applyAlignment="1">
      <alignment horizontal="center" vertical="center"/>
    </xf>
    <xf numFmtId="0" fontId="26" fillId="0" borderId="1" xfId="0" applyFont="1" applyFill="1" applyBorder="1" applyAlignment="1">
      <alignment horizontal="left" vertical="center"/>
    </xf>
    <xf numFmtId="43" fontId="0" fillId="0" borderId="1" xfId="0" applyNumberFormat="1" applyFill="1" applyBorder="1" applyAlignment="1">
      <alignment horizontal="center" vertical="center"/>
    </xf>
    <xf numFmtId="0" fontId="26" fillId="0" borderId="1" xfId="0" applyFont="1" applyFill="1" applyBorder="1" applyAlignment="1">
      <alignment horizontal="center" vertical="center"/>
    </xf>
    <xf numFmtId="0" fontId="0" fillId="7" borderId="1" xfId="0" applyFill="1" applyBorder="1" applyAlignment="1">
      <alignment horizontal="center" vertical="center" wrapText="1"/>
    </xf>
    <xf numFmtId="0" fontId="26" fillId="0" borderId="10" xfId="0" applyFont="1" applyFill="1" applyBorder="1" applyAlignment="1">
      <alignment horizontal="center" vertical="center"/>
    </xf>
    <xf numFmtId="178"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43" fontId="0" fillId="0" borderId="1" xfId="0" applyNumberFormat="1" applyFill="1" applyBorder="1" applyAlignment="1">
      <alignment horizontal="center" vertical="center" wrapText="1"/>
    </xf>
    <xf numFmtId="0" fontId="26"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left" vertical="center"/>
    </xf>
    <xf numFmtId="43" fontId="0" fillId="0" borderId="1" xfId="0" applyNumberFormat="1" applyFill="1" applyBorder="1" applyAlignment="1">
      <alignment horizontal="center" vertical="center"/>
    </xf>
    <xf numFmtId="0" fontId="26"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0" fillId="7" borderId="1" xfId="0" applyNumberFormat="1" applyFill="1" applyBorder="1" applyAlignment="1">
      <alignment horizontal="center" vertical="center" wrapText="1"/>
    </xf>
    <xf numFmtId="178" fontId="0" fillId="5" borderId="1" xfId="0" applyNumberForma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43" fontId="0" fillId="5" borderId="1" xfId="0" applyNumberFormat="1" applyFill="1" applyBorder="1" applyAlignment="1">
      <alignment horizontal="center" vertical="center" wrapText="1"/>
    </xf>
    <xf numFmtId="0" fontId="26"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5" borderId="1" xfId="0" applyFill="1" applyBorder="1" applyAlignment="1">
      <alignment horizontal="center" vertical="center"/>
    </xf>
    <xf numFmtId="0" fontId="26" fillId="5" borderId="10" xfId="0" applyFont="1" applyFill="1" applyBorder="1" applyAlignment="1">
      <alignment horizontal="center" vertical="center"/>
    </xf>
    <xf numFmtId="0" fontId="26" fillId="5" borderId="1" xfId="0" applyFont="1" applyFill="1" applyBorder="1" applyAlignment="1">
      <alignment horizontal="center" vertical="center"/>
    </xf>
    <xf numFmtId="178" fontId="0" fillId="6" borderId="1" xfId="0" applyNumberFormat="1"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left" vertical="center"/>
    </xf>
    <xf numFmtId="43" fontId="0" fillId="6" borderId="1" xfId="0" applyNumberFormat="1" applyFill="1" applyBorder="1" applyAlignment="1">
      <alignment horizontal="center" vertical="center" wrapText="1"/>
    </xf>
    <xf numFmtId="43" fontId="0" fillId="6" borderId="1" xfId="0" applyNumberFormat="1" applyFill="1" applyBorder="1" applyAlignment="1">
      <alignment horizontal="center" vertical="center"/>
    </xf>
    <xf numFmtId="0" fontId="26" fillId="6" borderId="1" xfId="0" applyFont="1" applyFill="1" applyBorder="1" applyAlignment="1">
      <alignment horizontal="center" vertical="center"/>
    </xf>
    <xf numFmtId="0" fontId="0" fillId="6" borderId="1" xfId="0" applyFill="1" applyBorder="1" applyAlignment="1">
      <alignment horizontal="center" vertical="center"/>
    </xf>
    <xf numFmtId="0" fontId="16" fillId="6" borderId="1" xfId="0" applyFont="1" applyFill="1" applyBorder="1" applyAlignment="1">
      <alignment horizontal="center" vertical="center" wrapText="1"/>
    </xf>
    <xf numFmtId="0" fontId="0" fillId="6" borderId="10" xfId="0" applyFill="1" applyBorder="1" applyAlignment="1">
      <alignment horizontal="center" vertical="center"/>
    </xf>
    <xf numFmtId="0" fontId="0" fillId="0" borderId="1" xfId="0" applyNumberFormat="1" applyFill="1" applyBorder="1" applyAlignment="1">
      <alignment horizontal="center" vertical="center" wrapText="1"/>
    </xf>
    <xf numFmtId="43" fontId="16" fillId="0" borderId="1" xfId="0" applyNumberFormat="1" applyFont="1" applyBorder="1" applyAlignment="1">
      <alignment horizontal="center" vertical="center" wrapText="1"/>
    </xf>
    <xf numFmtId="43" fontId="16" fillId="0" borderId="1" xfId="0" applyNumberFormat="1" applyFont="1" applyBorder="1" applyAlignment="1">
      <alignment horizontal="center" vertical="center"/>
    </xf>
    <xf numFmtId="0" fontId="6"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0" fontId="16" fillId="0" borderId="10" xfId="0" applyFont="1" applyBorder="1" applyAlignment="1">
      <alignment horizontal="center" vertical="center"/>
    </xf>
    <xf numFmtId="182"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182" fontId="0" fillId="6" borderId="1" xfId="0" applyNumberFormat="1" applyFill="1" applyBorder="1" applyAlignment="1">
      <alignment horizontal="center" vertical="center" wrapText="1"/>
    </xf>
    <xf numFmtId="43" fontId="0" fillId="0" borderId="1" xfId="0" applyNumberFormat="1" applyBorder="1" applyAlignment="1">
      <alignment horizontal="center" vertical="center" wrapText="1"/>
    </xf>
    <xf numFmtId="182" fontId="0" fillId="0" borderId="1" xfId="0" applyNumberFormat="1" applyFill="1" applyBorder="1" applyAlignment="1">
      <alignment horizontal="center" vertical="center" wrapText="1"/>
    </xf>
    <xf numFmtId="0" fontId="16" fillId="0" borderId="1" xfId="0" applyFont="1" applyBorder="1" applyAlignment="1">
      <alignment horizontal="center" vertical="center" wrapText="1"/>
    </xf>
    <xf numFmtId="0" fontId="0" fillId="7" borderId="1" xfId="0" applyFill="1" applyBorder="1" applyAlignment="1">
      <alignment horizontal="center" vertical="center"/>
    </xf>
    <xf numFmtId="178" fontId="16" fillId="6" borderId="1" xfId="0" applyNumberFormat="1" applyFont="1" applyFill="1" applyBorder="1" applyAlignment="1">
      <alignment horizontal="center" vertical="center" wrapText="1"/>
    </xf>
    <xf numFmtId="0" fontId="16" fillId="6" borderId="1" xfId="0" applyFont="1" applyFill="1" applyBorder="1" applyAlignment="1">
      <alignment horizontal="left" vertical="center" wrapText="1"/>
    </xf>
    <xf numFmtId="43" fontId="16" fillId="6" borderId="1" xfId="0" applyNumberFormat="1" applyFont="1" applyFill="1" applyBorder="1" applyAlignment="1">
      <alignment horizontal="center" vertical="center" wrapText="1"/>
    </xf>
    <xf numFmtId="0" fontId="16" fillId="6" borderId="1" xfId="0" applyFont="1" applyFill="1" applyBorder="1" applyAlignment="1">
      <alignment horizontal="center" vertical="center"/>
    </xf>
    <xf numFmtId="0" fontId="16" fillId="6" borderId="10" xfId="0" applyFont="1" applyFill="1" applyBorder="1" applyAlignment="1">
      <alignment horizontal="center" vertical="center"/>
    </xf>
    <xf numFmtId="0" fontId="16" fillId="0" borderId="1" xfId="0" applyFont="1" applyFill="1" applyBorder="1" applyAlignment="1">
      <alignment horizontal="left" vertical="center" wrapText="1"/>
    </xf>
    <xf numFmtId="0" fontId="16" fillId="0" borderId="10" xfId="0" applyFont="1" applyFill="1" applyBorder="1" applyAlignment="1">
      <alignment horizontal="center" vertical="center"/>
    </xf>
    <xf numFmtId="0" fontId="17" fillId="0" borderId="1" xfId="0" applyFont="1" applyBorder="1" applyAlignment="1">
      <alignment horizontal="center" vertical="center" wrapText="1"/>
    </xf>
    <xf numFmtId="43" fontId="17" fillId="0" borderId="1" xfId="0" applyNumberFormat="1" applyFont="1" applyBorder="1" applyAlignment="1">
      <alignment horizontal="center" vertical="center" wrapText="1"/>
    </xf>
    <xf numFmtId="0" fontId="17" fillId="0" borderId="10" xfId="0" applyFont="1" applyBorder="1" applyAlignment="1">
      <alignment horizontal="center" vertical="center"/>
    </xf>
    <xf numFmtId="0" fontId="27" fillId="0" borderId="1" xfId="0" applyFont="1" applyFill="1" applyBorder="1" applyAlignment="1">
      <alignment horizontal="left" vertical="center" wrapText="1"/>
    </xf>
    <xf numFmtId="0" fontId="0" fillId="0" borderId="1" xfId="0" applyFill="1" applyBorder="1" applyAlignment="1">
      <alignment horizontal="left" vertical="center"/>
    </xf>
    <xf numFmtId="0" fontId="17" fillId="0" borderId="1" xfId="0" applyFont="1" applyFill="1" applyBorder="1" applyAlignment="1">
      <alignment horizontal="left" vertical="center" wrapText="1"/>
    </xf>
    <xf numFmtId="43" fontId="0" fillId="0" borderId="1" xfId="0" applyNumberFormat="1" applyBorder="1" applyAlignment="1">
      <alignment horizontal="center" vertical="center"/>
    </xf>
    <xf numFmtId="0" fontId="27" fillId="6" borderId="1" xfId="0" applyFont="1" applyFill="1" applyBorder="1" applyAlignment="1">
      <alignment horizontal="left" vertical="center" wrapText="1"/>
    </xf>
    <xf numFmtId="0" fontId="28" fillId="0" borderId="1" xfId="0" applyFont="1" applyFill="1" applyBorder="1" applyAlignment="1">
      <alignment horizontal="center" vertical="center" wrapText="1"/>
    </xf>
    <xf numFmtId="0" fontId="0" fillId="6" borderId="1" xfId="0" applyFill="1" applyBorder="1" applyAlignment="1">
      <alignment horizontal="left" vertical="top"/>
    </xf>
    <xf numFmtId="43" fontId="29" fillId="6" borderId="1" xfId="0" applyNumberFormat="1" applyFont="1" applyFill="1" applyBorder="1" applyAlignment="1">
      <alignment horizontal="center" vertical="center"/>
    </xf>
    <xf numFmtId="43" fontId="0" fillId="6" borderId="1" xfId="0" applyNumberFormat="1" applyFont="1" applyFill="1" applyBorder="1" applyAlignment="1">
      <alignment horizontal="center" vertical="center" wrapText="1"/>
    </xf>
    <xf numFmtId="43" fontId="16" fillId="0" borderId="1" xfId="0" applyNumberFormat="1" applyFont="1" applyFill="1" applyBorder="1" applyAlignment="1">
      <alignment horizontal="center" vertical="center"/>
    </xf>
    <xf numFmtId="43" fontId="29" fillId="0" borderId="1" xfId="0" applyNumberFormat="1" applyFont="1" applyFill="1" applyBorder="1" applyAlignment="1">
      <alignment horizontal="center" vertical="center"/>
    </xf>
    <xf numFmtId="180" fontId="0" fillId="0" borderId="1" xfId="0" applyNumberFormat="1" applyFill="1" applyBorder="1" applyAlignment="1">
      <alignment horizontal="right" vertical="center"/>
    </xf>
    <xf numFmtId="176" fontId="16" fillId="0" borderId="1" xfId="0" applyNumberFormat="1" applyFont="1" applyFill="1" applyBorder="1" applyAlignment="1">
      <alignment horizontal="center" vertical="center"/>
    </xf>
    <xf numFmtId="181" fontId="0" fillId="0" borderId="1" xfId="0" applyNumberFormat="1" applyFill="1" applyBorder="1" applyAlignment="1">
      <alignment horizontal="right" vertical="center"/>
    </xf>
    <xf numFmtId="49" fontId="0" fillId="0" borderId="1" xfId="0" applyNumberFormat="1" applyFill="1" applyBorder="1" applyAlignment="1">
      <alignment horizontal="center" vertical="center"/>
    </xf>
    <xf numFmtId="0" fontId="0" fillId="0" borderId="1" xfId="0" applyBorder="1" applyAlignment="1">
      <alignment horizontal="left" vertical="center"/>
    </xf>
    <xf numFmtId="49" fontId="0" fillId="6" borderId="1" xfId="0" applyNumberFormat="1" applyFill="1" applyBorder="1" applyAlignment="1">
      <alignment horizontal="center" vertical="center"/>
    </xf>
    <xf numFmtId="176" fontId="16" fillId="6" borderId="1" xfId="0" applyNumberFormat="1" applyFont="1" applyFill="1" applyBorder="1" applyAlignment="1">
      <alignment horizontal="center" vertical="center"/>
    </xf>
    <xf numFmtId="0" fontId="16" fillId="6" borderId="1" xfId="0" applyFont="1" applyFill="1" applyBorder="1" applyAlignment="1">
      <alignment horizontal="left" vertical="center"/>
    </xf>
    <xf numFmtId="181" fontId="0" fillId="6" borderId="1" xfId="0" applyNumberFormat="1" applyFill="1" applyBorder="1" applyAlignment="1">
      <alignment horizontal="right" vertical="center"/>
    </xf>
    <xf numFmtId="180" fontId="0" fillId="6" borderId="1" xfId="0" applyNumberFormat="1" applyFill="1" applyBorder="1" applyAlignment="1">
      <alignment horizontal="right" vertical="center"/>
    </xf>
    <xf numFmtId="43" fontId="16" fillId="6" borderId="1" xfId="0" applyNumberFormat="1" applyFont="1" applyFill="1" applyBorder="1" applyAlignment="1">
      <alignment horizontal="center" vertical="center"/>
    </xf>
    <xf numFmtId="0" fontId="0" fillId="7" borderId="0" xfId="0" applyFill="1" applyAlignment="1">
      <alignment horizontal="left" vertical="center"/>
    </xf>
    <xf numFmtId="0" fontId="0" fillId="0" borderId="0" xfId="0" applyFill="1" applyAlignment="1">
      <alignment horizontal="left" vertical="center"/>
    </xf>
    <xf numFmtId="0" fontId="16" fillId="9" borderId="0" xfId="0" applyFont="1" applyFill="1" applyAlignment="1">
      <alignment horizontal="center" vertical="center"/>
    </xf>
    <xf numFmtId="0" fontId="16" fillId="6" borderId="0" xfId="0" applyFont="1" applyFill="1" applyAlignment="1">
      <alignment vertical="center"/>
    </xf>
    <xf numFmtId="0" fontId="16" fillId="7" borderId="0" xfId="0" applyFont="1" applyFill="1" applyAlignment="1">
      <alignment vertical="center"/>
    </xf>
    <xf numFmtId="0" fontId="30" fillId="0" borderId="0" xfId="0" applyFont="1" applyFill="1" applyAlignment="1">
      <alignment vertical="center"/>
    </xf>
    <xf numFmtId="0" fontId="17" fillId="0" borderId="0" xfId="0" applyFont="1" applyFill="1" applyAlignment="1">
      <alignment vertical="center"/>
    </xf>
    <xf numFmtId="0" fontId="16" fillId="10" borderId="0" xfId="0" applyFont="1" applyFill="1" applyAlignment="1">
      <alignment vertical="center"/>
    </xf>
    <xf numFmtId="0" fontId="17" fillId="6" borderId="0" xfId="0" applyFont="1" applyFill="1" applyAlignment="1">
      <alignment vertical="center"/>
    </xf>
    <xf numFmtId="0" fontId="16" fillId="8" borderId="0" xfId="0" applyFont="1" applyFill="1" applyAlignment="1">
      <alignment vertical="center"/>
    </xf>
    <xf numFmtId="0" fontId="30" fillId="0" borderId="11" xfId="0" applyFont="1" applyFill="1" applyBorder="1" applyAlignment="1">
      <alignment vertical="center"/>
    </xf>
    <xf numFmtId="0" fontId="16" fillId="8" borderId="0" xfId="0" applyFont="1" applyFill="1" applyAlignment="1">
      <alignment horizontal="center" vertical="center"/>
    </xf>
    <xf numFmtId="176" fontId="16" fillId="0" borderId="0" xfId="0" applyNumberFormat="1" applyFont="1" applyAlignment="1">
      <alignment horizontal="center" vertical="center"/>
    </xf>
    <xf numFmtId="0" fontId="16" fillId="0" borderId="0" xfId="0" applyFont="1" applyFill="1" applyAlignment="1">
      <alignment horizontal="left" vertical="center"/>
    </xf>
    <xf numFmtId="0" fontId="16" fillId="0" borderId="0" xfId="0" applyFont="1" applyAlignment="1">
      <alignment horizontal="left" vertical="center"/>
    </xf>
    <xf numFmtId="0" fontId="16" fillId="0" borderId="0" xfId="0" applyFont="1" applyAlignment="1">
      <alignment vertical="center" wrapText="1"/>
    </xf>
    <xf numFmtId="0" fontId="31" fillId="0" borderId="1" xfId="0" applyFont="1" applyFill="1" applyBorder="1" applyAlignment="1">
      <alignment horizontal="center" vertical="center" wrapText="1"/>
    </xf>
    <xf numFmtId="0" fontId="31" fillId="0" borderId="1" xfId="0" applyFont="1" applyFill="1" applyBorder="1" applyAlignment="1">
      <alignment horizontal="center" vertical="center"/>
    </xf>
    <xf numFmtId="176" fontId="31" fillId="0" borderId="1" xfId="0" applyNumberFormat="1" applyFont="1" applyFill="1" applyBorder="1" applyAlignment="1">
      <alignment horizontal="center" vertical="center"/>
    </xf>
    <xf numFmtId="0" fontId="31" fillId="0" borderId="1" xfId="0" applyFont="1" applyFill="1" applyBorder="1" applyAlignment="1">
      <alignment horizontal="left" vertical="center"/>
    </xf>
    <xf numFmtId="4" fontId="32" fillId="2" borderId="1" xfId="0" applyNumberFormat="1" applyFont="1" applyFill="1" applyBorder="1" applyAlignment="1">
      <alignment horizontal="center" vertical="center" wrapText="1"/>
    </xf>
    <xf numFmtId="176" fontId="32" fillId="2" borderId="1" xfId="0" applyNumberFormat="1" applyFont="1" applyFill="1" applyBorder="1" applyAlignment="1">
      <alignment horizontal="center" vertical="center" wrapText="1"/>
    </xf>
    <xf numFmtId="4" fontId="32" fillId="2" borderId="10" xfId="0" applyNumberFormat="1"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4" fontId="33" fillId="2" borderId="1" xfId="0" applyNumberFormat="1" applyFont="1" applyFill="1" applyBorder="1" applyAlignment="1">
      <alignment horizontal="center" vertical="center" wrapText="1"/>
    </xf>
    <xf numFmtId="176" fontId="33" fillId="2" borderId="1" xfId="0" applyNumberFormat="1" applyFont="1" applyFill="1" applyBorder="1" applyAlignment="1">
      <alignment horizontal="center" vertical="center" wrapText="1"/>
    </xf>
    <xf numFmtId="4" fontId="33" fillId="2" borderId="10" xfId="0" applyNumberFormat="1" applyFont="1" applyFill="1" applyBorder="1" applyAlignment="1">
      <alignment horizontal="center" vertical="center" wrapText="1"/>
    </xf>
    <xf numFmtId="4" fontId="32" fillId="9" borderId="1" xfId="0" applyNumberFormat="1" applyFont="1" applyFill="1" applyBorder="1" applyAlignment="1">
      <alignment horizontal="center" vertical="center" wrapText="1"/>
    </xf>
    <xf numFmtId="176" fontId="32" fillId="9" borderId="1" xfId="0" applyNumberFormat="1" applyFont="1" applyFill="1" applyBorder="1" applyAlignment="1">
      <alignment horizontal="center" vertical="center" wrapText="1"/>
    </xf>
    <xf numFmtId="4" fontId="32" fillId="9" borderId="1" xfId="0" applyNumberFormat="1" applyFont="1" applyFill="1" applyBorder="1" applyAlignment="1">
      <alignment horizontal="left" vertical="center" wrapText="1"/>
    </xf>
    <xf numFmtId="4" fontId="33" fillId="9" borderId="1" xfId="0" applyNumberFormat="1" applyFont="1" applyFill="1" applyBorder="1" applyAlignment="1">
      <alignment horizontal="center" vertical="center" wrapText="1"/>
    </xf>
    <xf numFmtId="0" fontId="16" fillId="11" borderId="1" xfId="0" applyFont="1" applyFill="1" applyBorder="1" applyAlignment="1">
      <alignment horizontal="center" vertical="center"/>
    </xf>
    <xf numFmtId="0" fontId="16" fillId="9" borderId="1" xfId="0" applyFont="1" applyFill="1" applyBorder="1" applyAlignment="1">
      <alignment horizontal="center" vertical="center" wrapText="1"/>
    </xf>
    <xf numFmtId="0" fontId="34" fillId="6" borderId="1" xfId="0" applyFont="1" applyFill="1" applyBorder="1" applyAlignment="1">
      <alignment horizontal="center" vertical="center"/>
    </xf>
    <xf numFmtId="0" fontId="27" fillId="6" borderId="1" xfId="0" applyFont="1" applyFill="1" applyBorder="1" applyAlignment="1">
      <alignment horizontal="center" vertical="center"/>
    </xf>
    <xf numFmtId="0" fontId="34" fillId="6" borderId="1" xfId="0" applyFont="1" applyFill="1" applyBorder="1" applyAlignment="1">
      <alignment horizontal="left" vertical="center"/>
    </xf>
    <xf numFmtId="181" fontId="29" fillId="6" borderId="1" xfId="0" applyNumberFormat="1" applyFont="1" applyFill="1" applyBorder="1" applyAlignment="1">
      <alignment horizontal="right" vertical="center"/>
    </xf>
    <xf numFmtId="181" fontId="29" fillId="6" borderId="10" xfId="0" applyNumberFormat="1" applyFont="1" applyFill="1" applyBorder="1" applyAlignment="1">
      <alignment horizontal="right" vertical="center"/>
    </xf>
    <xf numFmtId="0" fontId="16" fillId="6" borderId="1" xfId="0" applyFont="1" applyFill="1" applyBorder="1" applyAlignment="1">
      <alignment vertical="center" wrapText="1"/>
    </xf>
    <xf numFmtId="0" fontId="27" fillId="0" borderId="1" xfId="0" applyFont="1" applyFill="1" applyBorder="1" applyAlignment="1">
      <alignment horizontal="center" vertical="center"/>
    </xf>
    <xf numFmtId="0" fontId="34" fillId="0" borderId="1" xfId="0" applyFont="1" applyFill="1" applyBorder="1" applyAlignment="1">
      <alignment horizontal="center" vertical="center"/>
    </xf>
    <xf numFmtId="0" fontId="27" fillId="0" borderId="1" xfId="0" applyFont="1" applyFill="1" applyBorder="1" applyAlignment="1">
      <alignment horizontal="left" vertical="center"/>
    </xf>
    <xf numFmtId="181" fontId="29" fillId="0" borderId="1" xfId="0" applyNumberFormat="1" applyFont="1" applyFill="1" applyBorder="1" applyAlignment="1">
      <alignment horizontal="right" vertical="center"/>
    </xf>
    <xf numFmtId="181" fontId="9" fillId="0" borderId="1" xfId="0" applyNumberFormat="1" applyFont="1" applyFill="1" applyBorder="1" applyAlignment="1">
      <alignment horizontal="right" vertical="center"/>
    </xf>
    <xf numFmtId="181" fontId="29" fillId="0" borderId="10" xfId="0" applyNumberFormat="1" applyFont="1" applyFill="1" applyBorder="1" applyAlignment="1">
      <alignment horizontal="right" vertical="center"/>
    </xf>
    <xf numFmtId="0" fontId="34" fillId="0" borderId="1" xfId="0" applyFont="1" applyFill="1" applyBorder="1" applyAlignment="1">
      <alignment horizontal="left" vertical="center"/>
    </xf>
    <xf numFmtId="181" fontId="29" fillId="0" borderId="1" xfId="0" applyNumberFormat="1" applyFont="1" applyFill="1" applyBorder="1" applyAlignment="1">
      <alignment horizontal="right" vertical="center" wrapText="1"/>
    </xf>
    <xf numFmtId="0" fontId="16" fillId="0" borderId="1" xfId="0" applyFont="1" applyBorder="1" applyAlignment="1">
      <alignment horizontal="left" vertical="center"/>
    </xf>
    <xf numFmtId="0" fontId="27" fillId="7" borderId="1" xfId="0" applyFont="1" applyFill="1" applyBorder="1" applyAlignment="1">
      <alignment horizontal="center" vertical="center"/>
    </xf>
    <xf numFmtId="0" fontId="34" fillId="7" borderId="1" xfId="0" applyFont="1" applyFill="1" applyBorder="1" applyAlignment="1">
      <alignment horizontal="center" vertical="center"/>
    </xf>
    <xf numFmtId="0" fontId="34" fillId="7" borderId="1" xfId="0" applyFont="1" applyFill="1" applyBorder="1" applyAlignment="1">
      <alignment horizontal="left" vertical="center" wrapText="1"/>
    </xf>
    <xf numFmtId="0" fontId="16" fillId="7" borderId="1" xfId="0" applyFont="1" applyFill="1" applyBorder="1" applyAlignment="1">
      <alignment horizontal="center" vertical="center"/>
    </xf>
    <xf numFmtId="181" fontId="29" fillId="7" borderId="1" xfId="0" applyNumberFormat="1" applyFont="1" applyFill="1" applyBorder="1" applyAlignment="1">
      <alignment horizontal="right" vertical="center"/>
    </xf>
    <xf numFmtId="181" fontId="29" fillId="7" borderId="10" xfId="0" applyNumberFormat="1" applyFont="1" applyFill="1" applyBorder="1" applyAlignment="1">
      <alignment horizontal="right" vertical="center"/>
    </xf>
    <xf numFmtId="0" fontId="16" fillId="7" borderId="1" xfId="0" applyFont="1" applyFill="1" applyBorder="1" applyAlignment="1">
      <alignment horizontal="left" vertical="center"/>
    </xf>
    <xf numFmtId="0" fontId="16" fillId="7" borderId="1" xfId="0" applyFont="1" applyFill="1" applyBorder="1" applyAlignment="1">
      <alignment vertical="center" wrapText="1"/>
    </xf>
    <xf numFmtId="0" fontId="35" fillId="0" borderId="1" xfId="0" applyFont="1" applyFill="1" applyBorder="1" applyAlignment="1">
      <alignment horizontal="center" vertical="center"/>
    </xf>
    <xf numFmtId="0" fontId="36" fillId="0" borderId="1" xfId="0" applyFont="1" applyFill="1" applyBorder="1" applyAlignment="1">
      <alignment horizontal="center" vertical="center"/>
    </xf>
    <xf numFmtId="0" fontId="36" fillId="0" borderId="1" xfId="0" applyFont="1" applyFill="1" applyBorder="1" applyAlignment="1">
      <alignment horizontal="left" vertical="center"/>
    </xf>
    <xf numFmtId="0" fontId="30" fillId="0" borderId="1" xfId="0" applyFont="1" applyFill="1" applyBorder="1" applyAlignment="1">
      <alignment horizontal="center" vertical="center"/>
    </xf>
    <xf numFmtId="181" fontId="37" fillId="0" borderId="1" xfId="0" applyNumberFormat="1" applyFont="1" applyFill="1" applyBorder="1" applyAlignment="1">
      <alignment horizontal="right" vertical="center"/>
    </xf>
    <xf numFmtId="181" fontId="37" fillId="0" borderId="10" xfId="0" applyNumberFormat="1" applyFont="1" applyFill="1" applyBorder="1" applyAlignment="1">
      <alignment horizontal="right" vertical="center"/>
    </xf>
    <xf numFmtId="0" fontId="26" fillId="0" borderId="1" xfId="0" applyFont="1" applyFill="1" applyBorder="1" applyAlignment="1">
      <alignment vertical="center" wrapText="1"/>
    </xf>
    <xf numFmtId="0" fontId="27" fillId="6" borderId="1" xfId="0" applyFont="1" applyFill="1" applyBorder="1" applyAlignment="1">
      <alignment horizontal="left" vertical="center"/>
    </xf>
    <xf numFmtId="181" fontId="9" fillId="6" borderId="1" xfId="0" applyNumberFormat="1" applyFont="1" applyFill="1" applyBorder="1" applyAlignment="1">
      <alignment horizontal="right" vertical="center"/>
    </xf>
    <xf numFmtId="0" fontId="34" fillId="6" borderId="12" xfId="0" applyNumberFormat="1" applyFont="1" applyFill="1" applyBorder="1" applyAlignment="1">
      <alignment horizontal="center" vertical="center"/>
    </xf>
    <xf numFmtId="0" fontId="38" fillId="0" borderId="1" xfId="0" applyFont="1" applyFill="1" applyBorder="1" applyAlignment="1">
      <alignment horizontal="center" vertical="center"/>
    </xf>
    <xf numFmtId="0" fontId="39" fillId="0" borderId="1" xfId="0" applyFont="1" applyFill="1" applyBorder="1" applyAlignment="1">
      <alignment horizontal="center" vertical="center"/>
    </xf>
    <xf numFmtId="0" fontId="38" fillId="0" borderId="1" xfId="0" applyFont="1" applyFill="1" applyBorder="1" applyAlignment="1">
      <alignment horizontal="left" vertical="center"/>
    </xf>
    <xf numFmtId="181" fontId="40" fillId="0" borderId="1" xfId="0" applyNumberFormat="1" applyFont="1" applyFill="1" applyBorder="1" applyAlignment="1">
      <alignment horizontal="right" vertical="center"/>
    </xf>
    <xf numFmtId="181" fontId="40" fillId="0" borderId="10" xfId="0" applyNumberFormat="1" applyFont="1" applyFill="1" applyBorder="1" applyAlignment="1">
      <alignment horizontal="right" vertical="center"/>
    </xf>
    <xf numFmtId="0" fontId="17" fillId="0" borderId="1" xfId="0" applyFont="1" applyBorder="1" applyAlignment="1">
      <alignment horizontal="left" vertical="center"/>
    </xf>
    <xf numFmtId="0" fontId="39" fillId="0" borderId="1" xfId="0" applyFont="1" applyFill="1" applyBorder="1" applyAlignment="1">
      <alignment horizontal="left" vertical="center"/>
    </xf>
    <xf numFmtId="0" fontId="34" fillId="7" borderId="1" xfId="0" applyFont="1" applyFill="1" applyBorder="1" applyAlignment="1">
      <alignment horizontal="left" vertical="center"/>
    </xf>
    <xf numFmtId="181" fontId="29" fillId="6" borderId="1" xfId="0" applyNumberFormat="1" applyFont="1" applyFill="1" applyBorder="1" applyAlignment="1">
      <alignment horizontal="right" vertical="center" wrapText="1"/>
    </xf>
    <xf numFmtId="0" fontId="34" fillId="0" borderId="1" xfId="0" applyFont="1" applyFill="1" applyBorder="1" applyAlignment="1">
      <alignment horizontal="left" vertical="center" wrapText="1"/>
    </xf>
    <xf numFmtId="181" fontId="40" fillId="0" borderId="1" xfId="0" applyNumberFormat="1" applyFont="1" applyFill="1" applyBorder="1" applyAlignment="1">
      <alignment horizontal="right" vertical="center" wrapText="1"/>
    </xf>
    <xf numFmtId="0" fontId="26" fillId="0" borderId="0" xfId="0" applyFont="1" applyFill="1" applyAlignment="1">
      <alignment vertical="center"/>
    </xf>
    <xf numFmtId="0" fontId="41" fillId="0" borderId="1" xfId="0" applyFont="1" applyFill="1" applyBorder="1" applyAlignment="1">
      <alignment horizontal="left" vertical="center"/>
    </xf>
    <xf numFmtId="0" fontId="17" fillId="0" borderId="1" xfId="0" applyFont="1" applyFill="1" applyBorder="1" applyAlignment="1">
      <alignment vertical="center" wrapText="1"/>
    </xf>
    <xf numFmtId="0" fontId="26" fillId="0" borderId="1" xfId="0" applyFont="1" applyBorder="1" applyAlignment="1">
      <alignment horizontal="left" vertical="center"/>
    </xf>
    <xf numFmtId="0" fontId="26" fillId="0" borderId="1" xfId="0" applyFont="1" applyBorder="1" applyAlignment="1">
      <alignment vertical="center" wrapText="1"/>
    </xf>
    <xf numFmtId="0" fontId="26" fillId="6" borderId="1" xfId="0" applyFont="1" applyFill="1" applyBorder="1" applyAlignment="1">
      <alignment horizontal="left" vertical="center"/>
    </xf>
    <xf numFmtId="0" fontId="26" fillId="6" borderId="1" xfId="0" applyFont="1" applyFill="1" applyBorder="1" applyAlignment="1">
      <alignment vertical="center" wrapText="1"/>
    </xf>
    <xf numFmtId="0" fontId="27" fillId="10" borderId="1" xfId="0" applyFont="1" applyFill="1" applyBorder="1" applyAlignment="1">
      <alignment horizontal="center" vertical="center"/>
    </xf>
    <xf numFmtId="0" fontId="34" fillId="10" borderId="1" xfId="0" applyFont="1" applyFill="1" applyBorder="1" applyAlignment="1">
      <alignment horizontal="center" vertical="center"/>
    </xf>
    <xf numFmtId="0" fontId="34" fillId="10" borderId="1" xfId="0" applyFont="1" applyFill="1" applyBorder="1" applyAlignment="1">
      <alignment horizontal="left" vertical="center"/>
    </xf>
    <xf numFmtId="0" fontId="16" fillId="10" borderId="1" xfId="0" applyFont="1" applyFill="1" applyBorder="1" applyAlignment="1">
      <alignment horizontal="center" vertical="center"/>
    </xf>
    <xf numFmtId="181" fontId="29" fillId="10" borderId="1" xfId="0" applyNumberFormat="1" applyFont="1" applyFill="1" applyBorder="1" applyAlignment="1">
      <alignment horizontal="right" vertical="center"/>
    </xf>
    <xf numFmtId="181" fontId="29" fillId="10" borderId="10" xfId="0" applyNumberFormat="1" applyFont="1" applyFill="1" applyBorder="1" applyAlignment="1">
      <alignment horizontal="right" vertical="center"/>
    </xf>
    <xf numFmtId="0" fontId="16" fillId="10" borderId="1" xfId="0" applyFont="1" applyFill="1" applyBorder="1" applyAlignment="1">
      <alignment horizontal="center" vertical="center"/>
    </xf>
    <xf numFmtId="0" fontId="16" fillId="10" borderId="1" xfId="0" applyFont="1" applyFill="1" applyBorder="1" applyAlignment="1">
      <alignment horizontal="left" vertical="center"/>
    </xf>
    <xf numFmtId="0" fontId="16" fillId="10" borderId="1" xfId="0" applyFont="1" applyFill="1" applyBorder="1" applyAlignment="1">
      <alignment vertical="center" wrapText="1"/>
    </xf>
    <xf numFmtId="0" fontId="38" fillId="6" borderId="1" xfId="0" applyFont="1" applyFill="1" applyBorder="1" applyAlignment="1">
      <alignment horizontal="center" vertical="center"/>
    </xf>
    <xf numFmtId="0" fontId="39" fillId="6" borderId="1" xfId="0" applyFont="1" applyFill="1" applyBorder="1" applyAlignment="1">
      <alignment horizontal="center" vertical="center"/>
    </xf>
    <xf numFmtId="0" fontId="39" fillId="6" borderId="1" xfId="0" applyFont="1" applyFill="1" applyBorder="1" applyAlignment="1">
      <alignment horizontal="left" vertical="center"/>
    </xf>
    <xf numFmtId="0" fontId="17" fillId="6" borderId="1" xfId="0" applyFont="1" applyFill="1" applyBorder="1" applyAlignment="1">
      <alignment horizontal="center" vertical="center"/>
    </xf>
    <xf numFmtId="181" fontId="40" fillId="6" borderId="1" xfId="0" applyNumberFormat="1" applyFont="1" applyFill="1" applyBorder="1" applyAlignment="1">
      <alignment horizontal="right" vertical="center"/>
    </xf>
    <xf numFmtId="181" fontId="40" fillId="6" borderId="10" xfId="0" applyNumberFormat="1" applyFont="1" applyFill="1" applyBorder="1" applyAlignment="1">
      <alignment horizontal="right" vertical="center"/>
    </xf>
    <xf numFmtId="0" fontId="17" fillId="6" borderId="1" xfId="0" applyFont="1" applyFill="1" applyBorder="1" applyAlignment="1">
      <alignment horizontal="left" vertical="center"/>
    </xf>
    <xf numFmtId="0" fontId="17" fillId="6" borderId="1" xfId="0" applyFont="1" applyFill="1" applyBorder="1" applyAlignment="1">
      <alignment vertical="center" wrapText="1"/>
    </xf>
    <xf numFmtId="0" fontId="41" fillId="0" borderId="1" xfId="0" applyFont="1" applyFill="1" applyBorder="1" applyAlignment="1">
      <alignment vertical="center" wrapText="1"/>
    </xf>
    <xf numFmtId="181" fontId="29" fillId="7" borderId="1" xfId="0" applyNumberFormat="1" applyFont="1" applyFill="1" applyBorder="1" applyAlignment="1">
      <alignment horizontal="center" vertical="center"/>
    </xf>
    <xf numFmtId="181" fontId="14" fillId="0" borderId="1" xfId="0" applyNumberFormat="1" applyFont="1" applyFill="1" applyBorder="1" applyAlignment="1">
      <alignment horizontal="right" vertical="center"/>
    </xf>
    <xf numFmtId="181" fontId="9" fillId="7" borderId="1" xfId="0" applyNumberFormat="1" applyFont="1" applyFill="1" applyBorder="1" applyAlignment="1">
      <alignment horizontal="right" vertical="center"/>
    </xf>
    <xf numFmtId="0" fontId="27" fillId="0" borderId="2" xfId="0" applyFont="1" applyFill="1" applyBorder="1" applyAlignment="1">
      <alignment horizontal="center" vertical="center"/>
    </xf>
    <xf numFmtId="0" fontId="34" fillId="0" borderId="2" xfId="0" applyFont="1" applyFill="1" applyBorder="1" applyAlignment="1">
      <alignment horizontal="center" vertical="center"/>
    </xf>
    <xf numFmtId="0" fontId="34" fillId="0" borderId="2" xfId="0" applyFont="1" applyFill="1" applyBorder="1" applyAlignment="1">
      <alignment horizontal="left" vertical="center"/>
    </xf>
    <xf numFmtId="0" fontId="16" fillId="0" borderId="2" xfId="0" applyFont="1" applyFill="1" applyBorder="1" applyAlignment="1">
      <alignment horizontal="center" vertical="center"/>
    </xf>
    <xf numFmtId="181" fontId="29" fillId="0" borderId="2" xfId="0" applyNumberFormat="1" applyFont="1" applyFill="1" applyBorder="1" applyAlignment="1">
      <alignment horizontal="right" vertical="center"/>
    </xf>
    <xf numFmtId="181" fontId="9" fillId="0" borderId="2" xfId="0" applyNumberFormat="1" applyFont="1" applyFill="1" applyBorder="1" applyAlignment="1">
      <alignment horizontal="right" vertical="center"/>
    </xf>
    <xf numFmtId="181" fontId="29" fillId="0" borderId="13" xfId="0" applyNumberFormat="1" applyFont="1" applyFill="1" applyBorder="1" applyAlignment="1">
      <alignment horizontal="right" vertical="center"/>
    </xf>
    <xf numFmtId="0" fontId="26" fillId="0" borderId="2" xfId="0" applyFont="1" applyFill="1" applyBorder="1" applyAlignment="1">
      <alignment horizontal="left" vertical="center"/>
    </xf>
    <xf numFmtId="0" fontId="26" fillId="0" borderId="2" xfId="0" applyFont="1" applyFill="1" applyBorder="1" applyAlignment="1">
      <alignment vertical="center" wrapText="1"/>
    </xf>
    <xf numFmtId="0" fontId="27" fillId="0" borderId="7" xfId="0" applyFont="1" applyFill="1" applyBorder="1" applyAlignment="1">
      <alignment horizontal="center" vertical="center"/>
    </xf>
    <xf numFmtId="0" fontId="34" fillId="0" borderId="7" xfId="0" applyFont="1" applyFill="1" applyBorder="1" applyAlignment="1">
      <alignment horizontal="center" vertical="center"/>
    </xf>
    <xf numFmtId="0" fontId="34" fillId="0" borderId="7" xfId="0" applyFont="1" applyFill="1" applyBorder="1" applyAlignment="1">
      <alignment horizontal="left" vertical="center"/>
    </xf>
    <xf numFmtId="0" fontId="16" fillId="0" borderId="7" xfId="0" applyFont="1" applyFill="1" applyBorder="1" applyAlignment="1">
      <alignment horizontal="center" vertical="center"/>
    </xf>
    <xf numFmtId="181" fontId="29" fillId="0" borderId="7" xfId="0" applyNumberFormat="1" applyFont="1" applyFill="1" applyBorder="1" applyAlignment="1">
      <alignment horizontal="right" vertical="center"/>
    </xf>
    <xf numFmtId="181" fontId="9" fillId="0" borderId="7" xfId="0" applyNumberFormat="1" applyFont="1" applyFill="1" applyBorder="1" applyAlignment="1">
      <alignment horizontal="right" vertical="center"/>
    </xf>
    <xf numFmtId="181" fontId="29" fillId="0" borderId="9" xfId="0" applyNumberFormat="1" applyFont="1" applyFill="1" applyBorder="1" applyAlignment="1">
      <alignment horizontal="right" vertical="center"/>
    </xf>
    <xf numFmtId="0" fontId="26" fillId="0" borderId="7" xfId="0" applyFont="1" applyFill="1" applyBorder="1" applyAlignment="1">
      <alignment horizontal="left" vertical="center"/>
    </xf>
    <xf numFmtId="0" fontId="26" fillId="0" borderId="7" xfId="0" applyFont="1" applyFill="1" applyBorder="1" applyAlignment="1">
      <alignment vertical="center" wrapText="1"/>
    </xf>
    <xf numFmtId="181" fontId="29" fillId="0" borderId="5" xfId="0" applyNumberFormat="1" applyFont="1" applyFill="1" applyBorder="1" applyAlignment="1">
      <alignment horizontal="right" vertical="center"/>
    </xf>
    <xf numFmtId="0" fontId="27" fillId="0" borderId="11" xfId="0" applyFont="1" applyFill="1" applyBorder="1" applyAlignment="1">
      <alignment horizontal="center" vertical="center"/>
    </xf>
    <xf numFmtId="0" fontId="34" fillId="0" borderId="11" xfId="0" applyFont="1" applyFill="1" applyBorder="1" applyAlignment="1">
      <alignment horizontal="center" vertical="center"/>
    </xf>
    <xf numFmtId="0" fontId="34" fillId="0" borderId="11" xfId="0" applyFont="1" applyFill="1" applyBorder="1" applyAlignment="1">
      <alignment horizontal="left" vertical="center"/>
    </xf>
    <xf numFmtId="0" fontId="16" fillId="0" borderId="11" xfId="0" applyFont="1" applyFill="1" applyBorder="1" applyAlignment="1">
      <alignment horizontal="center" vertical="center"/>
    </xf>
    <xf numFmtId="181" fontId="29" fillId="0" borderId="11" xfId="0" applyNumberFormat="1" applyFont="1" applyFill="1" applyBorder="1" applyAlignment="1">
      <alignment horizontal="right" vertical="center"/>
    </xf>
    <xf numFmtId="181" fontId="29" fillId="0" borderId="14" xfId="0" applyNumberFormat="1" applyFont="1" applyFill="1" applyBorder="1" applyAlignment="1">
      <alignment horizontal="right" vertical="center"/>
    </xf>
    <xf numFmtId="181" fontId="29" fillId="0" borderId="15" xfId="0" applyNumberFormat="1" applyFont="1" applyFill="1" applyBorder="1" applyAlignment="1">
      <alignment horizontal="right" vertical="center"/>
    </xf>
    <xf numFmtId="0" fontId="34" fillId="0" borderId="12" xfId="0" applyFont="1" applyFill="1" applyBorder="1" applyAlignment="1">
      <alignment horizontal="center" vertical="center"/>
    </xf>
    <xf numFmtId="0" fontId="34" fillId="0" borderId="12" xfId="0" applyFont="1" applyFill="1" applyBorder="1" applyAlignment="1">
      <alignment horizontal="left" vertical="center"/>
    </xf>
    <xf numFmtId="0" fontId="34" fillId="0" borderId="16" xfId="0" applyFont="1" applyFill="1" applyBorder="1" applyAlignment="1">
      <alignment horizontal="center" vertical="center"/>
    </xf>
    <xf numFmtId="0" fontId="0" fillId="0" borderId="17" xfId="0" applyFill="1" applyBorder="1" applyAlignment="1">
      <alignment vertical="center"/>
    </xf>
    <xf numFmtId="0" fontId="34" fillId="0" borderId="15" xfId="0" applyFont="1" applyFill="1" applyBorder="1" applyAlignment="1">
      <alignment horizontal="center" vertical="center"/>
    </xf>
    <xf numFmtId="0" fontId="27" fillId="6" borderId="11" xfId="0" applyFont="1" applyFill="1" applyBorder="1" applyAlignment="1">
      <alignment horizontal="center" vertical="center"/>
    </xf>
    <xf numFmtId="0" fontId="34" fillId="6" borderId="11" xfId="0" applyFont="1" applyFill="1" applyBorder="1" applyAlignment="1">
      <alignment horizontal="center" vertical="center"/>
    </xf>
    <xf numFmtId="0" fontId="34" fillId="6" borderId="11" xfId="0" applyFont="1" applyFill="1" applyBorder="1" applyAlignment="1">
      <alignment horizontal="left" vertical="center"/>
    </xf>
    <xf numFmtId="0" fontId="16" fillId="6" borderId="11" xfId="0" applyFont="1" applyFill="1" applyBorder="1" applyAlignment="1">
      <alignment horizontal="center" vertical="center"/>
    </xf>
    <xf numFmtId="181" fontId="29" fillId="6" borderId="11" xfId="0" applyNumberFormat="1" applyFont="1" applyFill="1" applyBorder="1" applyAlignment="1">
      <alignment horizontal="right" vertical="center"/>
    </xf>
    <xf numFmtId="181" fontId="29" fillId="6" borderId="14" xfId="0" applyNumberFormat="1" applyFont="1" applyFill="1" applyBorder="1" applyAlignment="1">
      <alignment horizontal="right" vertical="center"/>
    </xf>
    <xf numFmtId="181" fontId="29" fillId="6" borderId="15" xfId="0" applyNumberFormat="1" applyFont="1" applyFill="1" applyBorder="1" applyAlignment="1">
      <alignment horizontal="right" vertical="center"/>
    </xf>
    <xf numFmtId="0" fontId="34" fillId="0" borderId="11" xfId="0" applyNumberFormat="1" applyFont="1" applyFill="1" applyBorder="1" applyAlignment="1">
      <alignment horizontal="center" vertical="center"/>
    </xf>
    <xf numFmtId="0" fontId="16" fillId="0" borderId="18" xfId="0" applyFont="1" applyFill="1" applyBorder="1" applyAlignment="1">
      <alignment horizontal="left" vertical="center"/>
    </xf>
    <xf numFmtId="181" fontId="29" fillId="0" borderId="19" xfId="0" applyNumberFormat="1" applyFont="1" applyFill="1" applyBorder="1" applyAlignment="1">
      <alignment horizontal="right" vertical="center"/>
    </xf>
    <xf numFmtId="0" fontId="34" fillId="6" borderId="11" xfId="0" applyNumberFormat="1" applyFont="1" applyFill="1" applyBorder="1" applyAlignment="1">
      <alignment horizontal="center" vertical="center"/>
    </xf>
    <xf numFmtId="0" fontId="16" fillId="6" borderId="18" xfId="0" applyFont="1" applyFill="1" applyBorder="1" applyAlignment="1">
      <alignment horizontal="left" vertical="center"/>
    </xf>
    <xf numFmtId="181" fontId="29" fillId="6" borderId="19" xfId="0" applyNumberFormat="1" applyFont="1" applyFill="1" applyBorder="1" applyAlignment="1">
      <alignment horizontal="right" vertical="center"/>
    </xf>
    <xf numFmtId="181" fontId="29" fillId="6" borderId="5" xfId="0" applyNumberFormat="1" applyFont="1" applyFill="1" applyBorder="1" applyAlignment="1">
      <alignment horizontal="right" vertical="center"/>
    </xf>
    <xf numFmtId="0" fontId="16" fillId="6" borderId="20" xfId="0" applyFont="1" applyFill="1" applyBorder="1" applyAlignment="1">
      <alignment horizontal="left" vertical="center"/>
    </xf>
    <xf numFmtId="0" fontId="34" fillId="6" borderId="12" xfId="0" applyFont="1" applyFill="1" applyBorder="1" applyAlignment="1">
      <alignment horizontal="center" vertical="center"/>
    </xf>
    <xf numFmtId="181" fontId="29" fillId="6" borderId="2" xfId="0" applyNumberFormat="1" applyFont="1" applyFill="1" applyBorder="1" applyAlignment="1">
      <alignment horizontal="right" vertical="center"/>
    </xf>
    <xf numFmtId="181" fontId="9" fillId="6" borderId="2" xfId="0" applyNumberFormat="1" applyFont="1" applyFill="1" applyBorder="1" applyAlignment="1">
      <alignment horizontal="right" vertical="center"/>
    </xf>
    <xf numFmtId="181" fontId="29" fillId="6" borderId="12" xfId="0" applyNumberFormat="1" applyFont="1" applyFill="1" applyBorder="1" applyAlignment="1">
      <alignment horizontal="right" vertical="center"/>
    </xf>
    <xf numFmtId="181" fontId="29" fillId="6" borderId="21" xfId="0" applyNumberFormat="1" applyFont="1" applyFill="1" applyBorder="1" applyAlignment="1">
      <alignment horizontal="right" vertical="center"/>
    </xf>
    <xf numFmtId="181" fontId="29" fillId="6" borderId="13" xfId="0" applyNumberFormat="1" applyFont="1" applyFill="1" applyBorder="1" applyAlignment="1">
      <alignment horizontal="right" vertical="center"/>
    </xf>
    <xf numFmtId="181" fontId="29" fillId="6" borderId="22" xfId="0" applyNumberFormat="1" applyFont="1" applyFill="1" applyBorder="1" applyAlignment="1">
      <alignment horizontal="right" vertical="center"/>
    </xf>
    <xf numFmtId="0" fontId="42" fillId="6" borderId="0" xfId="0" applyFont="1" applyFill="1" applyAlignment="1">
      <alignment vertical="center"/>
    </xf>
    <xf numFmtId="0" fontId="27" fillId="0" borderId="12" xfId="0" applyFont="1" applyFill="1" applyBorder="1" applyAlignment="1">
      <alignment horizontal="center" vertical="center"/>
    </xf>
    <xf numFmtId="0" fontId="16" fillId="0" borderId="12" xfId="0" applyFont="1" applyFill="1" applyBorder="1" applyAlignment="1">
      <alignment horizontal="center" vertical="center"/>
    </xf>
    <xf numFmtId="181" fontId="29" fillId="0" borderId="12" xfId="0" applyNumberFormat="1" applyFont="1" applyFill="1" applyBorder="1" applyAlignment="1">
      <alignment horizontal="right" vertical="center"/>
    </xf>
    <xf numFmtId="181" fontId="29" fillId="0" borderId="12" xfId="0" applyNumberFormat="1" applyFont="1" applyFill="1" applyBorder="1" applyAlignment="1">
      <alignment horizontal="right" vertical="center" wrapText="1"/>
    </xf>
    <xf numFmtId="181" fontId="29" fillId="0" borderId="23" xfId="0" applyNumberFormat="1" applyFont="1" applyFill="1" applyBorder="1" applyAlignment="1">
      <alignment horizontal="right" vertical="center"/>
    </xf>
    <xf numFmtId="176" fontId="16" fillId="0" borderId="1" xfId="0" applyNumberFormat="1" applyFont="1" applyBorder="1" applyAlignment="1">
      <alignment horizontal="center" vertical="center"/>
    </xf>
    <xf numFmtId="0" fontId="34" fillId="0" borderId="5" xfId="0" applyFont="1" applyFill="1" applyBorder="1" applyAlignment="1">
      <alignment horizontal="center" vertical="center"/>
    </xf>
    <xf numFmtId="181" fontId="29" fillId="0" borderId="1" xfId="0" applyNumberFormat="1" applyFont="1" applyBorder="1" applyAlignment="1">
      <alignment horizontal="right" vertical="center"/>
    </xf>
    <xf numFmtId="181" fontId="29" fillId="0" borderId="10" xfId="0" applyNumberFormat="1" applyFont="1" applyBorder="1" applyAlignment="1">
      <alignment horizontal="right" vertical="center"/>
    </xf>
    <xf numFmtId="181" fontId="29" fillId="0" borderId="0" xfId="0" applyNumberFormat="1" applyFont="1" applyFill="1" applyAlignment="1">
      <alignment horizontal="right" vertical="center"/>
    </xf>
    <xf numFmtId="176" fontId="30" fillId="0" borderId="1" xfId="0" applyNumberFormat="1" applyFont="1" applyFill="1" applyBorder="1" applyAlignment="1">
      <alignment horizontal="center" vertical="center"/>
    </xf>
    <xf numFmtId="0" fontId="30" fillId="0" borderId="1" xfId="0" applyFont="1" applyFill="1" applyBorder="1" applyAlignment="1">
      <alignment horizontal="left" vertical="center"/>
    </xf>
    <xf numFmtId="0" fontId="36" fillId="0" borderId="5" xfId="0" applyFont="1" applyFill="1" applyBorder="1" applyAlignment="1">
      <alignment horizontal="center" vertical="center"/>
    </xf>
    <xf numFmtId="181" fontId="37" fillId="0" borderId="0" xfId="0" applyNumberFormat="1" applyFont="1" applyFill="1" applyAlignment="1">
      <alignment horizontal="right" vertical="center"/>
    </xf>
    <xf numFmtId="0" fontId="30" fillId="0" borderId="1" xfId="0" applyFont="1" applyFill="1" applyBorder="1" applyAlignment="1">
      <alignment vertical="center" wrapText="1"/>
    </xf>
    <xf numFmtId="176" fontId="16" fillId="0" borderId="2" xfId="0" applyNumberFormat="1" applyFont="1" applyFill="1" applyBorder="1" applyAlignment="1">
      <alignment horizontal="center" vertical="center"/>
    </xf>
    <xf numFmtId="0" fontId="16" fillId="0" borderId="2" xfId="0" applyFont="1" applyFill="1" applyBorder="1" applyAlignment="1">
      <alignment horizontal="left" vertical="center"/>
    </xf>
    <xf numFmtId="0" fontId="34" fillId="0" borderId="22" xfId="0" applyFont="1" applyFill="1" applyBorder="1" applyAlignment="1">
      <alignment horizontal="center" vertical="center"/>
    </xf>
    <xf numFmtId="0" fontId="16" fillId="8" borderId="1" xfId="0" applyFont="1" applyFill="1" applyBorder="1" applyAlignment="1">
      <alignment horizontal="center" vertical="center"/>
    </xf>
    <xf numFmtId="176" fontId="16" fillId="8" borderId="1" xfId="0" applyNumberFormat="1" applyFont="1" applyFill="1" applyBorder="1" applyAlignment="1">
      <alignment horizontal="center" vertical="center"/>
    </xf>
    <xf numFmtId="0" fontId="16" fillId="8" borderId="1" xfId="0" applyFont="1" applyFill="1" applyBorder="1" applyAlignment="1">
      <alignment horizontal="left" vertical="center"/>
    </xf>
    <xf numFmtId="0" fontId="34" fillId="8" borderId="1" xfId="0" applyFont="1" applyFill="1" applyBorder="1" applyAlignment="1">
      <alignment horizontal="center" vertical="center"/>
    </xf>
    <xf numFmtId="181" fontId="29" fillId="8" borderId="2" xfId="0" applyNumberFormat="1" applyFont="1" applyFill="1" applyBorder="1" applyAlignment="1">
      <alignment horizontal="right" vertical="center"/>
    </xf>
    <xf numFmtId="181" fontId="29" fillId="8" borderId="1" xfId="0" applyNumberFormat="1" applyFont="1" applyFill="1" applyBorder="1" applyAlignment="1">
      <alignment horizontal="right" vertical="center"/>
    </xf>
    <xf numFmtId="181" fontId="29" fillId="8" borderId="10" xfId="0" applyNumberFormat="1" applyFont="1" applyFill="1" applyBorder="1" applyAlignment="1">
      <alignment horizontal="right" vertical="center"/>
    </xf>
    <xf numFmtId="0" fontId="16" fillId="8" borderId="1" xfId="0" applyFont="1" applyFill="1" applyBorder="1" applyAlignment="1">
      <alignment vertical="center" wrapText="1"/>
    </xf>
    <xf numFmtId="0" fontId="16" fillId="0" borderId="2" xfId="0" applyFont="1" applyFill="1" applyBorder="1" applyAlignment="1">
      <alignment vertical="center" wrapText="1"/>
    </xf>
    <xf numFmtId="0" fontId="30" fillId="0" borderId="11" xfId="0" applyFont="1" applyFill="1" applyBorder="1" applyAlignment="1">
      <alignment horizontal="center" vertical="center"/>
    </xf>
    <xf numFmtId="176" fontId="30" fillId="0" borderId="11" xfId="0" applyNumberFormat="1" applyFont="1" applyFill="1" applyBorder="1" applyAlignment="1">
      <alignment horizontal="center" vertical="center"/>
    </xf>
    <xf numFmtId="0" fontId="26" fillId="0" borderId="11" xfId="0" applyFont="1" applyFill="1" applyBorder="1" applyAlignment="1">
      <alignment horizontal="left" vertical="center"/>
    </xf>
    <xf numFmtId="0" fontId="36" fillId="0" borderId="11" xfId="0" applyFont="1" applyFill="1" applyBorder="1" applyAlignment="1">
      <alignment horizontal="center" vertical="center"/>
    </xf>
    <xf numFmtId="181" fontId="37" fillId="0" borderId="11" xfId="0" applyNumberFormat="1" applyFont="1" applyFill="1" applyBorder="1" applyAlignment="1">
      <alignment horizontal="right" vertical="center"/>
    </xf>
    <xf numFmtId="181" fontId="37" fillId="0" borderId="14" xfId="0" applyNumberFormat="1" applyFont="1" applyFill="1" applyBorder="1" applyAlignment="1">
      <alignment horizontal="right" vertical="center"/>
    </xf>
    <xf numFmtId="181" fontId="37" fillId="0" borderId="15" xfId="0" applyNumberFormat="1" applyFont="1" applyFill="1" applyBorder="1" applyAlignment="1">
      <alignment horizontal="right" vertical="center"/>
    </xf>
    <xf numFmtId="0" fontId="26" fillId="0" borderId="11" xfId="0" applyFont="1" applyFill="1" applyBorder="1" applyAlignment="1">
      <alignment vertical="center" wrapText="1"/>
    </xf>
    <xf numFmtId="0" fontId="41" fillId="0" borderId="11" xfId="0" applyFont="1" applyFill="1" applyBorder="1" applyAlignment="1">
      <alignment vertical="center"/>
    </xf>
    <xf numFmtId="176" fontId="16" fillId="0" borderId="7" xfId="0" applyNumberFormat="1" applyFont="1" applyFill="1" applyBorder="1" applyAlignment="1">
      <alignment horizontal="center" vertical="center"/>
    </xf>
    <xf numFmtId="0" fontId="16" fillId="0" borderId="7" xfId="0" applyFont="1" applyFill="1" applyBorder="1" applyAlignment="1">
      <alignment horizontal="left" vertical="center"/>
    </xf>
    <xf numFmtId="181" fontId="29" fillId="0" borderId="6" xfId="0" applyNumberFormat="1" applyFont="1" applyFill="1" applyBorder="1" applyAlignment="1">
      <alignment horizontal="right" vertical="center"/>
    </xf>
    <xf numFmtId="181" fontId="29" fillId="0" borderId="24" xfId="0" applyNumberFormat="1" applyFont="1" applyFill="1" applyBorder="1" applyAlignment="1">
      <alignment horizontal="right" vertical="center"/>
    </xf>
    <xf numFmtId="0" fontId="16" fillId="0" borderId="7" xfId="0" applyFont="1" applyFill="1" applyBorder="1" applyAlignment="1">
      <alignment vertical="center" wrapText="1"/>
    </xf>
    <xf numFmtId="180" fontId="29" fillId="0" borderId="1" xfId="0" applyNumberFormat="1" applyFont="1" applyFill="1" applyBorder="1" applyAlignment="1">
      <alignment vertical="center"/>
    </xf>
    <xf numFmtId="180" fontId="16" fillId="6" borderId="1" xfId="0" applyNumberFormat="1" applyFont="1" applyFill="1" applyBorder="1" applyAlignment="1">
      <alignment vertical="center"/>
    </xf>
    <xf numFmtId="0" fontId="16" fillId="6" borderId="1" xfId="0" applyFont="1" applyFill="1" applyBorder="1" applyAlignment="1">
      <alignment vertical="center"/>
    </xf>
    <xf numFmtId="0" fontId="16" fillId="0" borderId="10" xfId="0" applyFont="1" applyFill="1" applyBorder="1" applyAlignment="1">
      <alignment vertical="center"/>
    </xf>
    <xf numFmtId="0" fontId="16" fillId="8" borderId="1" xfId="0" applyFont="1" applyFill="1" applyBorder="1" applyAlignment="1">
      <alignment vertical="center"/>
    </xf>
    <xf numFmtId="0" fontId="16" fillId="8" borderId="10" xfId="0" applyFont="1" applyFill="1" applyBorder="1" applyAlignment="1">
      <alignment vertical="center"/>
    </xf>
    <xf numFmtId="0" fontId="16" fillId="6" borderId="10" xfId="0" applyFont="1" applyFill="1" applyBorder="1" applyAlignment="1">
      <alignment vertical="center"/>
    </xf>
    <xf numFmtId="0" fontId="16" fillId="7" borderId="0" xfId="0" applyFont="1" applyFill="1" applyAlignment="1">
      <alignment horizontal="left" vertical="center"/>
    </xf>
    <xf numFmtId="0" fontId="17" fillId="0" borderId="0" xfId="0" applyFont="1" applyFill="1" applyAlignment="1">
      <alignment horizontal="left" vertical="center"/>
    </xf>
    <xf numFmtId="0" fontId="43" fillId="0" borderId="0" xfId="0" applyFont="1" applyFill="1" applyBorder="1" applyAlignment="1">
      <alignment horizontal="center" vertical="center" wrapText="1"/>
    </xf>
    <xf numFmtId="0" fontId="44" fillId="0" borderId="0" xfId="0" applyFont="1" applyFill="1" applyBorder="1" applyAlignment="1">
      <alignment horizontal="center" vertical="center"/>
    </xf>
    <xf numFmtId="4" fontId="18" fillId="2" borderId="1" xfId="0" applyNumberFormat="1" applyFont="1" applyFill="1" applyBorder="1" applyAlignment="1">
      <alignment horizontal="center" vertical="center" wrapText="1"/>
    </xf>
    <xf numFmtId="4" fontId="18" fillId="2" borderId="10" xfId="0" applyNumberFormat="1" applyFont="1" applyFill="1" applyBorder="1" applyAlignment="1">
      <alignment horizontal="center" vertical="center" wrapText="1"/>
    </xf>
    <xf numFmtId="4" fontId="3" fillId="2" borderId="24" xfId="0" applyNumberFormat="1" applyFont="1" applyFill="1" applyBorder="1" applyAlignment="1">
      <alignment horizontal="center" vertical="center" wrapText="1"/>
    </xf>
    <xf numFmtId="180" fontId="0" fillId="0" borderId="1" xfId="0" applyNumberFormat="1" applyFill="1" applyBorder="1" applyAlignment="1">
      <alignment horizontal="center" vertical="center"/>
    </xf>
    <xf numFmtId="180" fontId="0" fillId="0" borderId="1" xfId="0" applyNumberFormat="1" applyBorder="1" applyAlignment="1">
      <alignment horizontal="center" vertical="center"/>
    </xf>
    <xf numFmtId="0" fontId="8" fillId="0" borderId="1" xfId="0" applyFont="1" applyFill="1" applyBorder="1" applyAlignment="1" quotePrefix="1">
      <alignment horizontal="center" vertical="center"/>
    </xf>
    <xf numFmtId="176" fontId="8" fillId="0" borderId="1" xfId="0" applyNumberFormat="1" applyFont="1" applyFill="1" applyBorder="1" applyAlignment="1" quotePrefix="1">
      <alignment horizontal="center" vertical="center"/>
    </xf>
    <xf numFmtId="0" fontId="8" fillId="0" borderId="1" xfId="0" applyNumberFormat="1" applyFont="1" applyFill="1" applyBorder="1" applyAlignment="1" quotePrefix="1">
      <alignment horizontal="center" vertical="center"/>
    </xf>
    <xf numFmtId="49" fontId="8" fillId="0" borderId="1" xfId="0" applyNumberFormat="1" applyFont="1" applyFill="1" applyBorder="1" applyAlignment="1" quotePrefix="1">
      <alignment horizontal="center" vertical="center"/>
    </xf>
    <xf numFmtId="176" fontId="8" fillId="3" borderId="1" xfId="0" applyNumberFormat="1" applyFont="1" applyFill="1" applyBorder="1" applyAlignment="1" quotePrefix="1">
      <alignment horizontal="center" vertical="center"/>
    </xf>
    <xf numFmtId="0" fontId="0" fillId="0" borderId="1" xfId="0" applyBorder="1" applyAlignment="1" quotePrefix="1">
      <alignment vertical="center" wrapText="1"/>
    </xf>
    <xf numFmtId="0" fontId="0" fillId="0" borderId="1" xfId="0" applyFill="1" applyBorder="1" applyAlignment="1" quotePrefix="1">
      <alignment vertical="center" wrapText="1"/>
    </xf>
  </cellXfs>
  <cellStyles count="6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项目投入明细_10" xfId="49"/>
    <cellStyle name="常规 11 3" xfId="50"/>
    <cellStyle name="常规_Sheet1_2" xfId="51"/>
    <cellStyle name="常规_项目投入明细_8" xfId="52"/>
    <cellStyle name="常规_Sheet1_17" xfId="53"/>
    <cellStyle name="常规_Sheet1" xfId="54"/>
    <cellStyle name="常规 2" xfId="55"/>
    <cellStyle name="常规 2 2 6" xfId="56"/>
    <cellStyle name="常规 42" xfId="57"/>
    <cellStyle name="常规_项目投入明细_8 2" xfId="58"/>
    <cellStyle name="常规_Sheet1_20 2" xfId="59"/>
    <cellStyle name="常规 39" xfId="60"/>
    <cellStyle name="常规 11" xfId="61"/>
    <cellStyle name="常规 2 2" xfId="62"/>
    <cellStyle name="常规_Sheet1 2" xfId="63"/>
    <cellStyle name="常规 2 2 2 2" xfId="64"/>
    <cellStyle name="常规_项目投入明细_6" xfId="65"/>
    <cellStyle name="常规 12" xfId="66"/>
    <cellStyle name="常规 14" xfId="67"/>
  </cellStyles>
  <dxfs count="2">
    <dxf>
      <font>
        <color theme="6" tint="-0.25"/>
      </font>
    </dxf>
    <dxf>
      <font>
        <color rgb="FF9C0006"/>
      </font>
      <fill>
        <patternFill patternType="solid">
          <bgColor rgb="FFFFC7CE"/>
        </patternFill>
      </fill>
    </dxf>
  </dxfs>
  <tableStyles count="0" defaultTableStyle="TableStyleMedium2"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3</xdr:row>
      <xdr:rowOff>0</xdr:rowOff>
    </xdr:from>
    <xdr:to>
      <xdr:col>2</xdr:col>
      <xdr:colOff>133350</xdr:colOff>
      <xdr:row>97</xdr:row>
      <xdr:rowOff>0</xdr:rowOff>
    </xdr:to>
    <xdr:pic>
      <xdr:nvPicPr>
        <xdr:cNvPr id="2" name="图片 3335"/>
        <xdr:cNvPicPr>
          <a:picLocks noChangeAspect="1"/>
        </xdr:cNvPicPr>
      </xdr:nvPicPr>
      <xdr:blipFill>
        <a:blip r:embed="rId1"/>
        <a:stretch>
          <a:fillRect/>
        </a:stretch>
      </xdr:blipFill>
      <xdr:spPr>
        <a:xfrm>
          <a:off x="1791970" y="3524250"/>
          <a:ext cx="133350" cy="17780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97</xdr:row>
      <xdr:rowOff>0</xdr:rowOff>
    </xdr:to>
    <xdr:pic>
      <xdr:nvPicPr>
        <xdr:cNvPr id="6" name="图片 3335"/>
        <xdr:cNvPicPr>
          <a:picLocks noChangeAspect="1"/>
        </xdr:cNvPicPr>
      </xdr:nvPicPr>
      <xdr:blipFill>
        <a:blip r:embed="rId1"/>
        <a:stretch>
          <a:fillRect/>
        </a:stretch>
      </xdr:blipFill>
      <xdr:spPr>
        <a:xfrm>
          <a:off x="1791970" y="3524250"/>
          <a:ext cx="133350" cy="17780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97</xdr:row>
      <xdr:rowOff>0</xdr:rowOff>
    </xdr:to>
    <xdr:pic>
      <xdr:nvPicPr>
        <xdr:cNvPr id="10" name="图片 3335"/>
        <xdr:cNvPicPr>
          <a:picLocks noChangeAspect="1"/>
        </xdr:cNvPicPr>
      </xdr:nvPicPr>
      <xdr:blipFill>
        <a:blip r:embed="rId1"/>
        <a:stretch>
          <a:fillRect/>
        </a:stretch>
      </xdr:blipFill>
      <xdr:spPr>
        <a:xfrm>
          <a:off x="1791970" y="3524250"/>
          <a:ext cx="133350" cy="17780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97</xdr:row>
      <xdr:rowOff>0</xdr:rowOff>
    </xdr:to>
    <xdr:pic>
      <xdr:nvPicPr>
        <xdr:cNvPr id="16" name="图片 3335"/>
        <xdr:cNvPicPr>
          <a:picLocks noChangeAspect="1"/>
        </xdr:cNvPicPr>
      </xdr:nvPicPr>
      <xdr:blipFill>
        <a:blip r:embed="rId1"/>
        <a:stretch>
          <a:fillRect/>
        </a:stretch>
      </xdr:blipFill>
      <xdr:spPr>
        <a:xfrm>
          <a:off x="1791970" y="3524250"/>
          <a:ext cx="133350" cy="17780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97</xdr:row>
      <xdr:rowOff>0</xdr:rowOff>
    </xdr:to>
    <xdr:pic>
      <xdr:nvPicPr>
        <xdr:cNvPr id="35" name="图片 3335"/>
        <xdr:cNvPicPr>
          <a:picLocks noChangeAspect="1"/>
        </xdr:cNvPicPr>
      </xdr:nvPicPr>
      <xdr:blipFill>
        <a:blip r:embed="rId1"/>
        <a:stretch>
          <a:fillRect/>
        </a:stretch>
      </xdr:blipFill>
      <xdr:spPr>
        <a:xfrm>
          <a:off x="1791970" y="3524250"/>
          <a:ext cx="133350" cy="1778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2</xdr:col>
      <xdr:colOff>133350</xdr:colOff>
      <xdr:row>0</xdr:row>
      <xdr:rowOff>171450</xdr:rowOff>
    </xdr:to>
    <xdr:pic>
      <xdr:nvPicPr>
        <xdr:cNvPr id="36" name="图片 3335"/>
        <xdr:cNvPicPr>
          <a:picLocks noChangeAspect="1"/>
        </xdr:cNvPicPr>
      </xdr:nvPicPr>
      <xdr:blipFill>
        <a:blip r:embed="rId1"/>
        <a:stretch>
          <a:fillRect/>
        </a:stretch>
      </xdr:blipFill>
      <xdr:spPr>
        <a:xfrm>
          <a:off x="2239010" y="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83</xdr:row>
      <xdr:rowOff>171450</xdr:rowOff>
    </xdr:to>
    <xdr:pic>
      <xdr:nvPicPr>
        <xdr:cNvPr id="37" name="图片 3335"/>
        <xdr:cNvPicPr>
          <a:picLocks noChangeAspect="1"/>
        </xdr:cNvPicPr>
      </xdr:nvPicPr>
      <xdr:blipFill>
        <a:blip r:embed="rId1"/>
        <a:stretch>
          <a:fillRect/>
        </a:stretch>
      </xdr:blipFill>
      <xdr:spPr>
        <a:xfrm>
          <a:off x="2239010" y="4286250"/>
          <a:ext cx="133350" cy="171450"/>
        </a:xfrm>
        <a:prstGeom prst="rect">
          <a:avLst/>
        </a:prstGeom>
        <a:noFill/>
        <a:ln w="9525">
          <a:noFill/>
        </a:ln>
      </xdr:spPr>
    </xdr:pic>
    <xdr:clientData/>
  </xdr:twoCellAnchor>
  <xdr:twoCellAnchor editAs="oneCell">
    <xdr:from>
      <xdr:col>2</xdr:col>
      <xdr:colOff>609600</xdr:colOff>
      <xdr:row>0</xdr:row>
      <xdr:rowOff>0</xdr:rowOff>
    </xdr:from>
    <xdr:to>
      <xdr:col>2</xdr:col>
      <xdr:colOff>742950</xdr:colOff>
      <xdr:row>0</xdr:row>
      <xdr:rowOff>171450</xdr:rowOff>
    </xdr:to>
    <xdr:pic>
      <xdr:nvPicPr>
        <xdr:cNvPr id="68" name="图片 3335"/>
        <xdr:cNvPicPr>
          <a:picLocks noChangeAspect="1"/>
        </xdr:cNvPicPr>
      </xdr:nvPicPr>
      <xdr:blipFill>
        <a:blip r:embed="rId1"/>
        <a:stretch>
          <a:fillRect/>
        </a:stretch>
      </xdr:blipFill>
      <xdr:spPr>
        <a:xfrm>
          <a:off x="2848610" y="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83</xdr:row>
      <xdr:rowOff>171450</xdr:rowOff>
    </xdr:to>
    <xdr:pic>
      <xdr:nvPicPr>
        <xdr:cNvPr id="139" name="图片 3335"/>
        <xdr:cNvPicPr>
          <a:picLocks noChangeAspect="1"/>
        </xdr:cNvPicPr>
      </xdr:nvPicPr>
      <xdr:blipFill>
        <a:blip r:embed="rId1"/>
        <a:stretch>
          <a:fillRect/>
        </a:stretch>
      </xdr:blipFill>
      <xdr:spPr>
        <a:xfrm>
          <a:off x="2239010" y="428625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83</xdr:row>
      <xdr:rowOff>171450</xdr:rowOff>
    </xdr:to>
    <xdr:pic>
      <xdr:nvPicPr>
        <xdr:cNvPr id="141" name="图片 3335"/>
        <xdr:cNvPicPr>
          <a:picLocks noChangeAspect="1"/>
        </xdr:cNvPicPr>
      </xdr:nvPicPr>
      <xdr:blipFill>
        <a:blip r:embed="rId1"/>
        <a:stretch>
          <a:fillRect/>
        </a:stretch>
      </xdr:blipFill>
      <xdr:spPr>
        <a:xfrm>
          <a:off x="2239010" y="428625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83</xdr:row>
      <xdr:rowOff>171450</xdr:rowOff>
    </xdr:to>
    <xdr:pic>
      <xdr:nvPicPr>
        <xdr:cNvPr id="142" name="图片 3335"/>
        <xdr:cNvPicPr>
          <a:picLocks noChangeAspect="1"/>
        </xdr:cNvPicPr>
      </xdr:nvPicPr>
      <xdr:blipFill>
        <a:blip r:embed="rId1"/>
        <a:stretch>
          <a:fillRect/>
        </a:stretch>
      </xdr:blipFill>
      <xdr:spPr>
        <a:xfrm>
          <a:off x="2239010" y="428625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83</xdr:row>
      <xdr:rowOff>171450</xdr:rowOff>
    </xdr:to>
    <xdr:pic>
      <xdr:nvPicPr>
        <xdr:cNvPr id="143" name="图片 3335"/>
        <xdr:cNvPicPr>
          <a:picLocks noChangeAspect="1"/>
        </xdr:cNvPicPr>
      </xdr:nvPicPr>
      <xdr:blipFill>
        <a:blip r:embed="rId1"/>
        <a:stretch>
          <a:fillRect/>
        </a:stretch>
      </xdr:blipFill>
      <xdr:spPr>
        <a:xfrm>
          <a:off x="2239010" y="428625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83</xdr:row>
      <xdr:rowOff>171450</xdr:rowOff>
    </xdr:to>
    <xdr:pic>
      <xdr:nvPicPr>
        <xdr:cNvPr id="145" name="图片 3335"/>
        <xdr:cNvPicPr>
          <a:picLocks noChangeAspect="1"/>
        </xdr:cNvPicPr>
      </xdr:nvPicPr>
      <xdr:blipFill>
        <a:blip r:embed="rId1"/>
        <a:stretch>
          <a:fillRect/>
        </a:stretch>
      </xdr:blipFill>
      <xdr:spPr>
        <a:xfrm>
          <a:off x="2239010" y="428625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83</xdr:row>
      <xdr:rowOff>171450</xdr:rowOff>
    </xdr:to>
    <xdr:pic>
      <xdr:nvPicPr>
        <xdr:cNvPr id="146" name="图片 3335"/>
        <xdr:cNvPicPr>
          <a:picLocks noChangeAspect="1"/>
        </xdr:cNvPicPr>
      </xdr:nvPicPr>
      <xdr:blipFill>
        <a:blip r:embed="rId1"/>
        <a:stretch>
          <a:fillRect/>
        </a:stretch>
      </xdr:blipFill>
      <xdr:spPr>
        <a:xfrm>
          <a:off x="2239010" y="428625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83</xdr:row>
      <xdr:rowOff>171450</xdr:rowOff>
    </xdr:to>
    <xdr:pic>
      <xdr:nvPicPr>
        <xdr:cNvPr id="152" name="图片 3335"/>
        <xdr:cNvPicPr>
          <a:picLocks noChangeAspect="1"/>
        </xdr:cNvPicPr>
      </xdr:nvPicPr>
      <xdr:blipFill>
        <a:blip r:embed="rId1"/>
        <a:stretch>
          <a:fillRect/>
        </a:stretch>
      </xdr:blipFill>
      <xdr:spPr>
        <a:xfrm>
          <a:off x="2239010" y="428625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83</xdr:row>
      <xdr:rowOff>171450</xdr:rowOff>
    </xdr:to>
    <xdr:pic>
      <xdr:nvPicPr>
        <xdr:cNvPr id="153" name="图片 3335"/>
        <xdr:cNvPicPr>
          <a:picLocks noChangeAspect="1"/>
        </xdr:cNvPicPr>
      </xdr:nvPicPr>
      <xdr:blipFill>
        <a:blip r:embed="rId1"/>
        <a:stretch>
          <a:fillRect/>
        </a:stretch>
      </xdr:blipFill>
      <xdr:spPr>
        <a:xfrm>
          <a:off x="2239010" y="4286250"/>
          <a:ext cx="133350" cy="17145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3</xdr:row>
      <xdr:rowOff>0</xdr:rowOff>
    </xdr:from>
    <xdr:to>
      <xdr:col>2</xdr:col>
      <xdr:colOff>133350</xdr:colOff>
      <xdr:row>3</xdr:row>
      <xdr:rowOff>171450</xdr:rowOff>
    </xdr:to>
    <xdr:pic>
      <xdr:nvPicPr>
        <xdr:cNvPr id="114" name="图片 3335"/>
        <xdr:cNvPicPr>
          <a:picLocks noChangeAspect="1"/>
        </xdr:cNvPicPr>
      </xdr:nvPicPr>
      <xdr:blipFill>
        <a:blip r:embed="rId1"/>
        <a:stretch>
          <a:fillRect/>
        </a:stretch>
      </xdr:blipFill>
      <xdr:spPr>
        <a:xfrm>
          <a:off x="2435225" y="317500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3</xdr:row>
      <xdr:rowOff>171450</xdr:rowOff>
    </xdr:to>
    <xdr:pic>
      <xdr:nvPicPr>
        <xdr:cNvPr id="198" name="图片 3335"/>
        <xdr:cNvPicPr>
          <a:picLocks noChangeAspect="1"/>
        </xdr:cNvPicPr>
      </xdr:nvPicPr>
      <xdr:blipFill>
        <a:blip r:embed="rId1"/>
        <a:stretch>
          <a:fillRect/>
        </a:stretch>
      </xdr:blipFill>
      <xdr:spPr>
        <a:xfrm>
          <a:off x="2435225" y="317500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3</xdr:row>
      <xdr:rowOff>171450</xdr:rowOff>
    </xdr:to>
    <xdr:pic>
      <xdr:nvPicPr>
        <xdr:cNvPr id="200" name="图片 3335"/>
        <xdr:cNvPicPr>
          <a:picLocks noChangeAspect="1"/>
        </xdr:cNvPicPr>
      </xdr:nvPicPr>
      <xdr:blipFill>
        <a:blip r:embed="rId1"/>
        <a:stretch>
          <a:fillRect/>
        </a:stretch>
      </xdr:blipFill>
      <xdr:spPr>
        <a:xfrm>
          <a:off x="2435225" y="317500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3</xdr:row>
      <xdr:rowOff>171450</xdr:rowOff>
    </xdr:to>
    <xdr:pic>
      <xdr:nvPicPr>
        <xdr:cNvPr id="201" name="图片 3335"/>
        <xdr:cNvPicPr>
          <a:picLocks noChangeAspect="1"/>
        </xdr:cNvPicPr>
      </xdr:nvPicPr>
      <xdr:blipFill>
        <a:blip r:embed="rId1"/>
        <a:stretch>
          <a:fillRect/>
        </a:stretch>
      </xdr:blipFill>
      <xdr:spPr>
        <a:xfrm>
          <a:off x="2435225" y="317500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3</xdr:row>
      <xdr:rowOff>171450</xdr:rowOff>
    </xdr:to>
    <xdr:pic>
      <xdr:nvPicPr>
        <xdr:cNvPr id="202" name="图片 3335"/>
        <xdr:cNvPicPr>
          <a:picLocks noChangeAspect="1"/>
        </xdr:cNvPicPr>
      </xdr:nvPicPr>
      <xdr:blipFill>
        <a:blip r:embed="rId1"/>
        <a:stretch>
          <a:fillRect/>
        </a:stretch>
      </xdr:blipFill>
      <xdr:spPr>
        <a:xfrm>
          <a:off x="2435225" y="317500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3</xdr:row>
      <xdr:rowOff>171450</xdr:rowOff>
    </xdr:to>
    <xdr:pic>
      <xdr:nvPicPr>
        <xdr:cNvPr id="204" name="图片 3335"/>
        <xdr:cNvPicPr>
          <a:picLocks noChangeAspect="1"/>
        </xdr:cNvPicPr>
      </xdr:nvPicPr>
      <xdr:blipFill>
        <a:blip r:embed="rId1"/>
        <a:stretch>
          <a:fillRect/>
        </a:stretch>
      </xdr:blipFill>
      <xdr:spPr>
        <a:xfrm>
          <a:off x="2435225" y="317500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3</xdr:row>
      <xdr:rowOff>171450</xdr:rowOff>
    </xdr:to>
    <xdr:pic>
      <xdr:nvPicPr>
        <xdr:cNvPr id="205" name="图片 3335"/>
        <xdr:cNvPicPr>
          <a:picLocks noChangeAspect="1"/>
        </xdr:cNvPicPr>
      </xdr:nvPicPr>
      <xdr:blipFill>
        <a:blip r:embed="rId1"/>
        <a:stretch>
          <a:fillRect/>
        </a:stretch>
      </xdr:blipFill>
      <xdr:spPr>
        <a:xfrm>
          <a:off x="2435225" y="317500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3</xdr:row>
      <xdr:rowOff>171450</xdr:rowOff>
    </xdr:to>
    <xdr:pic>
      <xdr:nvPicPr>
        <xdr:cNvPr id="210" name="图片 3335"/>
        <xdr:cNvPicPr>
          <a:picLocks noChangeAspect="1"/>
        </xdr:cNvPicPr>
      </xdr:nvPicPr>
      <xdr:blipFill>
        <a:blip r:embed="rId1"/>
        <a:stretch>
          <a:fillRect/>
        </a:stretch>
      </xdr:blipFill>
      <xdr:spPr>
        <a:xfrm>
          <a:off x="2435225" y="3175000"/>
          <a:ext cx="133350" cy="171450"/>
        </a:xfrm>
        <a:prstGeom prst="rect">
          <a:avLst/>
        </a:prstGeom>
        <a:noFill/>
        <a:ln w="9525">
          <a:noFill/>
        </a:ln>
      </xdr:spPr>
    </xdr:pic>
    <xdr:clientData/>
  </xdr:twoCellAnchor>
  <xdr:twoCellAnchor editAs="oneCell">
    <xdr:from>
      <xdr:col>2</xdr:col>
      <xdr:colOff>0</xdr:colOff>
      <xdr:row>3</xdr:row>
      <xdr:rowOff>0</xdr:rowOff>
    </xdr:from>
    <xdr:to>
      <xdr:col>2</xdr:col>
      <xdr:colOff>133350</xdr:colOff>
      <xdr:row>3</xdr:row>
      <xdr:rowOff>171450</xdr:rowOff>
    </xdr:to>
    <xdr:pic>
      <xdr:nvPicPr>
        <xdr:cNvPr id="211" name="图片 3335"/>
        <xdr:cNvPicPr>
          <a:picLocks noChangeAspect="1"/>
        </xdr:cNvPicPr>
      </xdr:nvPicPr>
      <xdr:blipFill>
        <a:blip r:embed="rId1"/>
        <a:stretch>
          <a:fillRect/>
        </a:stretch>
      </xdr:blipFill>
      <xdr:spPr>
        <a:xfrm>
          <a:off x="2435225" y="3175000"/>
          <a:ext cx="133350" cy="17145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M12"/>
  <sheetViews>
    <sheetView workbookViewId="0">
      <selection activeCell="D6" sqref="D6"/>
    </sheetView>
  </sheetViews>
  <sheetFormatPr defaultColWidth="9" defaultRowHeight="14"/>
  <cols>
    <col min="1" max="1" width="9.23636363636364"/>
    <col min="2" max="3" width="12.2090909090909" customWidth="1"/>
    <col min="4" max="5" width="28.7545454545455" customWidth="1"/>
    <col min="6" max="6" width="34.1636363636364" customWidth="1"/>
    <col min="7" max="8" width="29.1636363636364" customWidth="1"/>
    <col min="9" max="9" width="33.5454545454545" customWidth="1"/>
    <col min="10" max="11" width="29.1636363636364" customWidth="1"/>
    <col min="12" max="12" width="33.9545454545455" customWidth="1"/>
    <col min="13" max="13" width="29.1636363636364" customWidth="1"/>
  </cols>
  <sheetData>
    <row r="1" ht="77" customHeight="1" spans="1:13">
      <c r="A1" s="477" t="s">
        <v>0</v>
      </c>
      <c r="B1" s="478"/>
      <c r="C1" s="478"/>
      <c r="D1" s="478"/>
      <c r="E1" s="478"/>
      <c r="F1" s="478"/>
      <c r="G1" s="478"/>
      <c r="H1" s="478"/>
      <c r="I1" s="478"/>
      <c r="J1" s="478"/>
      <c r="K1" s="478"/>
      <c r="L1" s="478"/>
      <c r="M1" s="478"/>
    </row>
    <row r="2" ht="17.5" spans="1:13">
      <c r="A2" s="3" t="s">
        <v>1</v>
      </c>
      <c r="B2" s="3" t="s">
        <v>2</v>
      </c>
      <c r="C2" s="3" t="s">
        <v>3</v>
      </c>
      <c r="D2" s="479" t="s">
        <v>4</v>
      </c>
      <c r="E2" s="3"/>
      <c r="F2" s="3"/>
      <c r="G2" s="3"/>
      <c r="H2" s="3"/>
      <c r="I2" s="3"/>
      <c r="J2" s="3"/>
      <c r="K2" s="3"/>
      <c r="L2" s="3"/>
      <c r="M2" s="3"/>
    </row>
    <row r="3" ht="17.5" spans="1:13">
      <c r="A3" s="3"/>
      <c r="B3" s="3"/>
      <c r="C3" s="3"/>
      <c r="D3" s="3" t="s">
        <v>5</v>
      </c>
      <c r="E3" s="479" t="s">
        <v>6</v>
      </c>
      <c r="F3" s="479"/>
      <c r="G3" s="5"/>
      <c r="H3" s="479" t="s">
        <v>7</v>
      </c>
      <c r="I3" s="479"/>
      <c r="J3" s="5"/>
      <c r="K3" s="480" t="s">
        <v>8</v>
      </c>
      <c r="L3" s="87"/>
      <c r="M3" s="93"/>
    </row>
    <row r="4" ht="17.5" spans="1:13">
      <c r="A4" s="3"/>
      <c r="B4" s="3"/>
      <c r="C4" s="3"/>
      <c r="D4" s="3"/>
      <c r="E4" s="3" t="s">
        <v>9</v>
      </c>
      <c r="F4" s="3" t="s">
        <v>10</v>
      </c>
      <c r="G4" s="3" t="s">
        <v>11</v>
      </c>
      <c r="H4" s="3" t="s">
        <v>9</v>
      </c>
      <c r="I4" s="3" t="s">
        <v>10</v>
      </c>
      <c r="J4" s="3" t="s">
        <v>11</v>
      </c>
      <c r="K4" s="3" t="s">
        <v>9</v>
      </c>
      <c r="L4" s="3" t="s">
        <v>10</v>
      </c>
      <c r="M4" s="3" t="s">
        <v>11</v>
      </c>
    </row>
    <row r="5" ht="87.5" spans="1:13">
      <c r="A5" s="102" t="s">
        <v>12</v>
      </c>
      <c r="B5" s="102"/>
      <c r="C5" s="102"/>
      <c r="D5" s="102" t="s">
        <v>13</v>
      </c>
      <c r="E5" s="102" t="s">
        <v>14</v>
      </c>
      <c r="F5" s="5" t="s">
        <v>15</v>
      </c>
      <c r="G5" s="481" t="s">
        <v>16</v>
      </c>
      <c r="H5" s="102" t="s">
        <v>17</v>
      </c>
      <c r="I5" s="5" t="s">
        <v>15</v>
      </c>
      <c r="J5" s="481" t="s">
        <v>16</v>
      </c>
      <c r="K5" s="102" t="s">
        <v>18</v>
      </c>
      <c r="L5" s="5" t="s">
        <v>15</v>
      </c>
      <c r="M5" s="481" t="s">
        <v>16</v>
      </c>
    </row>
    <row r="6" ht="28" customHeight="1" spans="1:13">
      <c r="A6" s="183">
        <v>1</v>
      </c>
      <c r="B6" s="108" t="s">
        <v>19</v>
      </c>
      <c r="C6" s="108" t="s">
        <v>20</v>
      </c>
      <c r="D6" s="185">
        <f>(E6+H6+K6)</f>
        <v>324637.593050528</v>
      </c>
      <c r="E6" s="185">
        <f>(F6+G6)</f>
        <v>19872.425074</v>
      </c>
      <c r="F6" s="254">
        <f>198724250.74/10000</f>
        <v>19872.425074</v>
      </c>
      <c r="G6" s="185">
        <v>0</v>
      </c>
      <c r="H6" s="185">
        <f>(I6+J6)</f>
        <v>199879.735072528</v>
      </c>
      <c r="I6" s="185">
        <f>1837192850.72528/10000</f>
        <v>183719.285072528</v>
      </c>
      <c r="J6" s="185">
        <f>161604500/10000</f>
        <v>16160.45</v>
      </c>
      <c r="K6" s="185">
        <f>(L6+M6)</f>
        <v>104885.432904</v>
      </c>
      <c r="L6" s="185">
        <f>988974809.04/10000</f>
        <v>98897.480904</v>
      </c>
      <c r="M6" s="185">
        <f>59879520/10000</f>
        <v>5987.952</v>
      </c>
    </row>
    <row r="7" ht="28" customHeight="1" spans="1:13">
      <c r="A7" s="183"/>
      <c r="B7" s="108"/>
      <c r="C7" s="108"/>
      <c r="D7" s="185"/>
      <c r="E7" s="185"/>
      <c r="F7" s="185"/>
      <c r="G7" s="185"/>
      <c r="H7" s="482"/>
      <c r="I7" s="482"/>
      <c r="J7" s="482"/>
      <c r="K7" s="482"/>
      <c r="L7" s="482"/>
      <c r="M7" s="482"/>
    </row>
    <row r="8" ht="28" customHeight="1" spans="1:13">
      <c r="A8" s="183"/>
      <c r="B8" s="69"/>
      <c r="C8" s="69"/>
      <c r="D8" s="482"/>
      <c r="E8" s="482"/>
      <c r="F8" s="483"/>
      <c r="G8" s="483"/>
      <c r="H8" s="482"/>
      <c r="I8" s="483"/>
      <c r="J8" s="483"/>
      <c r="K8" s="482"/>
      <c r="L8" s="483"/>
      <c r="M8" s="483"/>
    </row>
    <row r="9" ht="28" customHeight="1" spans="1:13">
      <c r="A9" s="183"/>
      <c r="B9" s="69"/>
      <c r="C9" s="69"/>
      <c r="D9" s="482"/>
      <c r="E9" s="482"/>
      <c r="F9" s="483"/>
      <c r="G9" s="483"/>
      <c r="H9" s="482"/>
      <c r="I9" s="483"/>
      <c r="J9" s="483"/>
      <c r="K9" s="482"/>
      <c r="L9" s="483"/>
      <c r="M9" s="483"/>
    </row>
    <row r="10" ht="28" customHeight="1" spans="1:13">
      <c r="A10" s="183"/>
      <c r="B10" s="69"/>
      <c r="C10" s="69"/>
      <c r="D10" s="482"/>
      <c r="E10" s="482"/>
      <c r="F10" s="483"/>
      <c r="G10" s="483"/>
      <c r="H10" s="482"/>
      <c r="I10" s="483"/>
      <c r="J10" s="483"/>
      <c r="K10" s="482"/>
      <c r="L10" s="483"/>
      <c r="M10" s="483"/>
    </row>
    <row r="11" ht="28" customHeight="1" spans="1:13">
      <c r="A11" s="183"/>
      <c r="B11" s="69"/>
      <c r="C11" s="69"/>
      <c r="D11" s="482"/>
      <c r="E11" s="482"/>
      <c r="F11" s="483"/>
      <c r="G11" s="483"/>
      <c r="H11" s="482"/>
      <c r="I11" s="483"/>
      <c r="J11" s="483"/>
      <c r="K11" s="482"/>
      <c r="L11" s="483"/>
      <c r="M11" s="483"/>
    </row>
    <row r="12" ht="28" customHeight="1" spans="1:13">
      <c r="A12" s="183"/>
      <c r="B12" s="69"/>
      <c r="C12" s="69"/>
      <c r="D12" s="482"/>
      <c r="E12" s="482"/>
      <c r="F12" s="483"/>
      <c r="G12" s="483"/>
      <c r="H12" s="482"/>
      <c r="I12" s="483"/>
      <c r="J12" s="483"/>
      <c r="K12" s="482"/>
      <c r="L12" s="483"/>
      <c r="M12" s="483"/>
    </row>
  </sheetData>
  <sheetProtection formatCells="0" formatColumns="0" formatRows="0" insertRows="0" insertColumns="0" insertHyperlinks="0" deleteColumns="0" deleteRows="0" sort="0" autoFilter="0" pivotTables="0"/>
  <mergeCells count="9">
    <mergeCell ref="A1:M1"/>
    <mergeCell ref="D2:M2"/>
    <mergeCell ref="E3:G3"/>
    <mergeCell ref="H3:J3"/>
    <mergeCell ref="K3:M3"/>
    <mergeCell ref="A2:A4"/>
    <mergeCell ref="B2:B4"/>
    <mergeCell ref="C2:C4"/>
    <mergeCell ref="D3:D4"/>
  </mergeCells>
  <pageMargins left="0.7" right="0.7" top="0.75" bottom="0.75" header="0.3" footer="0.3"/>
  <pageSetup paperSize="9" scale="3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pageSetUpPr fitToPage="1"/>
  </sheetPr>
  <dimension ref="A1:BI612"/>
  <sheetViews>
    <sheetView tabSelected="1" zoomScale="90" zoomScaleNormal="90" workbookViewId="0">
      <pane xSplit="7" ySplit="7" topLeftCell="BC8" activePane="bottomRight" state="frozen"/>
      <selection/>
      <selection pane="topRight"/>
      <selection pane="bottomLeft"/>
      <selection pane="bottomRight" activeCell="BE608" sqref="BE608"/>
    </sheetView>
  </sheetViews>
  <sheetFormatPr defaultColWidth="9" defaultRowHeight="14"/>
  <cols>
    <col min="1" max="1" width="8.75454545454545" style="78" customWidth="1"/>
    <col min="2" max="2" width="10.1727272727273" style="154" customWidth="1"/>
    <col min="3" max="3" width="10.8909090909091" style="154" customWidth="1"/>
    <col min="4" max="4" width="10" style="279" customWidth="1"/>
    <col min="5" max="5" width="59.7363636363636" style="280" customWidth="1"/>
    <col min="6" max="6" width="11.2545454545455" style="154" customWidth="1"/>
    <col min="7" max="7" width="10.3545454545455" style="154" customWidth="1"/>
    <col min="8" max="23" width="19.1" style="78" customWidth="1"/>
    <col min="24" max="24" width="20.2545454545455" style="78" customWidth="1"/>
    <col min="25" max="57" width="19.1" style="78" customWidth="1"/>
    <col min="58" max="58" width="9" style="154" customWidth="1"/>
    <col min="59" max="59" width="114.127272727273" style="281" customWidth="1"/>
    <col min="60" max="60" width="34.7727272727273" style="282" customWidth="1"/>
    <col min="61" max="16384" width="9" style="78"/>
  </cols>
  <sheetData>
    <row r="1" ht="103" customHeight="1" spans="1:60">
      <c r="A1" s="283" t="s">
        <v>21</v>
      </c>
      <c r="B1" s="284"/>
      <c r="C1" s="284"/>
      <c r="D1" s="285"/>
      <c r="E1" s="286"/>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row>
    <row r="2" ht="15" spans="1:60">
      <c r="A2" s="287" t="s">
        <v>1</v>
      </c>
      <c r="B2" s="287" t="s">
        <v>2</v>
      </c>
      <c r="C2" s="287" t="s">
        <v>3</v>
      </c>
      <c r="D2" s="288" t="s">
        <v>22</v>
      </c>
      <c r="E2" s="287" t="s">
        <v>23</v>
      </c>
      <c r="F2" s="287" t="s">
        <v>24</v>
      </c>
      <c r="G2" s="287" t="s">
        <v>25</v>
      </c>
      <c r="H2" s="287" t="s">
        <v>26</v>
      </c>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t="s">
        <v>27</v>
      </c>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9"/>
      <c r="BF2" s="290" t="s">
        <v>28</v>
      </c>
      <c r="BG2" s="291" t="s">
        <v>29</v>
      </c>
      <c r="BH2" s="233" t="s">
        <v>30</v>
      </c>
    </row>
    <row r="3" ht="15" spans="1:60">
      <c r="A3" s="287"/>
      <c r="B3" s="287"/>
      <c r="C3" s="287"/>
      <c r="D3" s="288"/>
      <c r="E3" s="287"/>
      <c r="F3" s="287"/>
      <c r="G3" s="287"/>
      <c r="H3" s="287" t="s">
        <v>5</v>
      </c>
      <c r="I3" s="287" t="s">
        <v>31</v>
      </c>
      <c r="J3" s="287"/>
      <c r="K3" s="287"/>
      <c r="L3" s="287"/>
      <c r="M3" s="287"/>
      <c r="N3" s="287"/>
      <c r="O3" s="287"/>
      <c r="P3" s="287"/>
      <c r="Q3" s="287"/>
      <c r="R3" s="287"/>
      <c r="S3" s="287"/>
      <c r="T3" s="287"/>
      <c r="U3" s="287"/>
      <c r="V3" s="287"/>
      <c r="W3" s="287"/>
      <c r="X3" s="287"/>
      <c r="Y3" s="287"/>
      <c r="Z3" s="287"/>
      <c r="AA3" s="287"/>
      <c r="AB3" s="287"/>
      <c r="AC3" s="287"/>
      <c r="AD3" s="287"/>
      <c r="AE3" s="287"/>
      <c r="AF3" s="287" t="s">
        <v>32</v>
      </c>
      <c r="AG3" s="287" t="s">
        <v>5</v>
      </c>
      <c r="AH3" s="287" t="s">
        <v>31</v>
      </c>
      <c r="AI3" s="287"/>
      <c r="AJ3" s="287"/>
      <c r="AK3" s="287"/>
      <c r="AL3" s="287"/>
      <c r="AM3" s="287"/>
      <c r="AN3" s="287"/>
      <c r="AO3" s="287"/>
      <c r="AP3" s="287"/>
      <c r="AQ3" s="287"/>
      <c r="AR3" s="287"/>
      <c r="AS3" s="287"/>
      <c r="AT3" s="287"/>
      <c r="AU3" s="287"/>
      <c r="AV3" s="287"/>
      <c r="AW3" s="287"/>
      <c r="AX3" s="287"/>
      <c r="AY3" s="287"/>
      <c r="AZ3" s="287"/>
      <c r="BA3" s="287"/>
      <c r="BB3" s="287"/>
      <c r="BC3" s="287"/>
      <c r="BD3" s="287"/>
      <c r="BE3" s="289" t="s">
        <v>32</v>
      </c>
      <c r="BF3" s="290"/>
      <c r="BG3" s="291"/>
      <c r="BH3" s="233"/>
    </row>
    <row r="4" ht="15" spans="1:60">
      <c r="A4" s="287"/>
      <c r="B4" s="287"/>
      <c r="C4" s="287"/>
      <c r="D4" s="288"/>
      <c r="E4" s="287"/>
      <c r="F4" s="287"/>
      <c r="G4" s="287"/>
      <c r="H4" s="287"/>
      <c r="I4" s="287" t="s">
        <v>33</v>
      </c>
      <c r="J4" s="287" t="s">
        <v>34</v>
      </c>
      <c r="K4" s="287"/>
      <c r="L4" s="287"/>
      <c r="M4" s="287"/>
      <c r="N4" s="287"/>
      <c r="O4" s="287" t="s">
        <v>35</v>
      </c>
      <c r="P4" s="287"/>
      <c r="Q4" s="287"/>
      <c r="R4" s="287"/>
      <c r="S4" s="287"/>
      <c r="T4" s="287" t="s">
        <v>36</v>
      </c>
      <c r="U4" s="287"/>
      <c r="V4" s="287"/>
      <c r="W4" s="287"/>
      <c r="X4" s="287"/>
      <c r="Y4" s="287" t="s">
        <v>37</v>
      </c>
      <c r="Z4" s="287"/>
      <c r="AA4" s="287"/>
      <c r="AB4" s="287"/>
      <c r="AC4" s="287" t="s">
        <v>38</v>
      </c>
      <c r="AD4" s="287" t="s">
        <v>39</v>
      </c>
      <c r="AE4" s="287" t="s">
        <v>40</v>
      </c>
      <c r="AF4" s="287"/>
      <c r="AG4" s="287"/>
      <c r="AH4" s="287" t="s">
        <v>33</v>
      </c>
      <c r="AI4" s="287" t="s">
        <v>34</v>
      </c>
      <c r="AJ4" s="287"/>
      <c r="AK4" s="287"/>
      <c r="AL4" s="287"/>
      <c r="AM4" s="287"/>
      <c r="AN4" s="287" t="s">
        <v>35</v>
      </c>
      <c r="AO4" s="287"/>
      <c r="AP4" s="287"/>
      <c r="AQ4" s="287"/>
      <c r="AR4" s="287"/>
      <c r="AS4" s="287" t="s">
        <v>36</v>
      </c>
      <c r="AT4" s="287"/>
      <c r="AU4" s="287"/>
      <c r="AV4" s="287"/>
      <c r="AW4" s="287"/>
      <c r="AX4" s="287" t="s">
        <v>37</v>
      </c>
      <c r="AY4" s="287"/>
      <c r="AZ4" s="287"/>
      <c r="BA4" s="287"/>
      <c r="BB4" s="287" t="s">
        <v>38</v>
      </c>
      <c r="BC4" s="287" t="s">
        <v>39</v>
      </c>
      <c r="BD4" s="287" t="s">
        <v>40</v>
      </c>
      <c r="BE4" s="289"/>
      <c r="BF4" s="290"/>
      <c r="BG4" s="291"/>
      <c r="BH4" s="233"/>
    </row>
    <row r="5" customHeight="1" spans="1:60">
      <c r="A5" s="287"/>
      <c r="B5" s="287"/>
      <c r="C5" s="287"/>
      <c r="D5" s="288"/>
      <c r="E5" s="287"/>
      <c r="F5" s="287"/>
      <c r="G5" s="287"/>
      <c r="H5" s="287"/>
      <c r="I5" s="287"/>
      <c r="J5" s="287" t="s">
        <v>9</v>
      </c>
      <c r="K5" s="287" t="s">
        <v>41</v>
      </c>
      <c r="L5" s="287" t="s">
        <v>42</v>
      </c>
      <c r="M5" s="287" t="s">
        <v>43</v>
      </c>
      <c r="N5" s="287" t="s">
        <v>44</v>
      </c>
      <c r="O5" s="287" t="s">
        <v>9</v>
      </c>
      <c r="P5" s="287" t="s">
        <v>41</v>
      </c>
      <c r="Q5" s="287" t="s">
        <v>42</v>
      </c>
      <c r="R5" s="287" t="s">
        <v>43</v>
      </c>
      <c r="S5" s="287" t="s">
        <v>44</v>
      </c>
      <c r="T5" s="287" t="s">
        <v>9</v>
      </c>
      <c r="U5" s="287" t="s">
        <v>41</v>
      </c>
      <c r="V5" s="287" t="s">
        <v>42</v>
      </c>
      <c r="W5" s="287" t="s">
        <v>43</v>
      </c>
      <c r="X5" s="287" t="s">
        <v>44</v>
      </c>
      <c r="Y5" s="287" t="s">
        <v>9</v>
      </c>
      <c r="Z5" s="287" t="s">
        <v>42</v>
      </c>
      <c r="AA5" s="287" t="s">
        <v>43</v>
      </c>
      <c r="AB5" s="287" t="s">
        <v>44</v>
      </c>
      <c r="AC5" s="287"/>
      <c r="AD5" s="287"/>
      <c r="AE5" s="287"/>
      <c r="AF5" s="287"/>
      <c r="AG5" s="287"/>
      <c r="AH5" s="287"/>
      <c r="AI5" s="287" t="s">
        <v>9</v>
      </c>
      <c r="AJ5" s="287" t="s">
        <v>41</v>
      </c>
      <c r="AK5" s="287" t="s">
        <v>42</v>
      </c>
      <c r="AL5" s="287" t="s">
        <v>43</v>
      </c>
      <c r="AM5" s="287" t="s">
        <v>44</v>
      </c>
      <c r="AN5" s="287" t="s">
        <v>9</v>
      </c>
      <c r="AO5" s="287" t="s">
        <v>41</v>
      </c>
      <c r="AP5" s="287" t="s">
        <v>42</v>
      </c>
      <c r="AQ5" s="287" t="s">
        <v>43</v>
      </c>
      <c r="AR5" s="287" t="s">
        <v>44</v>
      </c>
      <c r="AS5" s="287" t="s">
        <v>9</v>
      </c>
      <c r="AT5" s="287" t="s">
        <v>41</v>
      </c>
      <c r="AU5" s="287" t="s">
        <v>42</v>
      </c>
      <c r="AV5" s="287" t="s">
        <v>43</v>
      </c>
      <c r="AW5" s="287" t="s">
        <v>44</v>
      </c>
      <c r="AX5" s="287" t="s">
        <v>9</v>
      </c>
      <c r="AY5" s="287" t="s">
        <v>42</v>
      </c>
      <c r="AZ5" s="287" t="s">
        <v>43</v>
      </c>
      <c r="BA5" s="287" t="s">
        <v>44</v>
      </c>
      <c r="BB5" s="287"/>
      <c r="BC5" s="287"/>
      <c r="BD5" s="287"/>
      <c r="BE5" s="289"/>
      <c r="BF5" s="290"/>
      <c r="BG5" s="291"/>
      <c r="BH5" s="233"/>
    </row>
    <row r="6" ht="40.3" customHeight="1" spans="1:60">
      <c r="A6" s="292" t="s">
        <v>12</v>
      </c>
      <c r="B6" s="292"/>
      <c r="C6" s="292"/>
      <c r="D6" s="293" t="s">
        <v>45</v>
      </c>
      <c r="E6" s="292" t="s">
        <v>46</v>
      </c>
      <c r="F6" s="292" t="s">
        <v>47</v>
      </c>
      <c r="G6" s="292" t="s">
        <v>47</v>
      </c>
      <c r="H6" s="292"/>
      <c r="I6" s="292"/>
      <c r="J6" s="292" t="s">
        <v>48</v>
      </c>
      <c r="K6" s="292"/>
      <c r="L6" s="292"/>
      <c r="M6" s="292"/>
      <c r="N6" s="292"/>
      <c r="O6" s="292"/>
      <c r="P6" s="292"/>
      <c r="Q6" s="292"/>
      <c r="R6" s="292"/>
      <c r="S6" s="292"/>
      <c r="T6" s="292"/>
      <c r="U6" s="292"/>
      <c r="V6" s="292"/>
      <c r="W6" s="292"/>
      <c r="X6" s="292"/>
      <c r="Y6" s="292"/>
      <c r="Z6" s="292"/>
      <c r="AA6" s="292"/>
      <c r="AB6" s="292"/>
      <c r="AC6" s="292"/>
      <c r="AD6" s="292"/>
      <c r="AE6" s="292"/>
      <c r="AF6" s="292"/>
      <c r="AG6" s="292"/>
      <c r="AH6" s="292" t="s">
        <v>49</v>
      </c>
      <c r="AI6" s="292" t="s">
        <v>50</v>
      </c>
      <c r="AJ6" s="292"/>
      <c r="AK6" s="292"/>
      <c r="AL6" s="292"/>
      <c r="AM6" s="292"/>
      <c r="AN6" s="292"/>
      <c r="AO6" s="292"/>
      <c r="AP6" s="292"/>
      <c r="AQ6" s="292"/>
      <c r="AR6" s="292"/>
      <c r="AS6" s="292"/>
      <c r="AT6" s="292"/>
      <c r="AU6" s="292"/>
      <c r="AV6" s="292"/>
      <c r="AW6" s="292"/>
      <c r="AX6" s="292"/>
      <c r="AY6" s="292"/>
      <c r="AZ6" s="292"/>
      <c r="BA6" s="292"/>
      <c r="BB6" s="292"/>
      <c r="BC6" s="292"/>
      <c r="BD6" s="292"/>
      <c r="BE6" s="294"/>
      <c r="BF6" s="290" t="s">
        <v>47</v>
      </c>
      <c r="BG6" s="233" t="s">
        <v>51</v>
      </c>
      <c r="BH6" s="133"/>
    </row>
    <row r="7" s="269" customFormat="1" ht="21" hidden="1" customHeight="1" spans="1:60">
      <c r="A7" s="295" t="s">
        <v>5</v>
      </c>
      <c r="B7" s="295"/>
      <c r="C7" s="295"/>
      <c r="D7" s="296"/>
      <c r="E7" s="297"/>
      <c r="F7" s="295"/>
      <c r="G7" s="295"/>
      <c r="H7" s="298">
        <f>SUM(H8:H602)</f>
        <v>3285658136.55</v>
      </c>
      <c r="I7" s="298">
        <f t="shared" ref="I7:AN7" si="0">SUM(I8:I602)</f>
        <v>3253311721.55</v>
      </c>
      <c r="J7" s="298">
        <f t="shared" si="0"/>
        <v>219041868.83</v>
      </c>
      <c r="K7" s="298">
        <f t="shared" si="0"/>
        <v>89403700</v>
      </c>
      <c r="L7" s="298">
        <f t="shared" si="0"/>
        <v>15300000</v>
      </c>
      <c r="M7" s="298">
        <f t="shared" si="0"/>
        <v>86495000</v>
      </c>
      <c r="N7" s="298">
        <f t="shared" si="0"/>
        <v>27843168.83</v>
      </c>
      <c r="O7" s="298">
        <f t="shared" si="0"/>
        <v>1171025474.72</v>
      </c>
      <c r="P7" s="298">
        <f t="shared" si="0"/>
        <v>457835917</v>
      </c>
      <c r="Q7" s="298">
        <f t="shared" si="0"/>
        <v>258825200</v>
      </c>
      <c r="R7" s="298">
        <f t="shared" si="0"/>
        <v>173409006.17</v>
      </c>
      <c r="S7" s="298">
        <f t="shared" si="0"/>
        <v>280955351.55</v>
      </c>
      <c r="T7" s="298">
        <f t="shared" si="0"/>
        <v>965149478</v>
      </c>
      <c r="U7" s="298">
        <f t="shared" si="0"/>
        <v>598855160</v>
      </c>
      <c r="V7" s="298">
        <f t="shared" si="0"/>
        <v>121951500</v>
      </c>
      <c r="W7" s="298">
        <f t="shared" si="0"/>
        <v>79020400</v>
      </c>
      <c r="X7" s="298">
        <f t="shared" si="0"/>
        <v>165322418</v>
      </c>
      <c r="Y7" s="298">
        <f t="shared" si="0"/>
        <v>447416100</v>
      </c>
      <c r="Z7" s="298">
        <f t="shared" si="0"/>
        <v>0</v>
      </c>
      <c r="AA7" s="298">
        <f t="shared" si="0"/>
        <v>447416100</v>
      </c>
      <c r="AB7" s="298">
        <f t="shared" si="0"/>
        <v>0</v>
      </c>
      <c r="AC7" s="298">
        <f t="shared" si="0"/>
        <v>3000000</v>
      </c>
      <c r="AD7" s="298">
        <f t="shared" si="0"/>
        <v>446678800</v>
      </c>
      <c r="AE7" s="298">
        <f t="shared" si="0"/>
        <v>1000000</v>
      </c>
      <c r="AF7" s="298">
        <f t="shared" si="0"/>
        <v>32346415</v>
      </c>
      <c r="AG7" s="298">
        <f t="shared" si="0"/>
        <v>3119666352.08924</v>
      </c>
      <c r="AH7" s="298">
        <f t="shared" si="0"/>
        <v>3093843413.27424</v>
      </c>
      <c r="AI7" s="298">
        <f t="shared" si="0"/>
        <v>217589096.27</v>
      </c>
      <c r="AJ7" s="298">
        <f t="shared" si="0"/>
        <v>104631015.93</v>
      </c>
      <c r="AK7" s="298">
        <f t="shared" si="0"/>
        <v>2596200</v>
      </c>
      <c r="AL7" s="298">
        <f t="shared" si="0"/>
        <v>85177574.14</v>
      </c>
      <c r="AM7" s="298">
        <f t="shared" si="0"/>
        <v>25184306.2</v>
      </c>
      <c r="AN7" s="298">
        <f t="shared" si="0"/>
        <v>1074835113.57029</v>
      </c>
      <c r="AO7" s="298">
        <f t="shared" ref="AO7:BE7" si="1">SUM(AO8:AO602)</f>
        <v>450186601.140366</v>
      </c>
      <c r="AP7" s="298">
        <f t="shared" si="1"/>
        <v>261889194.807189</v>
      </c>
      <c r="AQ7" s="298">
        <f t="shared" si="1"/>
        <v>157238307.66</v>
      </c>
      <c r="AR7" s="298">
        <f t="shared" si="1"/>
        <v>205821009.962736</v>
      </c>
      <c r="AS7" s="298">
        <f t="shared" si="1"/>
        <v>912214919.94</v>
      </c>
      <c r="AT7" s="298">
        <f t="shared" si="1"/>
        <v>602027809.56</v>
      </c>
      <c r="AU7" s="298">
        <f t="shared" si="1"/>
        <v>97301381.94</v>
      </c>
      <c r="AV7" s="298">
        <f t="shared" si="1"/>
        <v>77199117.45</v>
      </c>
      <c r="AW7" s="298">
        <f t="shared" si="1"/>
        <v>135686610.99</v>
      </c>
      <c r="AX7" s="298">
        <f t="shared" si="1"/>
        <v>438525483.493953</v>
      </c>
      <c r="AY7" s="298">
        <f t="shared" si="1"/>
        <v>8058808.16</v>
      </c>
      <c r="AZ7" s="298">
        <f t="shared" si="1"/>
        <v>430466675.333953</v>
      </c>
      <c r="BA7" s="298">
        <f t="shared" si="1"/>
        <v>0</v>
      </c>
      <c r="BB7" s="298">
        <f t="shared" si="1"/>
        <v>3000000</v>
      </c>
      <c r="BC7" s="298">
        <f t="shared" si="1"/>
        <v>446678800</v>
      </c>
      <c r="BD7" s="298">
        <f t="shared" si="1"/>
        <v>1000000</v>
      </c>
      <c r="BE7" s="298">
        <f t="shared" si="1"/>
        <v>25822938.815</v>
      </c>
      <c r="BF7" s="299"/>
      <c r="BG7" s="263"/>
      <c r="BH7" s="300"/>
    </row>
    <row r="8" s="270" customFormat="1" ht="15" hidden="1" spans="1:60">
      <c r="A8" s="301">
        <v>1</v>
      </c>
      <c r="B8" s="302" t="s">
        <v>19</v>
      </c>
      <c r="C8" s="302" t="s">
        <v>20</v>
      </c>
      <c r="D8" s="301">
        <v>2017</v>
      </c>
      <c r="E8" s="303" t="s">
        <v>52</v>
      </c>
      <c r="F8" s="301" t="s">
        <v>53</v>
      </c>
      <c r="G8" s="238" t="s">
        <v>53</v>
      </c>
      <c r="H8" s="304">
        <f t="shared" ref="H8:H71" si="2">I8+AF8</f>
        <v>13832800</v>
      </c>
      <c r="I8" s="304">
        <f t="shared" ref="I8:I71" si="3">O8+J8+T8+Y8+AE8+AC8+AD8</f>
        <v>13832800</v>
      </c>
      <c r="J8" s="304">
        <f t="shared" ref="J8:J71" si="4">N8+M8+L8+K8</f>
        <v>0</v>
      </c>
      <c r="K8" s="304"/>
      <c r="L8" s="304"/>
      <c r="M8" s="304"/>
      <c r="N8" s="304"/>
      <c r="O8" s="304">
        <f t="shared" ref="O8:O71" si="5">S8+R8+Q8+P8</f>
        <v>13832800</v>
      </c>
      <c r="P8" s="304"/>
      <c r="Q8" s="304">
        <v>13832800</v>
      </c>
      <c r="R8" s="304"/>
      <c r="S8" s="304"/>
      <c r="T8" s="304">
        <f t="shared" ref="T8:T71" si="6">U8+V8+W8+X8</f>
        <v>0</v>
      </c>
      <c r="U8" s="304"/>
      <c r="V8" s="304"/>
      <c r="W8" s="304"/>
      <c r="X8" s="304"/>
      <c r="Y8" s="304">
        <f t="shared" ref="Y8:Y71" si="7">AA8+Z8+AB8</f>
        <v>0</v>
      </c>
      <c r="Z8" s="304"/>
      <c r="AA8" s="304"/>
      <c r="AB8" s="304"/>
      <c r="AC8" s="304"/>
      <c r="AD8" s="304"/>
      <c r="AE8" s="304"/>
      <c r="AF8" s="304"/>
      <c r="AG8" s="304">
        <f t="shared" ref="AG8:AG71" si="8">AH8+BE8</f>
        <v>13081529.51</v>
      </c>
      <c r="AH8" s="304">
        <f t="shared" ref="AH8:AH71" si="9">AN8+AI8+AS8+AX8+BD8+BB8+BC8</f>
        <v>13081529.51</v>
      </c>
      <c r="AI8" s="304">
        <f t="shared" ref="AI8:AI71" si="10">AM8+AL8+AK8+AJ8</f>
        <v>0</v>
      </c>
      <c r="AJ8" s="304"/>
      <c r="AK8" s="304"/>
      <c r="AL8" s="304"/>
      <c r="AM8" s="304"/>
      <c r="AN8" s="304">
        <f t="shared" ref="AN8:AN71" si="11">AR8+AQ8+AP8+AO8</f>
        <v>13081529.51</v>
      </c>
      <c r="AO8" s="304"/>
      <c r="AP8" s="304">
        <v>13081529.51</v>
      </c>
      <c r="AQ8" s="304"/>
      <c r="AR8" s="304"/>
      <c r="AS8" s="304">
        <f t="shared" ref="AS8:AS71" si="12">AW8+AV8+AU8+AT8</f>
        <v>0</v>
      </c>
      <c r="AT8" s="304"/>
      <c r="AU8" s="304"/>
      <c r="AV8" s="304"/>
      <c r="AW8" s="304"/>
      <c r="AX8" s="304">
        <f t="shared" ref="AX8:AX71" si="13">AZ8+AY8+BA8</f>
        <v>0</v>
      </c>
      <c r="AY8" s="304"/>
      <c r="AZ8" s="304"/>
      <c r="BA8" s="304"/>
      <c r="BB8" s="304"/>
      <c r="BC8" s="304"/>
      <c r="BD8" s="304"/>
      <c r="BE8" s="305">
        <v>0</v>
      </c>
      <c r="BF8" s="238" t="s">
        <v>53</v>
      </c>
      <c r="BG8" s="263" t="s">
        <v>54</v>
      </c>
      <c r="BH8" s="306"/>
    </row>
    <row r="9" s="77" customFormat="1" ht="15" hidden="1" spans="1:60">
      <c r="A9" s="301">
        <v>2</v>
      </c>
      <c r="B9" s="307" t="s">
        <v>19</v>
      </c>
      <c r="C9" s="307" t="s">
        <v>20</v>
      </c>
      <c r="D9" s="308">
        <v>2017</v>
      </c>
      <c r="E9" s="309" t="s">
        <v>55</v>
      </c>
      <c r="F9" s="308" t="s">
        <v>53</v>
      </c>
      <c r="G9" s="127" t="s">
        <v>53</v>
      </c>
      <c r="H9" s="310">
        <f t="shared" si="2"/>
        <v>21304200</v>
      </c>
      <c r="I9" s="310">
        <f t="shared" si="3"/>
        <v>14843900</v>
      </c>
      <c r="J9" s="310">
        <f t="shared" si="4"/>
        <v>0</v>
      </c>
      <c r="K9" s="310"/>
      <c r="L9" s="310"/>
      <c r="M9" s="310"/>
      <c r="N9" s="310"/>
      <c r="O9" s="310">
        <f t="shared" si="5"/>
        <v>14843900</v>
      </c>
      <c r="P9" s="310"/>
      <c r="Q9" s="310"/>
      <c r="R9" s="310"/>
      <c r="S9" s="310">
        <v>14843900</v>
      </c>
      <c r="T9" s="310">
        <f t="shared" si="6"/>
        <v>0</v>
      </c>
      <c r="U9" s="310"/>
      <c r="V9" s="310"/>
      <c r="W9" s="310"/>
      <c r="X9" s="310"/>
      <c r="Y9" s="310">
        <f t="shared" si="7"/>
        <v>0</v>
      </c>
      <c r="Z9" s="310"/>
      <c r="AA9" s="310"/>
      <c r="AB9" s="310"/>
      <c r="AC9" s="310"/>
      <c r="AD9" s="310"/>
      <c r="AE9" s="310"/>
      <c r="AF9" s="311">
        <v>6460300</v>
      </c>
      <c r="AG9" s="310">
        <f t="shared" si="8"/>
        <v>21009369.65</v>
      </c>
      <c r="AH9" s="310">
        <f t="shared" si="9"/>
        <v>14843900</v>
      </c>
      <c r="AI9" s="310">
        <f t="shared" si="10"/>
        <v>0</v>
      </c>
      <c r="AJ9" s="310"/>
      <c r="AK9" s="310"/>
      <c r="AL9" s="310"/>
      <c r="AM9" s="310"/>
      <c r="AN9" s="310">
        <f t="shared" si="11"/>
        <v>14843900</v>
      </c>
      <c r="AO9" s="310"/>
      <c r="AP9" s="310"/>
      <c r="AQ9" s="310"/>
      <c r="AR9" s="310">
        <v>14843900</v>
      </c>
      <c r="AS9" s="310">
        <f t="shared" si="12"/>
        <v>0</v>
      </c>
      <c r="AT9" s="310"/>
      <c r="AU9" s="310"/>
      <c r="AV9" s="310"/>
      <c r="AW9" s="310"/>
      <c r="AX9" s="310">
        <f t="shared" si="13"/>
        <v>0</v>
      </c>
      <c r="AY9" s="310"/>
      <c r="AZ9" s="310"/>
      <c r="BA9" s="310"/>
      <c r="BB9" s="310"/>
      <c r="BC9" s="310"/>
      <c r="BD9" s="310"/>
      <c r="BE9" s="312">
        <f>21009369.65-AH9</f>
        <v>6165469.65</v>
      </c>
      <c r="BF9" s="127" t="s">
        <v>56</v>
      </c>
      <c r="BG9" s="128" t="s">
        <v>57</v>
      </c>
      <c r="BH9" s="133"/>
    </row>
    <row r="10" s="270" customFormat="1" ht="15" hidden="1" spans="1:60">
      <c r="A10" s="301">
        <v>3</v>
      </c>
      <c r="B10" s="302" t="s">
        <v>19</v>
      </c>
      <c r="C10" s="302" t="s">
        <v>20</v>
      </c>
      <c r="D10" s="301">
        <v>2018</v>
      </c>
      <c r="E10" s="303" t="s">
        <v>58</v>
      </c>
      <c r="F10" s="301" t="s">
        <v>53</v>
      </c>
      <c r="G10" s="238" t="s">
        <v>56</v>
      </c>
      <c r="H10" s="304">
        <f t="shared" si="2"/>
        <v>361600</v>
      </c>
      <c r="I10" s="304">
        <f t="shared" si="3"/>
        <v>361600</v>
      </c>
      <c r="J10" s="304">
        <f t="shared" si="4"/>
        <v>0</v>
      </c>
      <c r="K10" s="304"/>
      <c r="L10" s="304"/>
      <c r="M10" s="304"/>
      <c r="N10" s="304"/>
      <c r="O10" s="304">
        <f t="shared" si="5"/>
        <v>361600</v>
      </c>
      <c r="P10" s="304"/>
      <c r="Q10" s="304"/>
      <c r="R10" s="304"/>
      <c r="S10" s="304">
        <v>361600</v>
      </c>
      <c r="T10" s="304">
        <f t="shared" si="6"/>
        <v>0</v>
      </c>
      <c r="U10" s="304"/>
      <c r="V10" s="304"/>
      <c r="W10" s="304"/>
      <c r="X10" s="304"/>
      <c r="Y10" s="304">
        <f t="shared" si="7"/>
        <v>0</v>
      </c>
      <c r="Z10" s="304"/>
      <c r="AA10" s="304"/>
      <c r="AB10" s="304"/>
      <c r="AC10" s="304"/>
      <c r="AD10" s="304"/>
      <c r="AE10" s="304"/>
      <c r="AF10" s="304"/>
      <c r="AG10" s="304">
        <f t="shared" si="8"/>
        <v>356668</v>
      </c>
      <c r="AH10" s="304">
        <f t="shared" si="9"/>
        <v>356668</v>
      </c>
      <c r="AI10" s="304">
        <f t="shared" si="10"/>
        <v>0</v>
      </c>
      <c r="AJ10" s="304"/>
      <c r="AK10" s="304"/>
      <c r="AL10" s="304"/>
      <c r="AM10" s="304"/>
      <c r="AN10" s="304">
        <f t="shared" si="11"/>
        <v>356668</v>
      </c>
      <c r="AO10" s="304"/>
      <c r="AP10" s="304"/>
      <c r="AQ10" s="304"/>
      <c r="AR10" s="304">
        <v>356668</v>
      </c>
      <c r="AS10" s="304">
        <f t="shared" si="12"/>
        <v>0</v>
      </c>
      <c r="AT10" s="304"/>
      <c r="AU10" s="304"/>
      <c r="AV10" s="304"/>
      <c r="AW10" s="304"/>
      <c r="AX10" s="304">
        <f t="shared" si="13"/>
        <v>0</v>
      </c>
      <c r="AY10" s="304"/>
      <c r="AZ10" s="304"/>
      <c r="BA10" s="304"/>
      <c r="BB10" s="304"/>
      <c r="BC10" s="304"/>
      <c r="BD10" s="304"/>
      <c r="BE10" s="305"/>
      <c r="BF10" s="238" t="s">
        <v>53</v>
      </c>
      <c r="BG10" s="263" t="s">
        <v>59</v>
      </c>
      <c r="BH10" s="306" t="s">
        <v>60</v>
      </c>
    </row>
    <row r="11" s="78" customFormat="1" ht="15" hidden="1" spans="1:60">
      <c r="A11" s="301">
        <v>4</v>
      </c>
      <c r="B11" s="307" t="s">
        <v>19</v>
      </c>
      <c r="C11" s="307" t="s">
        <v>20</v>
      </c>
      <c r="D11" s="308">
        <v>2018</v>
      </c>
      <c r="E11" s="313" t="s">
        <v>61</v>
      </c>
      <c r="F11" s="308" t="s">
        <v>53</v>
      </c>
      <c r="G11" s="127" t="s">
        <v>56</v>
      </c>
      <c r="H11" s="310">
        <f t="shared" si="2"/>
        <v>9922100</v>
      </c>
      <c r="I11" s="310">
        <f t="shared" si="3"/>
        <v>9922100</v>
      </c>
      <c r="J11" s="310">
        <f t="shared" si="4"/>
        <v>0</v>
      </c>
      <c r="K11" s="310"/>
      <c r="L11" s="310"/>
      <c r="M11" s="310"/>
      <c r="N11" s="310"/>
      <c r="O11" s="310">
        <f t="shared" si="5"/>
        <v>0</v>
      </c>
      <c r="P11" s="310"/>
      <c r="Q11" s="310"/>
      <c r="R11" s="310"/>
      <c r="S11" s="310"/>
      <c r="T11" s="310">
        <f t="shared" si="6"/>
        <v>0</v>
      </c>
      <c r="U11" s="310"/>
      <c r="V11" s="310"/>
      <c r="W11" s="310"/>
      <c r="X11" s="310"/>
      <c r="Y11" s="310">
        <f t="shared" si="7"/>
        <v>9922100</v>
      </c>
      <c r="Z11" s="310"/>
      <c r="AA11" s="310">
        <v>9922100</v>
      </c>
      <c r="AB11" s="310"/>
      <c r="AC11" s="310"/>
      <c r="AD11" s="310"/>
      <c r="AE11" s="310"/>
      <c r="AF11" s="310"/>
      <c r="AG11" s="310">
        <f t="shared" si="8"/>
        <v>9787823.48109535</v>
      </c>
      <c r="AH11" s="310">
        <f t="shared" si="9"/>
        <v>9787823.48109535</v>
      </c>
      <c r="AI11" s="310">
        <f t="shared" si="10"/>
        <v>0</v>
      </c>
      <c r="AJ11" s="310"/>
      <c r="AK11" s="310"/>
      <c r="AL11" s="310"/>
      <c r="AM11" s="310"/>
      <c r="AN11" s="310">
        <f t="shared" si="11"/>
        <v>0</v>
      </c>
      <c r="AO11" s="310"/>
      <c r="AP11" s="310"/>
      <c r="AQ11" s="310"/>
      <c r="AR11" s="314"/>
      <c r="AS11" s="310">
        <f t="shared" si="12"/>
        <v>0</v>
      </c>
      <c r="AT11" s="310"/>
      <c r="AU11" s="310"/>
      <c r="AV11" s="310"/>
      <c r="AW11" s="310"/>
      <c r="AX11" s="310">
        <f t="shared" si="13"/>
        <v>9787823.48109535</v>
      </c>
      <c r="AY11" s="310"/>
      <c r="AZ11" s="310">
        <v>9787823.48109535</v>
      </c>
      <c r="BA11" s="310"/>
      <c r="BB11" s="310"/>
      <c r="BC11" s="310"/>
      <c r="BD11" s="310"/>
      <c r="BE11" s="312"/>
      <c r="BF11" s="134" t="s">
        <v>56</v>
      </c>
      <c r="BG11" s="315" t="s">
        <v>62</v>
      </c>
      <c r="BH11" s="137" t="s">
        <v>63</v>
      </c>
    </row>
    <row r="12" s="270" customFormat="1" ht="15" hidden="1" spans="1:60">
      <c r="A12" s="301">
        <v>5</v>
      </c>
      <c r="B12" s="302" t="s">
        <v>19</v>
      </c>
      <c r="C12" s="302" t="s">
        <v>20</v>
      </c>
      <c r="D12" s="301">
        <v>2019</v>
      </c>
      <c r="E12" s="303" t="s">
        <v>64</v>
      </c>
      <c r="F12" s="301" t="s">
        <v>53</v>
      </c>
      <c r="G12" s="238" t="s">
        <v>53</v>
      </c>
      <c r="H12" s="304">
        <f t="shared" si="2"/>
        <v>24760000</v>
      </c>
      <c r="I12" s="304">
        <f t="shared" si="3"/>
        <v>24760000</v>
      </c>
      <c r="J12" s="304">
        <f t="shared" si="4"/>
        <v>0</v>
      </c>
      <c r="K12" s="304"/>
      <c r="L12" s="304"/>
      <c r="M12" s="304"/>
      <c r="N12" s="304"/>
      <c r="O12" s="304">
        <f t="shared" si="5"/>
        <v>24760000</v>
      </c>
      <c r="P12" s="304">
        <v>24760000</v>
      </c>
      <c r="Q12" s="304"/>
      <c r="R12" s="304"/>
      <c r="S12" s="304"/>
      <c r="T12" s="304">
        <f t="shared" si="6"/>
        <v>0</v>
      </c>
      <c r="U12" s="304"/>
      <c r="V12" s="304"/>
      <c r="W12" s="304"/>
      <c r="X12" s="304"/>
      <c r="Y12" s="304">
        <f t="shared" si="7"/>
        <v>0</v>
      </c>
      <c r="Z12" s="304"/>
      <c r="AA12" s="304"/>
      <c r="AB12" s="304"/>
      <c r="AC12" s="304"/>
      <c r="AD12" s="304"/>
      <c r="AE12" s="304"/>
      <c r="AF12" s="304"/>
      <c r="AG12" s="304">
        <f t="shared" si="8"/>
        <v>23047425.56</v>
      </c>
      <c r="AH12" s="304">
        <f t="shared" si="9"/>
        <v>23047425.56</v>
      </c>
      <c r="AI12" s="304">
        <f t="shared" si="10"/>
        <v>0</v>
      </c>
      <c r="AJ12" s="304"/>
      <c r="AK12" s="304"/>
      <c r="AL12" s="304"/>
      <c r="AM12" s="304"/>
      <c r="AN12" s="304">
        <f t="shared" si="11"/>
        <v>23047425.56</v>
      </c>
      <c r="AO12" s="304">
        <v>23047425.56</v>
      </c>
      <c r="AP12" s="304"/>
      <c r="AQ12" s="304"/>
      <c r="AR12" s="304"/>
      <c r="AS12" s="304">
        <f t="shared" si="12"/>
        <v>0</v>
      </c>
      <c r="AT12" s="304"/>
      <c r="AU12" s="304"/>
      <c r="AV12" s="304"/>
      <c r="AW12" s="304"/>
      <c r="AX12" s="304">
        <f t="shared" si="13"/>
        <v>0</v>
      </c>
      <c r="AY12" s="304"/>
      <c r="AZ12" s="304"/>
      <c r="BA12" s="304"/>
      <c r="BB12" s="304"/>
      <c r="BC12" s="304"/>
      <c r="BD12" s="304"/>
      <c r="BE12" s="305">
        <v>0</v>
      </c>
      <c r="BF12" s="238" t="s">
        <v>53</v>
      </c>
      <c r="BG12" s="263" t="s">
        <v>65</v>
      </c>
      <c r="BH12" s="306"/>
    </row>
    <row r="13" s="270" customFormat="1" ht="15" hidden="1" spans="1:60">
      <c r="A13" s="301">
        <v>6</v>
      </c>
      <c r="B13" s="302" t="s">
        <v>19</v>
      </c>
      <c r="C13" s="302" t="s">
        <v>20</v>
      </c>
      <c r="D13" s="301">
        <v>2019</v>
      </c>
      <c r="E13" s="303" t="s">
        <v>66</v>
      </c>
      <c r="F13" s="301" t="s">
        <v>53</v>
      </c>
      <c r="G13" s="238" t="s">
        <v>53</v>
      </c>
      <c r="H13" s="304">
        <f t="shared" si="2"/>
        <v>500000</v>
      </c>
      <c r="I13" s="304">
        <f t="shared" si="3"/>
        <v>500000</v>
      </c>
      <c r="J13" s="304">
        <f t="shared" si="4"/>
        <v>0</v>
      </c>
      <c r="K13" s="304"/>
      <c r="L13" s="304"/>
      <c r="M13" s="304"/>
      <c r="N13" s="304"/>
      <c r="O13" s="304">
        <f t="shared" si="5"/>
        <v>500000</v>
      </c>
      <c r="P13" s="304"/>
      <c r="Q13" s="304">
        <v>500000</v>
      </c>
      <c r="R13" s="304"/>
      <c r="S13" s="304"/>
      <c r="T13" s="304">
        <f t="shared" si="6"/>
        <v>0</v>
      </c>
      <c r="U13" s="304"/>
      <c r="V13" s="304"/>
      <c r="W13" s="304"/>
      <c r="X13" s="304"/>
      <c r="Y13" s="304">
        <f t="shared" si="7"/>
        <v>0</v>
      </c>
      <c r="Z13" s="304"/>
      <c r="AA13" s="304"/>
      <c r="AB13" s="304"/>
      <c r="AC13" s="304"/>
      <c r="AD13" s="304"/>
      <c r="AE13" s="304"/>
      <c r="AF13" s="304"/>
      <c r="AG13" s="304">
        <f t="shared" si="8"/>
        <v>500000</v>
      </c>
      <c r="AH13" s="304">
        <f t="shared" si="9"/>
        <v>500000</v>
      </c>
      <c r="AI13" s="304">
        <f t="shared" si="10"/>
        <v>0</v>
      </c>
      <c r="AJ13" s="304"/>
      <c r="AK13" s="304"/>
      <c r="AL13" s="304"/>
      <c r="AM13" s="304"/>
      <c r="AN13" s="304">
        <f t="shared" si="11"/>
        <v>500000</v>
      </c>
      <c r="AO13" s="304"/>
      <c r="AP13" s="304">
        <v>500000</v>
      </c>
      <c r="AQ13" s="304"/>
      <c r="AR13" s="304"/>
      <c r="AS13" s="304">
        <f t="shared" si="12"/>
        <v>0</v>
      </c>
      <c r="AT13" s="304"/>
      <c r="AU13" s="304"/>
      <c r="AV13" s="304"/>
      <c r="AW13" s="304"/>
      <c r="AX13" s="304">
        <f t="shared" si="13"/>
        <v>0</v>
      </c>
      <c r="AY13" s="304"/>
      <c r="AZ13" s="304"/>
      <c r="BA13" s="304"/>
      <c r="BB13" s="304"/>
      <c r="BC13" s="304"/>
      <c r="BD13" s="304"/>
      <c r="BE13" s="305">
        <v>0</v>
      </c>
      <c r="BF13" s="238" t="s">
        <v>53</v>
      </c>
      <c r="BG13" s="263" t="s">
        <v>54</v>
      </c>
      <c r="BH13" s="306" t="s">
        <v>67</v>
      </c>
    </row>
    <row r="14" s="270" customFormat="1" ht="15" hidden="1" spans="1:60">
      <c r="A14" s="301">
        <v>7</v>
      </c>
      <c r="B14" s="302" t="s">
        <v>19</v>
      </c>
      <c r="C14" s="302" t="s">
        <v>20</v>
      </c>
      <c r="D14" s="301">
        <v>2019</v>
      </c>
      <c r="E14" s="303" t="s">
        <v>68</v>
      </c>
      <c r="F14" s="301" t="s">
        <v>53</v>
      </c>
      <c r="G14" s="238" t="s">
        <v>53</v>
      </c>
      <c r="H14" s="304">
        <f t="shared" si="2"/>
        <v>500000</v>
      </c>
      <c r="I14" s="304">
        <f t="shared" si="3"/>
        <v>500000</v>
      </c>
      <c r="J14" s="304">
        <f t="shared" si="4"/>
        <v>0</v>
      </c>
      <c r="K14" s="304"/>
      <c r="L14" s="304"/>
      <c r="M14" s="304"/>
      <c r="N14" s="304"/>
      <c r="O14" s="304">
        <f t="shared" si="5"/>
        <v>500000</v>
      </c>
      <c r="P14" s="304"/>
      <c r="Q14" s="304">
        <v>500000</v>
      </c>
      <c r="R14" s="304"/>
      <c r="S14" s="304"/>
      <c r="T14" s="304">
        <f t="shared" si="6"/>
        <v>0</v>
      </c>
      <c r="U14" s="304"/>
      <c r="V14" s="304"/>
      <c r="W14" s="304"/>
      <c r="X14" s="304"/>
      <c r="Y14" s="304">
        <f t="shared" si="7"/>
        <v>0</v>
      </c>
      <c r="Z14" s="304"/>
      <c r="AA14" s="304"/>
      <c r="AB14" s="304"/>
      <c r="AC14" s="304"/>
      <c r="AD14" s="304"/>
      <c r="AE14" s="304"/>
      <c r="AF14" s="304"/>
      <c r="AG14" s="304">
        <f t="shared" si="8"/>
        <v>500000</v>
      </c>
      <c r="AH14" s="304">
        <f t="shared" si="9"/>
        <v>500000</v>
      </c>
      <c r="AI14" s="304">
        <f t="shared" si="10"/>
        <v>0</v>
      </c>
      <c r="AJ14" s="304"/>
      <c r="AK14" s="304"/>
      <c r="AL14" s="304"/>
      <c r="AM14" s="304"/>
      <c r="AN14" s="304">
        <f t="shared" si="11"/>
        <v>500000</v>
      </c>
      <c r="AO14" s="304"/>
      <c r="AP14" s="304">
        <v>500000</v>
      </c>
      <c r="AQ14" s="304"/>
      <c r="AR14" s="304"/>
      <c r="AS14" s="304">
        <f t="shared" si="12"/>
        <v>0</v>
      </c>
      <c r="AT14" s="304"/>
      <c r="AU14" s="304"/>
      <c r="AV14" s="304"/>
      <c r="AW14" s="304"/>
      <c r="AX14" s="304">
        <f t="shared" si="13"/>
        <v>0</v>
      </c>
      <c r="AY14" s="304"/>
      <c r="AZ14" s="304"/>
      <c r="BA14" s="304"/>
      <c r="BB14" s="304"/>
      <c r="BC14" s="304"/>
      <c r="BD14" s="304"/>
      <c r="BE14" s="305">
        <v>0</v>
      </c>
      <c r="BF14" s="238" t="s">
        <v>53</v>
      </c>
      <c r="BG14" s="263" t="s">
        <v>54</v>
      </c>
      <c r="BH14" s="306"/>
    </row>
    <row r="15" s="270" customFormat="1" ht="15" hidden="1" spans="1:60">
      <c r="A15" s="301">
        <v>8</v>
      </c>
      <c r="B15" s="302" t="s">
        <v>19</v>
      </c>
      <c r="C15" s="302" t="s">
        <v>20</v>
      </c>
      <c r="D15" s="301">
        <v>2019</v>
      </c>
      <c r="E15" s="303" t="s">
        <v>69</v>
      </c>
      <c r="F15" s="301" t="s">
        <v>53</v>
      </c>
      <c r="G15" s="238" t="s">
        <v>53</v>
      </c>
      <c r="H15" s="304">
        <f t="shared" si="2"/>
        <v>2500000</v>
      </c>
      <c r="I15" s="304">
        <f t="shared" si="3"/>
        <v>2500000</v>
      </c>
      <c r="J15" s="304">
        <f t="shared" si="4"/>
        <v>0</v>
      </c>
      <c r="K15" s="304"/>
      <c r="L15" s="304"/>
      <c r="M15" s="304"/>
      <c r="N15" s="304"/>
      <c r="O15" s="304">
        <f t="shared" si="5"/>
        <v>2500000</v>
      </c>
      <c r="P15" s="304">
        <v>1787800</v>
      </c>
      <c r="Q15" s="304">
        <v>712200</v>
      </c>
      <c r="R15" s="304"/>
      <c r="S15" s="304"/>
      <c r="T15" s="304">
        <f t="shared" si="6"/>
        <v>0</v>
      </c>
      <c r="U15" s="304"/>
      <c r="V15" s="304"/>
      <c r="W15" s="304"/>
      <c r="X15" s="304"/>
      <c r="Y15" s="304">
        <f t="shared" si="7"/>
        <v>0</v>
      </c>
      <c r="Z15" s="304"/>
      <c r="AA15" s="304"/>
      <c r="AB15" s="304"/>
      <c r="AC15" s="304"/>
      <c r="AD15" s="304"/>
      <c r="AE15" s="304"/>
      <c r="AF15" s="304"/>
      <c r="AG15" s="304">
        <f t="shared" si="8"/>
        <v>2399270.31</v>
      </c>
      <c r="AH15" s="304">
        <f t="shared" si="9"/>
        <v>2399270.31</v>
      </c>
      <c r="AI15" s="304">
        <f t="shared" si="10"/>
        <v>0</v>
      </c>
      <c r="AJ15" s="304"/>
      <c r="AK15" s="304"/>
      <c r="AL15" s="304"/>
      <c r="AM15" s="304"/>
      <c r="AN15" s="304">
        <f t="shared" si="11"/>
        <v>2399270.31</v>
      </c>
      <c r="AO15" s="304">
        <v>1687070.31</v>
      </c>
      <c r="AP15" s="304">
        <v>712200</v>
      </c>
      <c r="AQ15" s="304"/>
      <c r="AR15" s="304"/>
      <c r="AS15" s="304">
        <f t="shared" si="12"/>
        <v>0</v>
      </c>
      <c r="AT15" s="304"/>
      <c r="AU15" s="304"/>
      <c r="AV15" s="304"/>
      <c r="AW15" s="304"/>
      <c r="AX15" s="304">
        <f t="shared" si="13"/>
        <v>0</v>
      </c>
      <c r="AY15" s="304"/>
      <c r="AZ15" s="304"/>
      <c r="BA15" s="304"/>
      <c r="BB15" s="304"/>
      <c r="BC15" s="304"/>
      <c r="BD15" s="304"/>
      <c r="BE15" s="305">
        <v>0</v>
      </c>
      <c r="BF15" s="238" t="s">
        <v>53</v>
      </c>
      <c r="BG15" s="263" t="s">
        <v>70</v>
      </c>
      <c r="BH15" s="306"/>
    </row>
    <row r="16" s="270" customFormat="1" ht="15" hidden="1" spans="1:60">
      <c r="A16" s="301">
        <v>9</v>
      </c>
      <c r="B16" s="302" t="s">
        <v>19</v>
      </c>
      <c r="C16" s="302" t="s">
        <v>20</v>
      </c>
      <c r="D16" s="301">
        <v>2019</v>
      </c>
      <c r="E16" s="303" t="s">
        <v>71</v>
      </c>
      <c r="F16" s="301" t="s">
        <v>53</v>
      </c>
      <c r="G16" s="238" t="s">
        <v>56</v>
      </c>
      <c r="H16" s="304">
        <f t="shared" si="2"/>
        <v>731100</v>
      </c>
      <c r="I16" s="304">
        <f t="shared" si="3"/>
        <v>731100</v>
      </c>
      <c r="J16" s="304">
        <f t="shared" si="4"/>
        <v>0</v>
      </c>
      <c r="K16" s="304"/>
      <c r="L16" s="304"/>
      <c r="M16" s="304"/>
      <c r="N16" s="304"/>
      <c r="O16" s="304">
        <f t="shared" si="5"/>
        <v>731100</v>
      </c>
      <c r="P16" s="304"/>
      <c r="Q16" s="304"/>
      <c r="R16" s="304"/>
      <c r="S16" s="304">
        <v>731100</v>
      </c>
      <c r="T16" s="304">
        <f t="shared" si="6"/>
        <v>0</v>
      </c>
      <c r="U16" s="304"/>
      <c r="V16" s="304"/>
      <c r="W16" s="304"/>
      <c r="X16" s="304"/>
      <c r="Y16" s="304">
        <f t="shared" si="7"/>
        <v>0</v>
      </c>
      <c r="Z16" s="304"/>
      <c r="AA16" s="304"/>
      <c r="AB16" s="304"/>
      <c r="AC16" s="304"/>
      <c r="AD16" s="304"/>
      <c r="AE16" s="304"/>
      <c r="AF16" s="304"/>
      <c r="AG16" s="304">
        <f t="shared" si="8"/>
        <v>695200</v>
      </c>
      <c r="AH16" s="304">
        <f t="shared" si="9"/>
        <v>695200</v>
      </c>
      <c r="AI16" s="304">
        <f t="shared" si="10"/>
        <v>0</v>
      </c>
      <c r="AJ16" s="304"/>
      <c r="AK16" s="304"/>
      <c r="AL16" s="304"/>
      <c r="AM16" s="304"/>
      <c r="AN16" s="304">
        <f t="shared" si="11"/>
        <v>695200</v>
      </c>
      <c r="AO16" s="304"/>
      <c r="AP16" s="304"/>
      <c r="AQ16" s="304"/>
      <c r="AR16" s="304">
        <v>695200</v>
      </c>
      <c r="AS16" s="304">
        <f t="shared" si="12"/>
        <v>0</v>
      </c>
      <c r="AT16" s="304"/>
      <c r="AU16" s="304"/>
      <c r="AV16" s="304"/>
      <c r="AW16" s="304"/>
      <c r="AX16" s="304">
        <f t="shared" si="13"/>
        <v>0</v>
      </c>
      <c r="AY16" s="304"/>
      <c r="AZ16" s="304"/>
      <c r="BA16" s="304"/>
      <c r="BB16" s="304"/>
      <c r="BC16" s="304"/>
      <c r="BD16" s="304"/>
      <c r="BE16" s="305"/>
      <c r="BF16" s="238" t="s">
        <v>53</v>
      </c>
      <c r="BG16" s="263" t="s">
        <v>72</v>
      </c>
      <c r="BH16" s="306" t="s">
        <v>73</v>
      </c>
    </row>
    <row r="17" s="270" customFormat="1" ht="15" hidden="1" spans="1:60">
      <c r="A17" s="301">
        <v>10</v>
      </c>
      <c r="B17" s="302" t="s">
        <v>19</v>
      </c>
      <c r="C17" s="302" t="s">
        <v>20</v>
      </c>
      <c r="D17" s="301">
        <v>2019</v>
      </c>
      <c r="E17" s="303" t="s">
        <v>74</v>
      </c>
      <c r="F17" s="301" t="s">
        <v>53</v>
      </c>
      <c r="G17" s="238" t="s">
        <v>56</v>
      </c>
      <c r="H17" s="304">
        <f t="shared" si="2"/>
        <v>203500</v>
      </c>
      <c r="I17" s="304">
        <f t="shared" si="3"/>
        <v>203500</v>
      </c>
      <c r="J17" s="304">
        <f t="shared" si="4"/>
        <v>0</v>
      </c>
      <c r="K17" s="304"/>
      <c r="L17" s="304"/>
      <c r="M17" s="304"/>
      <c r="N17" s="304"/>
      <c r="O17" s="304">
        <f t="shared" si="5"/>
        <v>203500</v>
      </c>
      <c r="P17" s="304"/>
      <c r="Q17" s="304"/>
      <c r="R17" s="304"/>
      <c r="S17" s="304">
        <v>203500</v>
      </c>
      <c r="T17" s="304">
        <f t="shared" si="6"/>
        <v>0</v>
      </c>
      <c r="U17" s="304"/>
      <c r="V17" s="304"/>
      <c r="W17" s="304"/>
      <c r="X17" s="304"/>
      <c r="Y17" s="304">
        <f t="shared" si="7"/>
        <v>0</v>
      </c>
      <c r="Z17" s="304"/>
      <c r="AA17" s="304"/>
      <c r="AB17" s="304"/>
      <c r="AC17" s="304"/>
      <c r="AD17" s="304"/>
      <c r="AE17" s="304"/>
      <c r="AF17" s="304"/>
      <c r="AG17" s="304">
        <f t="shared" si="8"/>
        <v>193600</v>
      </c>
      <c r="AH17" s="304">
        <f t="shared" si="9"/>
        <v>193600</v>
      </c>
      <c r="AI17" s="304">
        <f t="shared" si="10"/>
        <v>0</v>
      </c>
      <c r="AJ17" s="304"/>
      <c r="AK17" s="304"/>
      <c r="AL17" s="304"/>
      <c r="AM17" s="304"/>
      <c r="AN17" s="304">
        <f t="shared" si="11"/>
        <v>193600</v>
      </c>
      <c r="AO17" s="304"/>
      <c r="AP17" s="304"/>
      <c r="AQ17" s="304"/>
      <c r="AR17" s="304">
        <v>193600</v>
      </c>
      <c r="AS17" s="304">
        <f t="shared" si="12"/>
        <v>0</v>
      </c>
      <c r="AT17" s="304"/>
      <c r="AU17" s="304"/>
      <c r="AV17" s="304"/>
      <c r="AW17" s="304"/>
      <c r="AX17" s="304">
        <f t="shared" si="13"/>
        <v>0</v>
      </c>
      <c r="AY17" s="304"/>
      <c r="AZ17" s="304"/>
      <c r="BA17" s="304"/>
      <c r="BB17" s="304"/>
      <c r="BC17" s="304"/>
      <c r="BD17" s="304"/>
      <c r="BE17" s="305"/>
      <c r="BF17" s="238" t="s">
        <v>53</v>
      </c>
      <c r="BG17" s="263" t="s">
        <v>75</v>
      </c>
      <c r="BH17" s="306" t="s">
        <v>76</v>
      </c>
    </row>
    <row r="18" s="270" customFormat="1" ht="28" hidden="1" spans="1:60">
      <c r="A18" s="301">
        <v>11</v>
      </c>
      <c r="B18" s="302" t="s">
        <v>19</v>
      </c>
      <c r="C18" s="302" t="s">
        <v>20</v>
      </c>
      <c r="D18" s="301">
        <v>2019</v>
      </c>
      <c r="E18" s="303" t="s">
        <v>77</v>
      </c>
      <c r="F18" s="301" t="s">
        <v>53</v>
      </c>
      <c r="G18" s="238" t="s">
        <v>56</v>
      </c>
      <c r="H18" s="304">
        <f t="shared" si="2"/>
        <v>11760200</v>
      </c>
      <c r="I18" s="304">
        <f t="shared" si="3"/>
        <v>11760200</v>
      </c>
      <c r="J18" s="304">
        <f t="shared" si="4"/>
        <v>0</v>
      </c>
      <c r="K18" s="304"/>
      <c r="L18" s="304"/>
      <c r="M18" s="304"/>
      <c r="N18" s="304"/>
      <c r="O18" s="304">
        <f t="shared" si="5"/>
        <v>11760200</v>
      </c>
      <c r="P18" s="304">
        <v>7063200</v>
      </c>
      <c r="Q18" s="304">
        <v>4697000</v>
      </c>
      <c r="R18" s="304"/>
      <c r="S18" s="304"/>
      <c r="T18" s="304">
        <f t="shared" si="6"/>
        <v>0</v>
      </c>
      <c r="U18" s="304"/>
      <c r="V18" s="304"/>
      <c r="W18" s="304"/>
      <c r="X18" s="304"/>
      <c r="Y18" s="304">
        <f t="shared" si="7"/>
        <v>0</v>
      </c>
      <c r="Z18" s="304"/>
      <c r="AA18" s="304"/>
      <c r="AB18" s="304"/>
      <c r="AC18" s="304"/>
      <c r="AD18" s="304"/>
      <c r="AE18" s="304"/>
      <c r="AF18" s="304"/>
      <c r="AG18" s="304">
        <f t="shared" si="8"/>
        <v>11541051.5</v>
      </c>
      <c r="AH18" s="304">
        <f t="shared" si="9"/>
        <v>11541051.5</v>
      </c>
      <c r="AI18" s="304">
        <f t="shared" si="10"/>
        <v>0</v>
      </c>
      <c r="AJ18" s="304"/>
      <c r="AK18" s="304"/>
      <c r="AL18" s="304"/>
      <c r="AM18" s="304"/>
      <c r="AN18" s="304">
        <f t="shared" si="11"/>
        <v>11541051.5</v>
      </c>
      <c r="AO18" s="304">
        <v>7063200</v>
      </c>
      <c r="AP18" s="304">
        <v>4477851.5</v>
      </c>
      <c r="AQ18" s="304"/>
      <c r="AR18" s="304"/>
      <c r="AS18" s="304">
        <f t="shared" si="12"/>
        <v>0</v>
      </c>
      <c r="AT18" s="304"/>
      <c r="AU18" s="304"/>
      <c r="AV18" s="304"/>
      <c r="AW18" s="304"/>
      <c r="AX18" s="304">
        <f t="shared" si="13"/>
        <v>0</v>
      </c>
      <c r="AY18" s="304"/>
      <c r="AZ18" s="304"/>
      <c r="BA18" s="304"/>
      <c r="BB18" s="304"/>
      <c r="BC18" s="304"/>
      <c r="BD18" s="304"/>
      <c r="BE18" s="305"/>
      <c r="BF18" s="238" t="s">
        <v>53</v>
      </c>
      <c r="BG18" s="263" t="s">
        <v>78</v>
      </c>
      <c r="BH18" s="306" t="s">
        <v>79</v>
      </c>
    </row>
    <row r="19" s="270" customFormat="1" ht="15" hidden="1" spans="1:60">
      <c r="A19" s="301">
        <v>12</v>
      </c>
      <c r="B19" s="302" t="s">
        <v>19</v>
      </c>
      <c r="C19" s="302" t="s">
        <v>20</v>
      </c>
      <c r="D19" s="301">
        <v>2019</v>
      </c>
      <c r="E19" s="303" t="s">
        <v>80</v>
      </c>
      <c r="F19" s="301" t="s">
        <v>53</v>
      </c>
      <c r="G19" s="238" t="s">
        <v>56</v>
      </c>
      <c r="H19" s="304">
        <f t="shared" si="2"/>
        <v>1039200</v>
      </c>
      <c r="I19" s="304">
        <f t="shared" si="3"/>
        <v>1039200</v>
      </c>
      <c r="J19" s="304">
        <f t="shared" si="4"/>
        <v>0</v>
      </c>
      <c r="K19" s="304"/>
      <c r="L19" s="304"/>
      <c r="M19" s="304"/>
      <c r="N19" s="304"/>
      <c r="O19" s="304">
        <f t="shared" si="5"/>
        <v>1039200</v>
      </c>
      <c r="P19" s="304"/>
      <c r="Q19" s="304"/>
      <c r="R19" s="304"/>
      <c r="S19" s="304">
        <v>1039200</v>
      </c>
      <c r="T19" s="304">
        <f t="shared" si="6"/>
        <v>0</v>
      </c>
      <c r="U19" s="304"/>
      <c r="V19" s="304"/>
      <c r="W19" s="304"/>
      <c r="X19" s="304"/>
      <c r="Y19" s="304">
        <f t="shared" si="7"/>
        <v>0</v>
      </c>
      <c r="Z19" s="304"/>
      <c r="AA19" s="304"/>
      <c r="AB19" s="304"/>
      <c r="AC19" s="304"/>
      <c r="AD19" s="304"/>
      <c r="AE19" s="304"/>
      <c r="AF19" s="304"/>
      <c r="AG19" s="304">
        <f t="shared" si="8"/>
        <v>970801.92</v>
      </c>
      <c r="AH19" s="304">
        <f t="shared" si="9"/>
        <v>970801.92</v>
      </c>
      <c r="AI19" s="304">
        <f t="shared" si="10"/>
        <v>0</v>
      </c>
      <c r="AJ19" s="304"/>
      <c r="AK19" s="304"/>
      <c r="AL19" s="304"/>
      <c r="AM19" s="304"/>
      <c r="AN19" s="304">
        <f t="shared" si="11"/>
        <v>970801.92</v>
      </c>
      <c r="AO19" s="304"/>
      <c r="AP19" s="304"/>
      <c r="AQ19" s="304"/>
      <c r="AR19" s="304">
        <v>970801.92</v>
      </c>
      <c r="AS19" s="304">
        <f t="shared" si="12"/>
        <v>0</v>
      </c>
      <c r="AT19" s="304"/>
      <c r="AU19" s="304"/>
      <c r="AV19" s="304"/>
      <c r="AW19" s="304"/>
      <c r="AX19" s="304">
        <f t="shared" si="13"/>
        <v>0</v>
      </c>
      <c r="AY19" s="304"/>
      <c r="AZ19" s="304"/>
      <c r="BA19" s="304"/>
      <c r="BB19" s="304"/>
      <c r="BC19" s="304"/>
      <c r="BD19" s="304"/>
      <c r="BE19" s="305"/>
      <c r="BF19" s="238" t="s">
        <v>53</v>
      </c>
      <c r="BG19" s="263" t="s">
        <v>81</v>
      </c>
      <c r="BH19" s="306" t="s">
        <v>82</v>
      </c>
    </row>
    <row r="20" s="270" customFormat="1" ht="15" hidden="1" spans="1:60">
      <c r="A20" s="301">
        <v>13</v>
      </c>
      <c r="B20" s="302" t="s">
        <v>19</v>
      </c>
      <c r="C20" s="302" t="s">
        <v>20</v>
      </c>
      <c r="D20" s="301">
        <v>2019</v>
      </c>
      <c r="E20" s="303" t="s">
        <v>83</v>
      </c>
      <c r="F20" s="301" t="s">
        <v>53</v>
      </c>
      <c r="G20" s="238" t="s">
        <v>56</v>
      </c>
      <c r="H20" s="304">
        <f t="shared" si="2"/>
        <v>125700</v>
      </c>
      <c r="I20" s="304">
        <f t="shared" si="3"/>
        <v>125700</v>
      </c>
      <c r="J20" s="304">
        <f t="shared" si="4"/>
        <v>0</v>
      </c>
      <c r="K20" s="304"/>
      <c r="L20" s="304"/>
      <c r="M20" s="304"/>
      <c r="N20" s="304"/>
      <c r="O20" s="304">
        <f t="shared" si="5"/>
        <v>125700</v>
      </c>
      <c r="P20" s="304"/>
      <c r="Q20" s="304"/>
      <c r="R20" s="304"/>
      <c r="S20" s="304">
        <v>125700</v>
      </c>
      <c r="T20" s="304">
        <f t="shared" si="6"/>
        <v>0</v>
      </c>
      <c r="U20" s="304"/>
      <c r="V20" s="304"/>
      <c r="W20" s="304"/>
      <c r="X20" s="304"/>
      <c r="Y20" s="304">
        <f t="shared" si="7"/>
        <v>0</v>
      </c>
      <c r="Z20" s="304"/>
      <c r="AA20" s="304"/>
      <c r="AB20" s="304"/>
      <c r="AC20" s="304"/>
      <c r="AD20" s="304"/>
      <c r="AE20" s="304"/>
      <c r="AF20" s="304"/>
      <c r="AG20" s="304">
        <f t="shared" si="8"/>
        <v>119600</v>
      </c>
      <c r="AH20" s="304">
        <f t="shared" si="9"/>
        <v>119600</v>
      </c>
      <c r="AI20" s="304">
        <f t="shared" si="10"/>
        <v>0</v>
      </c>
      <c r="AJ20" s="304"/>
      <c r="AK20" s="304"/>
      <c r="AL20" s="304"/>
      <c r="AM20" s="304"/>
      <c r="AN20" s="304">
        <f t="shared" si="11"/>
        <v>119600</v>
      </c>
      <c r="AO20" s="304"/>
      <c r="AP20" s="304"/>
      <c r="AQ20" s="304"/>
      <c r="AR20" s="304">
        <v>119600</v>
      </c>
      <c r="AS20" s="304">
        <f t="shared" si="12"/>
        <v>0</v>
      </c>
      <c r="AT20" s="304"/>
      <c r="AU20" s="304"/>
      <c r="AV20" s="304"/>
      <c r="AW20" s="304"/>
      <c r="AX20" s="304">
        <f t="shared" si="13"/>
        <v>0</v>
      </c>
      <c r="AY20" s="304"/>
      <c r="AZ20" s="304"/>
      <c r="BA20" s="304"/>
      <c r="BB20" s="304"/>
      <c r="BC20" s="304"/>
      <c r="BD20" s="304"/>
      <c r="BE20" s="305"/>
      <c r="BF20" s="238" t="s">
        <v>53</v>
      </c>
      <c r="BG20" s="263" t="s">
        <v>84</v>
      </c>
      <c r="BH20" s="306" t="s">
        <v>82</v>
      </c>
    </row>
    <row r="21" s="270" customFormat="1" ht="15" hidden="1" spans="1:60">
      <c r="A21" s="301">
        <v>14</v>
      </c>
      <c r="B21" s="302" t="s">
        <v>19</v>
      </c>
      <c r="C21" s="302" t="s">
        <v>20</v>
      </c>
      <c r="D21" s="301">
        <v>2019</v>
      </c>
      <c r="E21" s="303" t="s">
        <v>85</v>
      </c>
      <c r="F21" s="301" t="s">
        <v>53</v>
      </c>
      <c r="G21" s="238" t="s">
        <v>56</v>
      </c>
      <c r="H21" s="304">
        <f t="shared" si="2"/>
        <v>475000</v>
      </c>
      <c r="I21" s="304">
        <f t="shared" si="3"/>
        <v>475000</v>
      </c>
      <c r="J21" s="304">
        <f t="shared" si="4"/>
        <v>0</v>
      </c>
      <c r="K21" s="304"/>
      <c r="L21" s="304"/>
      <c r="M21" s="304"/>
      <c r="N21" s="304"/>
      <c r="O21" s="304">
        <f t="shared" si="5"/>
        <v>475000</v>
      </c>
      <c r="P21" s="304">
        <v>129695</v>
      </c>
      <c r="Q21" s="304"/>
      <c r="R21" s="304"/>
      <c r="S21" s="304">
        <v>345305</v>
      </c>
      <c r="T21" s="304">
        <f t="shared" si="6"/>
        <v>0</v>
      </c>
      <c r="U21" s="304"/>
      <c r="V21" s="304"/>
      <c r="W21" s="304"/>
      <c r="X21" s="304"/>
      <c r="Y21" s="304">
        <f t="shared" si="7"/>
        <v>0</v>
      </c>
      <c r="Z21" s="304"/>
      <c r="AA21" s="304"/>
      <c r="AB21" s="304"/>
      <c r="AC21" s="304"/>
      <c r="AD21" s="304"/>
      <c r="AE21" s="304"/>
      <c r="AF21" s="304"/>
      <c r="AG21" s="304">
        <f t="shared" si="8"/>
        <v>451700</v>
      </c>
      <c r="AH21" s="304">
        <f t="shared" si="9"/>
        <v>451700</v>
      </c>
      <c r="AI21" s="304">
        <f t="shared" si="10"/>
        <v>0</v>
      </c>
      <c r="AJ21" s="304"/>
      <c r="AK21" s="304"/>
      <c r="AL21" s="304"/>
      <c r="AM21" s="304"/>
      <c r="AN21" s="304">
        <f t="shared" si="11"/>
        <v>451700</v>
      </c>
      <c r="AO21" s="304">
        <v>129695</v>
      </c>
      <c r="AP21" s="304"/>
      <c r="AQ21" s="304"/>
      <c r="AR21" s="304">
        <v>322005</v>
      </c>
      <c r="AS21" s="304">
        <f t="shared" si="12"/>
        <v>0</v>
      </c>
      <c r="AT21" s="304"/>
      <c r="AU21" s="304"/>
      <c r="AV21" s="304"/>
      <c r="AW21" s="304"/>
      <c r="AX21" s="304">
        <f t="shared" si="13"/>
        <v>0</v>
      </c>
      <c r="AY21" s="304"/>
      <c r="AZ21" s="304"/>
      <c r="BA21" s="304"/>
      <c r="BB21" s="304"/>
      <c r="BC21" s="304"/>
      <c r="BD21" s="304"/>
      <c r="BE21" s="305"/>
      <c r="BF21" s="238" t="s">
        <v>53</v>
      </c>
      <c r="BG21" s="263" t="s">
        <v>86</v>
      </c>
      <c r="BH21" s="306" t="s">
        <v>82</v>
      </c>
    </row>
    <row r="22" s="270" customFormat="1" ht="15" hidden="1" spans="1:60">
      <c r="A22" s="301">
        <v>15</v>
      </c>
      <c r="B22" s="302" t="s">
        <v>19</v>
      </c>
      <c r="C22" s="302" t="s">
        <v>20</v>
      </c>
      <c r="D22" s="301">
        <v>2019</v>
      </c>
      <c r="E22" s="303" t="s">
        <v>87</v>
      </c>
      <c r="F22" s="301" t="s">
        <v>53</v>
      </c>
      <c r="G22" s="238" t="s">
        <v>56</v>
      </c>
      <c r="H22" s="304">
        <f t="shared" si="2"/>
        <v>1046000</v>
      </c>
      <c r="I22" s="304">
        <f t="shared" si="3"/>
        <v>1046000</v>
      </c>
      <c r="J22" s="304">
        <f t="shared" si="4"/>
        <v>0</v>
      </c>
      <c r="K22" s="304"/>
      <c r="L22" s="304"/>
      <c r="M22" s="304"/>
      <c r="N22" s="304"/>
      <c r="O22" s="304">
        <f t="shared" si="5"/>
        <v>1046000</v>
      </c>
      <c r="P22" s="304">
        <v>1046000</v>
      </c>
      <c r="Q22" s="304"/>
      <c r="R22" s="304"/>
      <c r="S22" s="304"/>
      <c r="T22" s="304">
        <f t="shared" si="6"/>
        <v>0</v>
      </c>
      <c r="U22" s="304"/>
      <c r="V22" s="304"/>
      <c r="W22" s="304"/>
      <c r="X22" s="304"/>
      <c r="Y22" s="304">
        <f t="shared" si="7"/>
        <v>0</v>
      </c>
      <c r="Z22" s="304"/>
      <c r="AA22" s="304"/>
      <c r="AB22" s="304"/>
      <c r="AC22" s="304"/>
      <c r="AD22" s="304"/>
      <c r="AE22" s="304"/>
      <c r="AF22" s="304"/>
      <c r="AG22" s="304">
        <f t="shared" si="8"/>
        <v>950604.85</v>
      </c>
      <c r="AH22" s="304">
        <f t="shared" si="9"/>
        <v>950604.85</v>
      </c>
      <c r="AI22" s="304">
        <f t="shared" si="10"/>
        <v>0</v>
      </c>
      <c r="AJ22" s="304"/>
      <c r="AK22" s="304"/>
      <c r="AL22" s="304"/>
      <c r="AM22" s="304"/>
      <c r="AN22" s="304">
        <f t="shared" si="11"/>
        <v>950604.85</v>
      </c>
      <c r="AO22" s="304">
        <v>950604.85</v>
      </c>
      <c r="AP22" s="304"/>
      <c r="AQ22" s="304"/>
      <c r="AR22" s="304"/>
      <c r="AS22" s="304">
        <f t="shared" si="12"/>
        <v>0</v>
      </c>
      <c r="AT22" s="304"/>
      <c r="AU22" s="304"/>
      <c r="AV22" s="304"/>
      <c r="AW22" s="304"/>
      <c r="AX22" s="304">
        <f t="shared" si="13"/>
        <v>0</v>
      </c>
      <c r="AY22" s="304"/>
      <c r="AZ22" s="304"/>
      <c r="BA22" s="304"/>
      <c r="BB22" s="304"/>
      <c r="BC22" s="304"/>
      <c r="BD22" s="304"/>
      <c r="BE22" s="305"/>
      <c r="BF22" s="238" t="s">
        <v>53</v>
      </c>
      <c r="BG22" s="263" t="s">
        <v>70</v>
      </c>
      <c r="BH22" s="306"/>
    </row>
    <row r="23" s="270" customFormat="1" ht="15" hidden="1" spans="1:60">
      <c r="A23" s="301">
        <v>16</v>
      </c>
      <c r="B23" s="302" t="s">
        <v>19</v>
      </c>
      <c r="C23" s="302" t="s">
        <v>20</v>
      </c>
      <c r="D23" s="301">
        <v>2019</v>
      </c>
      <c r="E23" s="303" t="s">
        <v>88</v>
      </c>
      <c r="F23" s="301" t="s">
        <v>53</v>
      </c>
      <c r="G23" s="238" t="s">
        <v>56</v>
      </c>
      <c r="H23" s="304">
        <f t="shared" si="2"/>
        <v>1757800</v>
      </c>
      <c r="I23" s="304">
        <f t="shared" si="3"/>
        <v>1757800</v>
      </c>
      <c r="J23" s="304">
        <f t="shared" si="4"/>
        <v>0</v>
      </c>
      <c r="K23" s="304"/>
      <c r="L23" s="304"/>
      <c r="M23" s="304"/>
      <c r="N23" s="304"/>
      <c r="O23" s="304">
        <f t="shared" si="5"/>
        <v>1757800</v>
      </c>
      <c r="P23" s="304">
        <v>57730</v>
      </c>
      <c r="Q23" s="304"/>
      <c r="R23" s="304"/>
      <c r="S23" s="304">
        <v>1700070</v>
      </c>
      <c r="T23" s="304">
        <f t="shared" si="6"/>
        <v>0</v>
      </c>
      <c r="U23" s="304"/>
      <c r="V23" s="304"/>
      <c r="W23" s="304"/>
      <c r="X23" s="304"/>
      <c r="Y23" s="304">
        <f t="shared" si="7"/>
        <v>0</v>
      </c>
      <c r="Z23" s="304"/>
      <c r="AA23" s="304"/>
      <c r="AB23" s="304"/>
      <c r="AC23" s="304"/>
      <c r="AD23" s="304"/>
      <c r="AE23" s="304"/>
      <c r="AF23" s="304"/>
      <c r="AG23" s="304">
        <f t="shared" si="8"/>
        <v>1652598.66</v>
      </c>
      <c r="AH23" s="304">
        <f t="shared" si="9"/>
        <v>1652598.66</v>
      </c>
      <c r="AI23" s="304">
        <f t="shared" si="10"/>
        <v>0</v>
      </c>
      <c r="AJ23" s="304"/>
      <c r="AK23" s="304"/>
      <c r="AL23" s="304"/>
      <c r="AM23" s="304"/>
      <c r="AN23" s="304">
        <f t="shared" si="11"/>
        <v>1652598.66</v>
      </c>
      <c r="AO23" s="304">
        <v>57730</v>
      </c>
      <c r="AP23" s="304"/>
      <c r="AQ23" s="304"/>
      <c r="AR23" s="304">
        <v>1594868.66</v>
      </c>
      <c r="AS23" s="304">
        <f t="shared" si="12"/>
        <v>0</v>
      </c>
      <c r="AT23" s="304"/>
      <c r="AU23" s="304"/>
      <c r="AV23" s="304"/>
      <c r="AW23" s="304"/>
      <c r="AX23" s="304">
        <f t="shared" si="13"/>
        <v>0</v>
      </c>
      <c r="AY23" s="304"/>
      <c r="AZ23" s="304"/>
      <c r="BA23" s="304"/>
      <c r="BB23" s="304"/>
      <c r="BC23" s="304"/>
      <c r="BD23" s="304"/>
      <c r="BE23" s="305"/>
      <c r="BF23" s="238" t="s">
        <v>53</v>
      </c>
      <c r="BG23" s="263" t="s">
        <v>70</v>
      </c>
      <c r="BH23" s="306" t="s">
        <v>82</v>
      </c>
    </row>
    <row r="24" s="270" customFormat="1" ht="15" hidden="1" spans="1:60">
      <c r="A24" s="301">
        <v>17</v>
      </c>
      <c r="B24" s="302" t="s">
        <v>19</v>
      </c>
      <c r="C24" s="302" t="s">
        <v>20</v>
      </c>
      <c r="D24" s="301">
        <v>2019</v>
      </c>
      <c r="E24" s="303" t="s">
        <v>89</v>
      </c>
      <c r="F24" s="301" t="s">
        <v>53</v>
      </c>
      <c r="G24" s="238" t="s">
        <v>56</v>
      </c>
      <c r="H24" s="304">
        <f t="shared" si="2"/>
        <v>653000</v>
      </c>
      <c r="I24" s="304">
        <f t="shared" si="3"/>
        <v>653000</v>
      </c>
      <c r="J24" s="304">
        <f t="shared" si="4"/>
        <v>0</v>
      </c>
      <c r="K24" s="304"/>
      <c r="L24" s="304"/>
      <c r="M24" s="304"/>
      <c r="N24" s="304"/>
      <c r="O24" s="304">
        <f t="shared" si="5"/>
        <v>653000</v>
      </c>
      <c r="P24" s="304">
        <v>653000</v>
      </c>
      <c r="Q24" s="304"/>
      <c r="R24" s="304"/>
      <c r="S24" s="304"/>
      <c r="T24" s="304">
        <f t="shared" si="6"/>
        <v>0</v>
      </c>
      <c r="U24" s="304"/>
      <c r="V24" s="304"/>
      <c r="W24" s="304"/>
      <c r="X24" s="304"/>
      <c r="Y24" s="304">
        <f t="shared" si="7"/>
        <v>0</v>
      </c>
      <c r="Z24" s="304"/>
      <c r="AA24" s="304"/>
      <c r="AB24" s="304"/>
      <c r="AC24" s="304"/>
      <c r="AD24" s="304"/>
      <c r="AE24" s="304"/>
      <c r="AF24" s="304"/>
      <c r="AG24" s="304">
        <f t="shared" si="8"/>
        <v>617709.05</v>
      </c>
      <c r="AH24" s="304">
        <f t="shared" si="9"/>
        <v>617709.05</v>
      </c>
      <c r="AI24" s="304">
        <f t="shared" si="10"/>
        <v>0</v>
      </c>
      <c r="AJ24" s="304"/>
      <c r="AK24" s="304"/>
      <c r="AL24" s="304"/>
      <c r="AM24" s="304"/>
      <c r="AN24" s="304">
        <f t="shared" si="11"/>
        <v>617709.05</v>
      </c>
      <c r="AO24" s="304">
        <v>617709.05</v>
      </c>
      <c r="AP24" s="304"/>
      <c r="AQ24" s="304"/>
      <c r="AR24" s="304"/>
      <c r="AS24" s="304">
        <f t="shared" si="12"/>
        <v>0</v>
      </c>
      <c r="AT24" s="304"/>
      <c r="AU24" s="304"/>
      <c r="AV24" s="304"/>
      <c r="AW24" s="304"/>
      <c r="AX24" s="304">
        <f t="shared" si="13"/>
        <v>0</v>
      </c>
      <c r="AY24" s="304"/>
      <c r="AZ24" s="304"/>
      <c r="BA24" s="304"/>
      <c r="BB24" s="304"/>
      <c r="BC24" s="304"/>
      <c r="BD24" s="304"/>
      <c r="BE24" s="305"/>
      <c r="BF24" s="238" t="s">
        <v>53</v>
      </c>
      <c r="BG24" s="263" t="s">
        <v>70</v>
      </c>
      <c r="BH24" s="306" t="s">
        <v>90</v>
      </c>
    </row>
    <row r="25" s="270" customFormat="1" ht="15" hidden="1" spans="1:60">
      <c r="A25" s="301">
        <v>18</v>
      </c>
      <c r="B25" s="302" t="s">
        <v>19</v>
      </c>
      <c r="C25" s="302" t="s">
        <v>20</v>
      </c>
      <c r="D25" s="301">
        <v>2019</v>
      </c>
      <c r="E25" s="303" t="s">
        <v>91</v>
      </c>
      <c r="F25" s="301" t="s">
        <v>53</v>
      </c>
      <c r="G25" s="238" t="s">
        <v>53</v>
      </c>
      <c r="H25" s="304">
        <f t="shared" si="2"/>
        <v>9436700</v>
      </c>
      <c r="I25" s="304">
        <f t="shared" si="3"/>
        <v>9436700</v>
      </c>
      <c r="J25" s="304">
        <f t="shared" si="4"/>
        <v>0</v>
      </c>
      <c r="K25" s="304"/>
      <c r="L25" s="304"/>
      <c r="M25" s="304"/>
      <c r="N25" s="304"/>
      <c r="O25" s="304">
        <f t="shared" si="5"/>
        <v>9436700</v>
      </c>
      <c r="P25" s="304">
        <v>9436700</v>
      </c>
      <c r="Q25" s="304"/>
      <c r="R25" s="304"/>
      <c r="S25" s="304"/>
      <c r="T25" s="304">
        <f t="shared" si="6"/>
        <v>0</v>
      </c>
      <c r="U25" s="304"/>
      <c r="V25" s="304"/>
      <c r="W25" s="304"/>
      <c r="X25" s="304"/>
      <c r="Y25" s="304">
        <f t="shared" si="7"/>
        <v>0</v>
      </c>
      <c r="Z25" s="304"/>
      <c r="AA25" s="304"/>
      <c r="AB25" s="304"/>
      <c r="AC25" s="304"/>
      <c r="AD25" s="304"/>
      <c r="AE25" s="304"/>
      <c r="AF25" s="304"/>
      <c r="AG25" s="304">
        <f t="shared" si="8"/>
        <v>8814526.15</v>
      </c>
      <c r="AH25" s="304">
        <f t="shared" si="9"/>
        <v>8814526.15</v>
      </c>
      <c r="AI25" s="304">
        <f t="shared" si="10"/>
        <v>0</v>
      </c>
      <c r="AJ25" s="304"/>
      <c r="AK25" s="304"/>
      <c r="AL25" s="304"/>
      <c r="AM25" s="304"/>
      <c r="AN25" s="304">
        <f t="shared" si="11"/>
        <v>8814526.15</v>
      </c>
      <c r="AO25" s="304">
        <v>8814526.15</v>
      </c>
      <c r="AP25" s="304"/>
      <c r="AQ25" s="304"/>
      <c r="AR25" s="304"/>
      <c r="AS25" s="304">
        <f t="shared" si="12"/>
        <v>0</v>
      </c>
      <c r="AT25" s="304"/>
      <c r="AU25" s="304"/>
      <c r="AV25" s="304"/>
      <c r="AW25" s="304"/>
      <c r="AX25" s="304">
        <f t="shared" si="13"/>
        <v>0</v>
      </c>
      <c r="AY25" s="304"/>
      <c r="AZ25" s="304"/>
      <c r="BA25" s="304"/>
      <c r="BB25" s="304"/>
      <c r="BC25" s="304"/>
      <c r="BD25" s="304"/>
      <c r="BE25" s="305">
        <v>0</v>
      </c>
      <c r="BF25" s="238" t="s">
        <v>53</v>
      </c>
      <c r="BG25" s="263" t="s">
        <v>54</v>
      </c>
      <c r="BH25" s="306"/>
    </row>
    <row r="26" s="270" customFormat="1" ht="15" hidden="1" spans="1:60">
      <c r="A26" s="301">
        <v>19</v>
      </c>
      <c r="B26" s="302" t="s">
        <v>19</v>
      </c>
      <c r="C26" s="302" t="s">
        <v>20</v>
      </c>
      <c r="D26" s="301">
        <v>2019</v>
      </c>
      <c r="E26" s="303" t="s">
        <v>92</v>
      </c>
      <c r="F26" s="301" t="s">
        <v>53</v>
      </c>
      <c r="G26" s="238" t="s">
        <v>56</v>
      </c>
      <c r="H26" s="304">
        <f t="shared" si="2"/>
        <v>3700000</v>
      </c>
      <c r="I26" s="304">
        <f t="shared" si="3"/>
        <v>3700000</v>
      </c>
      <c r="J26" s="304">
        <f t="shared" si="4"/>
        <v>0</v>
      </c>
      <c r="K26" s="304"/>
      <c r="L26" s="304"/>
      <c r="M26" s="304"/>
      <c r="N26" s="304"/>
      <c r="O26" s="304">
        <f t="shared" si="5"/>
        <v>3700000</v>
      </c>
      <c r="P26" s="304"/>
      <c r="Q26" s="304">
        <v>2383600</v>
      </c>
      <c r="R26" s="304"/>
      <c r="S26" s="304">
        <v>1316400</v>
      </c>
      <c r="T26" s="304">
        <f t="shared" si="6"/>
        <v>0</v>
      </c>
      <c r="U26" s="304"/>
      <c r="V26" s="304"/>
      <c r="W26" s="304"/>
      <c r="X26" s="304"/>
      <c r="Y26" s="304">
        <f t="shared" si="7"/>
        <v>0</v>
      </c>
      <c r="Z26" s="304"/>
      <c r="AA26" s="304"/>
      <c r="AB26" s="304"/>
      <c r="AC26" s="304"/>
      <c r="AD26" s="304"/>
      <c r="AE26" s="304"/>
      <c r="AF26" s="304"/>
      <c r="AG26" s="304">
        <f t="shared" si="8"/>
        <v>3395288.4</v>
      </c>
      <c r="AH26" s="304">
        <f t="shared" si="9"/>
        <v>3395288.4</v>
      </c>
      <c r="AI26" s="304">
        <f t="shared" si="10"/>
        <v>0</v>
      </c>
      <c r="AJ26" s="304"/>
      <c r="AK26" s="304"/>
      <c r="AL26" s="304"/>
      <c r="AM26" s="304"/>
      <c r="AN26" s="304">
        <f t="shared" si="11"/>
        <v>3395288.4</v>
      </c>
      <c r="AO26" s="304"/>
      <c r="AP26" s="304">
        <v>2383600</v>
      </c>
      <c r="AQ26" s="304"/>
      <c r="AR26" s="304">
        <v>1011688.4</v>
      </c>
      <c r="AS26" s="304">
        <f t="shared" si="12"/>
        <v>0</v>
      </c>
      <c r="AT26" s="304"/>
      <c r="AU26" s="304"/>
      <c r="AV26" s="304"/>
      <c r="AW26" s="304"/>
      <c r="AX26" s="304">
        <f t="shared" si="13"/>
        <v>0</v>
      </c>
      <c r="AY26" s="304"/>
      <c r="AZ26" s="304"/>
      <c r="BA26" s="304"/>
      <c r="BB26" s="304"/>
      <c r="BC26" s="304"/>
      <c r="BD26" s="304"/>
      <c r="BE26" s="305"/>
      <c r="BF26" s="238" t="s">
        <v>53</v>
      </c>
      <c r="BG26" s="263" t="s">
        <v>70</v>
      </c>
      <c r="BH26" s="306"/>
    </row>
    <row r="27" s="270" customFormat="1" ht="15" hidden="1" spans="1:60">
      <c r="A27" s="301">
        <v>20</v>
      </c>
      <c r="B27" s="302" t="s">
        <v>19</v>
      </c>
      <c r="C27" s="302" t="s">
        <v>20</v>
      </c>
      <c r="D27" s="301">
        <v>2019</v>
      </c>
      <c r="E27" s="303" t="s">
        <v>93</v>
      </c>
      <c r="F27" s="301" t="s">
        <v>53</v>
      </c>
      <c r="G27" s="238" t="s">
        <v>53</v>
      </c>
      <c r="H27" s="304">
        <f t="shared" si="2"/>
        <v>500000</v>
      </c>
      <c r="I27" s="304">
        <f t="shared" si="3"/>
        <v>500000</v>
      </c>
      <c r="J27" s="304">
        <f t="shared" si="4"/>
        <v>0</v>
      </c>
      <c r="K27" s="304"/>
      <c r="L27" s="304"/>
      <c r="M27" s="304"/>
      <c r="N27" s="304"/>
      <c r="O27" s="304">
        <f t="shared" si="5"/>
        <v>500000</v>
      </c>
      <c r="P27" s="304">
        <v>500000</v>
      </c>
      <c r="Q27" s="304"/>
      <c r="R27" s="304"/>
      <c r="S27" s="304"/>
      <c r="T27" s="304">
        <f t="shared" si="6"/>
        <v>0</v>
      </c>
      <c r="U27" s="304"/>
      <c r="V27" s="304"/>
      <c r="W27" s="304"/>
      <c r="X27" s="304"/>
      <c r="Y27" s="304">
        <f t="shared" si="7"/>
        <v>0</v>
      </c>
      <c r="Z27" s="304"/>
      <c r="AA27" s="304"/>
      <c r="AB27" s="304"/>
      <c r="AC27" s="304"/>
      <c r="AD27" s="304"/>
      <c r="AE27" s="304"/>
      <c r="AF27" s="304"/>
      <c r="AG27" s="304">
        <f t="shared" si="8"/>
        <v>453000</v>
      </c>
      <c r="AH27" s="304">
        <f t="shared" si="9"/>
        <v>453000</v>
      </c>
      <c r="AI27" s="304">
        <f t="shared" si="10"/>
        <v>0</v>
      </c>
      <c r="AJ27" s="304"/>
      <c r="AK27" s="304"/>
      <c r="AL27" s="304"/>
      <c r="AM27" s="304"/>
      <c r="AN27" s="304">
        <f t="shared" si="11"/>
        <v>453000</v>
      </c>
      <c r="AO27" s="304">
        <v>453000</v>
      </c>
      <c r="AP27" s="304"/>
      <c r="AQ27" s="304"/>
      <c r="AR27" s="304"/>
      <c r="AS27" s="304">
        <f t="shared" si="12"/>
        <v>0</v>
      </c>
      <c r="AT27" s="304"/>
      <c r="AU27" s="304"/>
      <c r="AV27" s="304"/>
      <c r="AW27" s="304"/>
      <c r="AX27" s="304">
        <f t="shared" si="13"/>
        <v>0</v>
      </c>
      <c r="AY27" s="304"/>
      <c r="AZ27" s="304"/>
      <c r="BA27" s="304"/>
      <c r="BB27" s="304"/>
      <c r="BC27" s="304"/>
      <c r="BD27" s="304"/>
      <c r="BE27" s="305">
        <v>0</v>
      </c>
      <c r="BF27" s="238" t="s">
        <v>53</v>
      </c>
      <c r="BG27" s="263" t="s">
        <v>94</v>
      </c>
      <c r="BH27" s="306" t="s">
        <v>95</v>
      </c>
    </row>
    <row r="28" s="270" customFormat="1" ht="15" hidden="1" spans="1:60">
      <c r="A28" s="301">
        <v>21</v>
      </c>
      <c r="B28" s="302" t="s">
        <v>19</v>
      </c>
      <c r="C28" s="302" t="s">
        <v>20</v>
      </c>
      <c r="D28" s="301">
        <v>2019</v>
      </c>
      <c r="E28" s="303" t="s">
        <v>96</v>
      </c>
      <c r="F28" s="301" t="s">
        <v>53</v>
      </c>
      <c r="G28" s="238" t="s">
        <v>53</v>
      </c>
      <c r="H28" s="304">
        <f t="shared" si="2"/>
        <v>1434600</v>
      </c>
      <c r="I28" s="304">
        <f t="shared" si="3"/>
        <v>1434600</v>
      </c>
      <c r="J28" s="304">
        <f t="shared" si="4"/>
        <v>0</v>
      </c>
      <c r="K28" s="304"/>
      <c r="L28" s="304"/>
      <c r="M28" s="304"/>
      <c r="N28" s="304"/>
      <c r="O28" s="304">
        <f t="shared" si="5"/>
        <v>1434600</v>
      </c>
      <c r="P28" s="304">
        <v>940900</v>
      </c>
      <c r="Q28" s="304">
        <v>493700</v>
      </c>
      <c r="R28" s="304"/>
      <c r="S28" s="304"/>
      <c r="T28" s="304">
        <f t="shared" si="6"/>
        <v>0</v>
      </c>
      <c r="U28" s="304"/>
      <c r="V28" s="304"/>
      <c r="W28" s="304"/>
      <c r="X28" s="304"/>
      <c r="Y28" s="304">
        <f t="shared" si="7"/>
        <v>0</v>
      </c>
      <c r="Z28" s="304"/>
      <c r="AA28" s="304"/>
      <c r="AB28" s="304"/>
      <c r="AC28" s="304"/>
      <c r="AD28" s="304"/>
      <c r="AE28" s="304"/>
      <c r="AF28" s="304"/>
      <c r="AG28" s="304">
        <f t="shared" si="8"/>
        <v>1212126.34</v>
      </c>
      <c r="AH28" s="304">
        <f t="shared" si="9"/>
        <v>1212126.34</v>
      </c>
      <c r="AI28" s="304">
        <f t="shared" si="10"/>
        <v>0</v>
      </c>
      <c r="AJ28" s="304"/>
      <c r="AK28" s="304"/>
      <c r="AL28" s="304"/>
      <c r="AM28" s="304"/>
      <c r="AN28" s="304">
        <f t="shared" si="11"/>
        <v>1212126.34</v>
      </c>
      <c r="AO28" s="304">
        <v>940900</v>
      </c>
      <c r="AP28" s="304">
        <v>271226.34</v>
      </c>
      <c r="AQ28" s="304"/>
      <c r="AR28" s="304"/>
      <c r="AS28" s="304">
        <f t="shared" si="12"/>
        <v>0</v>
      </c>
      <c r="AT28" s="304"/>
      <c r="AU28" s="304"/>
      <c r="AV28" s="304"/>
      <c r="AW28" s="304"/>
      <c r="AX28" s="304">
        <f t="shared" si="13"/>
        <v>0</v>
      </c>
      <c r="AY28" s="304"/>
      <c r="AZ28" s="304"/>
      <c r="BA28" s="304"/>
      <c r="BB28" s="304"/>
      <c r="BC28" s="304"/>
      <c r="BD28" s="304"/>
      <c r="BE28" s="305">
        <v>0</v>
      </c>
      <c r="BF28" s="238" t="s">
        <v>53</v>
      </c>
      <c r="BG28" s="263" t="s">
        <v>54</v>
      </c>
      <c r="BH28" s="306"/>
    </row>
    <row r="29" s="270" customFormat="1" ht="15" hidden="1" spans="1:60">
      <c r="A29" s="301">
        <v>22</v>
      </c>
      <c r="B29" s="302" t="s">
        <v>19</v>
      </c>
      <c r="C29" s="302" t="s">
        <v>20</v>
      </c>
      <c r="D29" s="301">
        <v>2019</v>
      </c>
      <c r="E29" s="303" t="s">
        <v>97</v>
      </c>
      <c r="F29" s="301" t="s">
        <v>53</v>
      </c>
      <c r="G29" s="238" t="s">
        <v>56</v>
      </c>
      <c r="H29" s="304">
        <f t="shared" si="2"/>
        <v>2800000</v>
      </c>
      <c r="I29" s="304">
        <f t="shared" si="3"/>
        <v>2800000</v>
      </c>
      <c r="J29" s="304">
        <f t="shared" si="4"/>
        <v>0</v>
      </c>
      <c r="K29" s="304"/>
      <c r="L29" s="304"/>
      <c r="M29" s="304"/>
      <c r="N29" s="304"/>
      <c r="O29" s="304">
        <f t="shared" si="5"/>
        <v>2800000</v>
      </c>
      <c r="P29" s="304">
        <v>819108.28</v>
      </c>
      <c r="Q29" s="304"/>
      <c r="R29" s="304"/>
      <c r="S29" s="304">
        <v>1980891.72</v>
      </c>
      <c r="T29" s="304">
        <f t="shared" si="6"/>
        <v>0</v>
      </c>
      <c r="U29" s="304"/>
      <c r="V29" s="304"/>
      <c r="W29" s="304"/>
      <c r="X29" s="304"/>
      <c r="Y29" s="304">
        <f t="shared" si="7"/>
        <v>0</v>
      </c>
      <c r="Z29" s="304"/>
      <c r="AA29" s="304"/>
      <c r="AB29" s="304"/>
      <c r="AC29" s="304"/>
      <c r="AD29" s="304"/>
      <c r="AE29" s="304"/>
      <c r="AF29" s="304"/>
      <c r="AG29" s="304">
        <f t="shared" si="8"/>
        <v>2621588.86</v>
      </c>
      <c r="AH29" s="304">
        <f t="shared" si="9"/>
        <v>2621588.86</v>
      </c>
      <c r="AI29" s="304">
        <f t="shared" si="10"/>
        <v>0</v>
      </c>
      <c r="AJ29" s="304"/>
      <c r="AK29" s="304"/>
      <c r="AL29" s="304"/>
      <c r="AM29" s="304"/>
      <c r="AN29" s="304">
        <f t="shared" si="11"/>
        <v>2621588.86</v>
      </c>
      <c r="AO29" s="304">
        <v>819108.28</v>
      </c>
      <c r="AP29" s="304"/>
      <c r="AQ29" s="304"/>
      <c r="AR29" s="304">
        <v>1802480.58</v>
      </c>
      <c r="AS29" s="304">
        <f t="shared" si="12"/>
        <v>0</v>
      </c>
      <c r="AT29" s="304"/>
      <c r="AU29" s="304"/>
      <c r="AV29" s="304"/>
      <c r="AW29" s="304"/>
      <c r="AX29" s="304">
        <f t="shared" si="13"/>
        <v>0</v>
      </c>
      <c r="AY29" s="304"/>
      <c r="AZ29" s="304"/>
      <c r="BA29" s="304"/>
      <c r="BB29" s="304"/>
      <c r="BC29" s="304"/>
      <c r="BD29" s="304"/>
      <c r="BE29" s="305"/>
      <c r="BF29" s="238" t="s">
        <v>53</v>
      </c>
      <c r="BG29" s="263" t="s">
        <v>70</v>
      </c>
      <c r="BH29" s="306" t="s">
        <v>98</v>
      </c>
    </row>
    <row r="30" s="270" customFormat="1" ht="15" hidden="1" spans="1:60">
      <c r="A30" s="301">
        <v>23</v>
      </c>
      <c r="B30" s="302" t="s">
        <v>19</v>
      </c>
      <c r="C30" s="302" t="s">
        <v>20</v>
      </c>
      <c r="D30" s="301">
        <v>2019</v>
      </c>
      <c r="E30" s="303" t="s">
        <v>99</v>
      </c>
      <c r="F30" s="301" t="s">
        <v>53</v>
      </c>
      <c r="G30" s="238" t="s">
        <v>56</v>
      </c>
      <c r="H30" s="304">
        <f t="shared" si="2"/>
        <v>29434900</v>
      </c>
      <c r="I30" s="304">
        <f t="shared" si="3"/>
        <v>29434900</v>
      </c>
      <c r="J30" s="304">
        <f t="shared" si="4"/>
        <v>0</v>
      </c>
      <c r="K30" s="304"/>
      <c r="L30" s="304"/>
      <c r="M30" s="304"/>
      <c r="N30" s="304"/>
      <c r="O30" s="304">
        <f t="shared" si="5"/>
        <v>29434900</v>
      </c>
      <c r="P30" s="304">
        <v>497291.72</v>
      </c>
      <c r="Q30" s="304">
        <v>18234900</v>
      </c>
      <c r="R30" s="304"/>
      <c r="S30" s="304">
        <v>10702708.28</v>
      </c>
      <c r="T30" s="304">
        <f t="shared" si="6"/>
        <v>0</v>
      </c>
      <c r="U30" s="304"/>
      <c r="V30" s="304"/>
      <c r="W30" s="304"/>
      <c r="X30" s="304"/>
      <c r="Y30" s="304">
        <f t="shared" si="7"/>
        <v>0</v>
      </c>
      <c r="Z30" s="304"/>
      <c r="AA30" s="304"/>
      <c r="AB30" s="304"/>
      <c r="AC30" s="304"/>
      <c r="AD30" s="304"/>
      <c r="AE30" s="304"/>
      <c r="AF30" s="304"/>
      <c r="AG30" s="304">
        <f t="shared" si="8"/>
        <v>29434900</v>
      </c>
      <c r="AH30" s="304">
        <f t="shared" si="9"/>
        <v>29434900</v>
      </c>
      <c r="AI30" s="304">
        <f t="shared" si="10"/>
        <v>0</v>
      </c>
      <c r="AJ30" s="304"/>
      <c r="AK30" s="304"/>
      <c r="AL30" s="304"/>
      <c r="AM30" s="304"/>
      <c r="AN30" s="304">
        <f t="shared" si="11"/>
        <v>29434900</v>
      </c>
      <c r="AO30" s="304">
        <v>497291.72</v>
      </c>
      <c r="AP30" s="304">
        <v>18234900</v>
      </c>
      <c r="AQ30" s="304"/>
      <c r="AR30" s="304">
        <v>10702708.28</v>
      </c>
      <c r="AS30" s="304">
        <f t="shared" si="12"/>
        <v>0</v>
      </c>
      <c r="AT30" s="304"/>
      <c r="AU30" s="304"/>
      <c r="AV30" s="304"/>
      <c r="AW30" s="304"/>
      <c r="AX30" s="304">
        <f t="shared" si="13"/>
        <v>0</v>
      </c>
      <c r="AY30" s="304"/>
      <c r="AZ30" s="304"/>
      <c r="BA30" s="304"/>
      <c r="BB30" s="304"/>
      <c r="BC30" s="304"/>
      <c r="BD30" s="304"/>
      <c r="BE30" s="305"/>
      <c r="BF30" s="238" t="s">
        <v>53</v>
      </c>
      <c r="BG30" s="263" t="s">
        <v>75</v>
      </c>
      <c r="BH30" s="306" t="s">
        <v>90</v>
      </c>
    </row>
    <row r="31" s="270" customFormat="1" ht="15" hidden="1" spans="1:60">
      <c r="A31" s="301">
        <v>24</v>
      </c>
      <c r="B31" s="302" t="s">
        <v>19</v>
      </c>
      <c r="C31" s="302" t="s">
        <v>20</v>
      </c>
      <c r="D31" s="301">
        <v>2019</v>
      </c>
      <c r="E31" s="303" t="s">
        <v>100</v>
      </c>
      <c r="F31" s="301" t="s">
        <v>53</v>
      </c>
      <c r="G31" s="238" t="s">
        <v>56</v>
      </c>
      <c r="H31" s="304">
        <f t="shared" si="2"/>
        <v>800000</v>
      </c>
      <c r="I31" s="304">
        <f t="shared" si="3"/>
        <v>800000</v>
      </c>
      <c r="J31" s="304">
        <f t="shared" si="4"/>
        <v>0</v>
      </c>
      <c r="K31" s="304"/>
      <c r="L31" s="304"/>
      <c r="M31" s="304"/>
      <c r="N31" s="304"/>
      <c r="O31" s="304">
        <f t="shared" si="5"/>
        <v>800000</v>
      </c>
      <c r="P31" s="304">
        <v>200000</v>
      </c>
      <c r="Q31" s="304">
        <v>600000</v>
      </c>
      <c r="R31" s="304"/>
      <c r="S31" s="304"/>
      <c r="T31" s="304">
        <f t="shared" si="6"/>
        <v>0</v>
      </c>
      <c r="U31" s="304"/>
      <c r="V31" s="304"/>
      <c r="W31" s="304"/>
      <c r="X31" s="304"/>
      <c r="Y31" s="304">
        <f t="shared" si="7"/>
        <v>0</v>
      </c>
      <c r="Z31" s="304"/>
      <c r="AA31" s="304"/>
      <c r="AB31" s="304"/>
      <c r="AC31" s="304"/>
      <c r="AD31" s="304"/>
      <c r="AE31" s="304"/>
      <c r="AF31" s="304"/>
      <c r="AG31" s="304">
        <f t="shared" si="8"/>
        <v>800000</v>
      </c>
      <c r="AH31" s="304">
        <f t="shared" si="9"/>
        <v>800000</v>
      </c>
      <c r="AI31" s="304">
        <f t="shared" si="10"/>
        <v>0</v>
      </c>
      <c r="AJ31" s="304"/>
      <c r="AK31" s="304"/>
      <c r="AL31" s="304"/>
      <c r="AM31" s="304"/>
      <c r="AN31" s="304">
        <f t="shared" si="11"/>
        <v>800000</v>
      </c>
      <c r="AO31" s="304">
        <v>200000</v>
      </c>
      <c r="AP31" s="304">
        <v>600000</v>
      </c>
      <c r="AQ31" s="304"/>
      <c r="AR31" s="304"/>
      <c r="AS31" s="304">
        <f t="shared" si="12"/>
        <v>0</v>
      </c>
      <c r="AT31" s="304"/>
      <c r="AU31" s="304"/>
      <c r="AV31" s="304"/>
      <c r="AW31" s="304"/>
      <c r="AX31" s="304">
        <f t="shared" si="13"/>
        <v>0</v>
      </c>
      <c r="AY31" s="304"/>
      <c r="AZ31" s="304"/>
      <c r="BA31" s="304"/>
      <c r="BB31" s="304"/>
      <c r="BC31" s="304"/>
      <c r="BD31" s="304"/>
      <c r="BE31" s="305"/>
      <c r="BF31" s="238" t="s">
        <v>53</v>
      </c>
      <c r="BG31" s="263" t="s">
        <v>75</v>
      </c>
      <c r="BH31" s="306" t="s">
        <v>101</v>
      </c>
    </row>
    <row r="32" s="270" customFormat="1" ht="15" hidden="1" spans="1:60">
      <c r="A32" s="301">
        <v>25</v>
      </c>
      <c r="B32" s="302" t="s">
        <v>19</v>
      </c>
      <c r="C32" s="302" t="s">
        <v>20</v>
      </c>
      <c r="D32" s="301">
        <v>2019</v>
      </c>
      <c r="E32" s="303" t="s">
        <v>102</v>
      </c>
      <c r="F32" s="301" t="s">
        <v>53</v>
      </c>
      <c r="G32" s="238" t="s">
        <v>53</v>
      </c>
      <c r="H32" s="304">
        <f t="shared" si="2"/>
        <v>352000</v>
      </c>
      <c r="I32" s="304">
        <f t="shared" si="3"/>
        <v>352000</v>
      </c>
      <c r="J32" s="304">
        <f t="shared" si="4"/>
        <v>0</v>
      </c>
      <c r="K32" s="304"/>
      <c r="L32" s="304"/>
      <c r="M32" s="304"/>
      <c r="N32" s="304"/>
      <c r="O32" s="304">
        <f t="shared" si="5"/>
        <v>352000</v>
      </c>
      <c r="P32" s="304"/>
      <c r="Q32" s="304"/>
      <c r="R32" s="304"/>
      <c r="S32" s="304">
        <v>352000</v>
      </c>
      <c r="T32" s="304">
        <f t="shared" si="6"/>
        <v>0</v>
      </c>
      <c r="U32" s="304"/>
      <c r="V32" s="304"/>
      <c r="W32" s="304"/>
      <c r="X32" s="304"/>
      <c r="Y32" s="304">
        <f t="shared" si="7"/>
        <v>0</v>
      </c>
      <c r="Z32" s="304"/>
      <c r="AA32" s="304"/>
      <c r="AB32" s="304"/>
      <c r="AC32" s="304"/>
      <c r="AD32" s="304"/>
      <c r="AE32" s="304"/>
      <c r="AF32" s="304"/>
      <c r="AG32" s="304">
        <f t="shared" si="8"/>
        <v>352000</v>
      </c>
      <c r="AH32" s="304">
        <f t="shared" si="9"/>
        <v>352000</v>
      </c>
      <c r="AI32" s="304">
        <f t="shared" si="10"/>
        <v>0</v>
      </c>
      <c r="AJ32" s="304"/>
      <c r="AK32" s="304"/>
      <c r="AL32" s="304"/>
      <c r="AM32" s="304"/>
      <c r="AN32" s="304">
        <f t="shared" si="11"/>
        <v>352000</v>
      </c>
      <c r="AO32" s="304"/>
      <c r="AP32" s="304"/>
      <c r="AQ32" s="304"/>
      <c r="AR32" s="304">
        <v>352000</v>
      </c>
      <c r="AS32" s="304">
        <f t="shared" si="12"/>
        <v>0</v>
      </c>
      <c r="AT32" s="304"/>
      <c r="AU32" s="304"/>
      <c r="AV32" s="304"/>
      <c r="AW32" s="304"/>
      <c r="AX32" s="304">
        <f t="shared" si="13"/>
        <v>0</v>
      </c>
      <c r="AY32" s="304"/>
      <c r="AZ32" s="304"/>
      <c r="BA32" s="304"/>
      <c r="BB32" s="304"/>
      <c r="BC32" s="304"/>
      <c r="BD32" s="304"/>
      <c r="BE32" s="305">
        <v>0</v>
      </c>
      <c r="BF32" s="238" t="s">
        <v>53</v>
      </c>
      <c r="BG32" s="263" t="s">
        <v>103</v>
      </c>
      <c r="BH32" s="306" t="s">
        <v>104</v>
      </c>
    </row>
    <row r="33" s="270" customFormat="1" ht="15" hidden="1" spans="1:60">
      <c r="A33" s="301">
        <v>26</v>
      </c>
      <c r="B33" s="302" t="s">
        <v>19</v>
      </c>
      <c r="C33" s="302" t="s">
        <v>20</v>
      </c>
      <c r="D33" s="301">
        <v>2019</v>
      </c>
      <c r="E33" s="303" t="s">
        <v>105</v>
      </c>
      <c r="F33" s="301" t="s">
        <v>53</v>
      </c>
      <c r="G33" s="238" t="s">
        <v>56</v>
      </c>
      <c r="H33" s="304">
        <f t="shared" si="2"/>
        <v>216000</v>
      </c>
      <c r="I33" s="304">
        <f t="shared" si="3"/>
        <v>216000</v>
      </c>
      <c r="J33" s="304">
        <f t="shared" si="4"/>
        <v>0</v>
      </c>
      <c r="K33" s="304"/>
      <c r="L33" s="304"/>
      <c r="M33" s="304"/>
      <c r="N33" s="304"/>
      <c r="O33" s="304">
        <f t="shared" si="5"/>
        <v>216000</v>
      </c>
      <c r="P33" s="304">
        <v>216000</v>
      </c>
      <c r="Q33" s="304"/>
      <c r="R33" s="304"/>
      <c r="S33" s="304"/>
      <c r="T33" s="304">
        <f t="shared" si="6"/>
        <v>0</v>
      </c>
      <c r="U33" s="304"/>
      <c r="V33" s="304"/>
      <c r="W33" s="304"/>
      <c r="X33" s="304"/>
      <c r="Y33" s="304">
        <f t="shared" si="7"/>
        <v>0</v>
      </c>
      <c r="Z33" s="304"/>
      <c r="AA33" s="304"/>
      <c r="AB33" s="304"/>
      <c r="AC33" s="304"/>
      <c r="AD33" s="304"/>
      <c r="AE33" s="304"/>
      <c r="AF33" s="304"/>
      <c r="AG33" s="304">
        <f t="shared" si="8"/>
        <v>216000</v>
      </c>
      <c r="AH33" s="304">
        <f t="shared" si="9"/>
        <v>216000</v>
      </c>
      <c r="AI33" s="304">
        <f t="shared" si="10"/>
        <v>0</v>
      </c>
      <c r="AJ33" s="304"/>
      <c r="AK33" s="304"/>
      <c r="AL33" s="304"/>
      <c r="AM33" s="304"/>
      <c r="AN33" s="304">
        <f t="shared" si="11"/>
        <v>216000</v>
      </c>
      <c r="AO33" s="304">
        <v>216000</v>
      </c>
      <c r="AP33" s="304"/>
      <c r="AQ33" s="304"/>
      <c r="AR33" s="304"/>
      <c r="AS33" s="304">
        <f t="shared" si="12"/>
        <v>0</v>
      </c>
      <c r="AT33" s="304"/>
      <c r="AU33" s="304"/>
      <c r="AV33" s="304"/>
      <c r="AW33" s="304"/>
      <c r="AX33" s="304">
        <f t="shared" si="13"/>
        <v>0</v>
      </c>
      <c r="AY33" s="304"/>
      <c r="AZ33" s="304"/>
      <c r="BA33" s="304"/>
      <c r="BB33" s="304"/>
      <c r="BC33" s="304"/>
      <c r="BD33" s="304"/>
      <c r="BE33" s="305"/>
      <c r="BF33" s="238" t="s">
        <v>53</v>
      </c>
      <c r="BG33" s="263" t="s">
        <v>54</v>
      </c>
      <c r="BH33" s="306" t="s">
        <v>98</v>
      </c>
    </row>
    <row r="34" s="270" customFormat="1" ht="15" hidden="1" spans="1:60">
      <c r="A34" s="301">
        <v>27</v>
      </c>
      <c r="B34" s="302" t="s">
        <v>19</v>
      </c>
      <c r="C34" s="302" t="s">
        <v>20</v>
      </c>
      <c r="D34" s="301">
        <v>2019</v>
      </c>
      <c r="E34" s="303" t="s">
        <v>106</v>
      </c>
      <c r="F34" s="301" t="s">
        <v>53</v>
      </c>
      <c r="G34" s="238" t="s">
        <v>53</v>
      </c>
      <c r="H34" s="304">
        <f t="shared" si="2"/>
        <v>584000</v>
      </c>
      <c r="I34" s="304">
        <f t="shared" si="3"/>
        <v>584000</v>
      </c>
      <c r="J34" s="304">
        <f t="shared" si="4"/>
        <v>0</v>
      </c>
      <c r="K34" s="304"/>
      <c r="L34" s="304"/>
      <c r="M34" s="304"/>
      <c r="N34" s="304"/>
      <c r="O34" s="304">
        <f t="shared" si="5"/>
        <v>584000</v>
      </c>
      <c r="P34" s="304">
        <v>6080</v>
      </c>
      <c r="Q34" s="304"/>
      <c r="R34" s="304"/>
      <c r="S34" s="304">
        <v>577920</v>
      </c>
      <c r="T34" s="304">
        <f t="shared" si="6"/>
        <v>0</v>
      </c>
      <c r="U34" s="304"/>
      <c r="V34" s="304"/>
      <c r="W34" s="304"/>
      <c r="X34" s="304"/>
      <c r="Y34" s="304">
        <f t="shared" si="7"/>
        <v>0</v>
      </c>
      <c r="Z34" s="304"/>
      <c r="AA34" s="304"/>
      <c r="AB34" s="304"/>
      <c r="AC34" s="304"/>
      <c r="AD34" s="304"/>
      <c r="AE34" s="304"/>
      <c r="AF34" s="304"/>
      <c r="AG34" s="304">
        <f t="shared" si="8"/>
        <v>584000</v>
      </c>
      <c r="AH34" s="304">
        <f t="shared" si="9"/>
        <v>584000</v>
      </c>
      <c r="AI34" s="304">
        <f t="shared" si="10"/>
        <v>0</v>
      </c>
      <c r="AJ34" s="304"/>
      <c r="AK34" s="304"/>
      <c r="AL34" s="304"/>
      <c r="AM34" s="304"/>
      <c r="AN34" s="304">
        <f t="shared" si="11"/>
        <v>584000</v>
      </c>
      <c r="AO34" s="304">
        <v>6080</v>
      </c>
      <c r="AP34" s="304"/>
      <c r="AQ34" s="304"/>
      <c r="AR34" s="304">
        <v>577920</v>
      </c>
      <c r="AS34" s="304">
        <f t="shared" si="12"/>
        <v>0</v>
      </c>
      <c r="AT34" s="304"/>
      <c r="AU34" s="304"/>
      <c r="AV34" s="304"/>
      <c r="AW34" s="304"/>
      <c r="AX34" s="304">
        <f t="shared" si="13"/>
        <v>0</v>
      </c>
      <c r="AY34" s="304"/>
      <c r="AZ34" s="304"/>
      <c r="BA34" s="304"/>
      <c r="BB34" s="304"/>
      <c r="BC34" s="304"/>
      <c r="BD34" s="304"/>
      <c r="BE34" s="305">
        <v>0</v>
      </c>
      <c r="BF34" s="238" t="s">
        <v>53</v>
      </c>
      <c r="BG34" s="263" t="s">
        <v>107</v>
      </c>
      <c r="BH34" s="306" t="s">
        <v>98</v>
      </c>
    </row>
    <row r="35" s="270" customFormat="1" ht="15" hidden="1" spans="1:60">
      <c r="A35" s="301">
        <v>28</v>
      </c>
      <c r="B35" s="302" t="s">
        <v>19</v>
      </c>
      <c r="C35" s="302" t="s">
        <v>20</v>
      </c>
      <c r="D35" s="301">
        <v>2019</v>
      </c>
      <c r="E35" s="303" t="s">
        <v>108</v>
      </c>
      <c r="F35" s="301" t="s">
        <v>53</v>
      </c>
      <c r="G35" s="238" t="s">
        <v>56</v>
      </c>
      <c r="H35" s="304">
        <f t="shared" si="2"/>
        <v>1574100</v>
      </c>
      <c r="I35" s="304">
        <f t="shared" si="3"/>
        <v>1574100</v>
      </c>
      <c r="J35" s="304">
        <f t="shared" si="4"/>
        <v>0</v>
      </c>
      <c r="K35" s="304"/>
      <c r="L35" s="304"/>
      <c r="M35" s="304"/>
      <c r="N35" s="304"/>
      <c r="O35" s="304">
        <f t="shared" si="5"/>
        <v>1574100</v>
      </c>
      <c r="P35" s="304">
        <v>289500</v>
      </c>
      <c r="Q35" s="304"/>
      <c r="R35" s="304"/>
      <c r="S35" s="304">
        <v>1284600</v>
      </c>
      <c r="T35" s="304">
        <f t="shared" si="6"/>
        <v>0</v>
      </c>
      <c r="U35" s="304"/>
      <c r="V35" s="304"/>
      <c r="W35" s="304"/>
      <c r="X35" s="304"/>
      <c r="Y35" s="304">
        <f t="shared" si="7"/>
        <v>0</v>
      </c>
      <c r="Z35" s="304"/>
      <c r="AA35" s="304"/>
      <c r="AB35" s="304"/>
      <c r="AC35" s="304"/>
      <c r="AD35" s="304"/>
      <c r="AE35" s="304"/>
      <c r="AF35" s="304"/>
      <c r="AG35" s="304">
        <f t="shared" si="8"/>
        <v>1415805.38</v>
      </c>
      <c r="AH35" s="304">
        <f t="shared" si="9"/>
        <v>1415805.38</v>
      </c>
      <c r="AI35" s="304">
        <f t="shared" si="10"/>
        <v>0</v>
      </c>
      <c r="AJ35" s="304"/>
      <c r="AK35" s="304"/>
      <c r="AL35" s="304"/>
      <c r="AM35" s="304"/>
      <c r="AN35" s="304">
        <f t="shared" si="11"/>
        <v>1415805.38</v>
      </c>
      <c r="AO35" s="304">
        <v>289500</v>
      </c>
      <c r="AP35" s="304"/>
      <c r="AQ35" s="304"/>
      <c r="AR35" s="304">
        <v>1126305.38</v>
      </c>
      <c r="AS35" s="304">
        <f t="shared" si="12"/>
        <v>0</v>
      </c>
      <c r="AT35" s="304"/>
      <c r="AU35" s="304"/>
      <c r="AV35" s="304"/>
      <c r="AW35" s="304"/>
      <c r="AX35" s="304">
        <f t="shared" si="13"/>
        <v>0</v>
      </c>
      <c r="AY35" s="304"/>
      <c r="AZ35" s="304"/>
      <c r="BA35" s="304"/>
      <c r="BB35" s="304"/>
      <c r="BC35" s="304"/>
      <c r="BD35" s="304"/>
      <c r="BE35" s="305"/>
      <c r="BF35" s="238" t="s">
        <v>53</v>
      </c>
      <c r="BG35" s="263" t="s">
        <v>70</v>
      </c>
      <c r="BH35" s="306"/>
    </row>
    <row r="36" s="270" customFormat="1" ht="15" hidden="1" spans="1:60">
      <c r="A36" s="301">
        <v>29</v>
      </c>
      <c r="B36" s="302" t="s">
        <v>19</v>
      </c>
      <c r="C36" s="302" t="s">
        <v>20</v>
      </c>
      <c r="D36" s="301">
        <v>2019</v>
      </c>
      <c r="E36" s="303" t="s">
        <v>109</v>
      </c>
      <c r="F36" s="301" t="s">
        <v>53</v>
      </c>
      <c r="G36" s="238" t="s">
        <v>56</v>
      </c>
      <c r="H36" s="304">
        <f t="shared" si="2"/>
        <v>22890900</v>
      </c>
      <c r="I36" s="304">
        <f t="shared" si="3"/>
        <v>22890900</v>
      </c>
      <c r="J36" s="304">
        <f t="shared" si="4"/>
        <v>0</v>
      </c>
      <c r="K36" s="304"/>
      <c r="L36" s="304"/>
      <c r="M36" s="304"/>
      <c r="N36" s="304"/>
      <c r="O36" s="304">
        <f t="shared" si="5"/>
        <v>22890900</v>
      </c>
      <c r="P36" s="304"/>
      <c r="Q36" s="304"/>
      <c r="R36" s="304"/>
      <c r="S36" s="304">
        <v>22890900</v>
      </c>
      <c r="T36" s="304">
        <f t="shared" si="6"/>
        <v>0</v>
      </c>
      <c r="U36" s="304"/>
      <c r="V36" s="304"/>
      <c r="W36" s="304"/>
      <c r="X36" s="304"/>
      <c r="Y36" s="304">
        <f t="shared" si="7"/>
        <v>0</v>
      </c>
      <c r="Z36" s="304"/>
      <c r="AA36" s="304"/>
      <c r="AB36" s="304"/>
      <c r="AC36" s="304"/>
      <c r="AD36" s="304"/>
      <c r="AE36" s="304"/>
      <c r="AF36" s="304"/>
      <c r="AG36" s="304">
        <f t="shared" si="8"/>
        <v>22890900</v>
      </c>
      <c r="AH36" s="304">
        <f t="shared" si="9"/>
        <v>22890900</v>
      </c>
      <c r="AI36" s="304">
        <f t="shared" si="10"/>
        <v>0</v>
      </c>
      <c r="AJ36" s="304"/>
      <c r="AK36" s="304"/>
      <c r="AL36" s="304"/>
      <c r="AM36" s="304"/>
      <c r="AN36" s="304">
        <f t="shared" si="11"/>
        <v>22890900</v>
      </c>
      <c r="AO36" s="304"/>
      <c r="AP36" s="304"/>
      <c r="AQ36" s="304"/>
      <c r="AR36" s="304">
        <v>22890900</v>
      </c>
      <c r="AS36" s="304">
        <f t="shared" si="12"/>
        <v>0</v>
      </c>
      <c r="AT36" s="304"/>
      <c r="AU36" s="304"/>
      <c r="AV36" s="304"/>
      <c r="AW36" s="304"/>
      <c r="AX36" s="304">
        <f t="shared" si="13"/>
        <v>0</v>
      </c>
      <c r="AY36" s="304"/>
      <c r="AZ36" s="304"/>
      <c r="BA36" s="304"/>
      <c r="BB36" s="304"/>
      <c r="BC36" s="304"/>
      <c r="BD36" s="304"/>
      <c r="BE36" s="305"/>
      <c r="BF36" s="238" t="s">
        <v>53</v>
      </c>
      <c r="BG36" s="263" t="s">
        <v>110</v>
      </c>
      <c r="BH36" s="306"/>
    </row>
    <row r="37" s="270" customFormat="1" ht="15" hidden="1" spans="1:60">
      <c r="A37" s="301">
        <v>30</v>
      </c>
      <c r="B37" s="302" t="s">
        <v>19</v>
      </c>
      <c r="C37" s="302" t="s">
        <v>20</v>
      </c>
      <c r="D37" s="301">
        <v>2019</v>
      </c>
      <c r="E37" s="303" t="s">
        <v>111</v>
      </c>
      <c r="F37" s="301" t="s">
        <v>53</v>
      </c>
      <c r="G37" s="238" t="s">
        <v>56</v>
      </c>
      <c r="H37" s="304">
        <f t="shared" si="2"/>
        <v>945400</v>
      </c>
      <c r="I37" s="304">
        <f t="shared" si="3"/>
        <v>945400</v>
      </c>
      <c r="J37" s="304">
        <f t="shared" si="4"/>
        <v>0</v>
      </c>
      <c r="K37" s="304"/>
      <c r="L37" s="304"/>
      <c r="M37" s="304"/>
      <c r="N37" s="304"/>
      <c r="O37" s="304">
        <f t="shared" si="5"/>
        <v>945400</v>
      </c>
      <c r="P37" s="304">
        <v>945400</v>
      </c>
      <c r="Q37" s="304"/>
      <c r="R37" s="304"/>
      <c r="S37" s="304"/>
      <c r="T37" s="304">
        <f t="shared" si="6"/>
        <v>0</v>
      </c>
      <c r="U37" s="304"/>
      <c r="V37" s="304"/>
      <c r="W37" s="304"/>
      <c r="X37" s="304"/>
      <c r="Y37" s="304">
        <f t="shared" si="7"/>
        <v>0</v>
      </c>
      <c r="Z37" s="304"/>
      <c r="AA37" s="304"/>
      <c r="AB37" s="304"/>
      <c r="AC37" s="304"/>
      <c r="AD37" s="304"/>
      <c r="AE37" s="304"/>
      <c r="AF37" s="304"/>
      <c r="AG37" s="304">
        <f t="shared" si="8"/>
        <v>944500</v>
      </c>
      <c r="AH37" s="304">
        <f t="shared" si="9"/>
        <v>944500</v>
      </c>
      <c r="AI37" s="304">
        <f t="shared" si="10"/>
        <v>0</v>
      </c>
      <c r="AJ37" s="304"/>
      <c r="AK37" s="304"/>
      <c r="AL37" s="304"/>
      <c r="AM37" s="304"/>
      <c r="AN37" s="304">
        <f t="shared" si="11"/>
        <v>944500</v>
      </c>
      <c r="AO37" s="304">
        <v>146620</v>
      </c>
      <c r="AP37" s="304">
        <v>797880</v>
      </c>
      <c r="AQ37" s="304"/>
      <c r="AR37" s="304"/>
      <c r="AS37" s="304">
        <f t="shared" si="12"/>
        <v>0</v>
      </c>
      <c r="AT37" s="304"/>
      <c r="AU37" s="304"/>
      <c r="AV37" s="304"/>
      <c r="AW37" s="304"/>
      <c r="AX37" s="304">
        <f t="shared" si="13"/>
        <v>0</v>
      </c>
      <c r="AY37" s="304"/>
      <c r="AZ37" s="304"/>
      <c r="BA37" s="304"/>
      <c r="BB37" s="304"/>
      <c r="BC37" s="304"/>
      <c r="BD37" s="304"/>
      <c r="BE37" s="305"/>
      <c r="BF37" s="238" t="s">
        <v>53</v>
      </c>
      <c r="BG37" s="263" t="s">
        <v>112</v>
      </c>
      <c r="BH37" s="306"/>
    </row>
    <row r="38" s="270" customFormat="1" ht="15" hidden="1" spans="1:60">
      <c r="A38" s="301">
        <v>31</v>
      </c>
      <c r="B38" s="302" t="s">
        <v>19</v>
      </c>
      <c r="C38" s="302" t="s">
        <v>20</v>
      </c>
      <c r="D38" s="301">
        <v>2019</v>
      </c>
      <c r="E38" s="303" t="s">
        <v>113</v>
      </c>
      <c r="F38" s="301" t="s">
        <v>53</v>
      </c>
      <c r="G38" s="238" t="s">
        <v>53</v>
      </c>
      <c r="H38" s="304">
        <f t="shared" si="2"/>
        <v>7500000</v>
      </c>
      <c r="I38" s="304">
        <f t="shared" si="3"/>
        <v>7500000</v>
      </c>
      <c r="J38" s="304">
        <f t="shared" si="4"/>
        <v>0</v>
      </c>
      <c r="K38" s="304"/>
      <c r="L38" s="304"/>
      <c r="M38" s="304"/>
      <c r="N38" s="304"/>
      <c r="O38" s="304">
        <f t="shared" si="5"/>
        <v>7500000</v>
      </c>
      <c r="P38" s="304">
        <v>7500000</v>
      </c>
      <c r="Q38" s="304"/>
      <c r="R38" s="304"/>
      <c r="S38" s="304"/>
      <c r="T38" s="304">
        <f t="shared" si="6"/>
        <v>0</v>
      </c>
      <c r="U38" s="304"/>
      <c r="V38" s="304"/>
      <c r="W38" s="304"/>
      <c r="X38" s="304"/>
      <c r="Y38" s="304">
        <f t="shared" si="7"/>
        <v>0</v>
      </c>
      <c r="Z38" s="304"/>
      <c r="AA38" s="304"/>
      <c r="AB38" s="304"/>
      <c r="AC38" s="304"/>
      <c r="AD38" s="304"/>
      <c r="AE38" s="304"/>
      <c r="AF38" s="304"/>
      <c r="AG38" s="304">
        <f t="shared" si="8"/>
        <v>7420825</v>
      </c>
      <c r="AH38" s="304">
        <f t="shared" si="9"/>
        <v>7420825</v>
      </c>
      <c r="AI38" s="304">
        <f t="shared" si="10"/>
        <v>0</v>
      </c>
      <c r="AJ38" s="304"/>
      <c r="AK38" s="304"/>
      <c r="AL38" s="304"/>
      <c r="AM38" s="304"/>
      <c r="AN38" s="304">
        <f t="shared" si="11"/>
        <v>7420825</v>
      </c>
      <c r="AO38" s="304">
        <v>7420825</v>
      </c>
      <c r="AP38" s="304"/>
      <c r="AQ38" s="304"/>
      <c r="AR38" s="304"/>
      <c r="AS38" s="304">
        <f t="shared" si="12"/>
        <v>0</v>
      </c>
      <c r="AT38" s="304"/>
      <c r="AU38" s="304"/>
      <c r="AV38" s="304"/>
      <c r="AW38" s="304"/>
      <c r="AX38" s="304">
        <f t="shared" si="13"/>
        <v>0</v>
      </c>
      <c r="AY38" s="304"/>
      <c r="AZ38" s="304"/>
      <c r="BA38" s="304"/>
      <c r="BB38" s="304"/>
      <c r="BC38" s="304"/>
      <c r="BD38" s="304"/>
      <c r="BE38" s="305">
        <v>0</v>
      </c>
      <c r="BF38" s="238" t="s">
        <v>53</v>
      </c>
      <c r="BG38" s="263" t="s">
        <v>70</v>
      </c>
      <c r="BH38" s="306"/>
    </row>
    <row r="39" s="270" customFormat="1" ht="15" hidden="1" spans="1:60">
      <c r="A39" s="301">
        <v>32</v>
      </c>
      <c r="B39" s="302" t="s">
        <v>19</v>
      </c>
      <c r="C39" s="302" t="s">
        <v>20</v>
      </c>
      <c r="D39" s="301">
        <v>2019</v>
      </c>
      <c r="E39" s="303" t="s">
        <v>114</v>
      </c>
      <c r="F39" s="301" t="s">
        <v>53</v>
      </c>
      <c r="G39" s="238" t="s">
        <v>56</v>
      </c>
      <c r="H39" s="304">
        <f t="shared" si="2"/>
        <v>6954800</v>
      </c>
      <c r="I39" s="304">
        <f t="shared" si="3"/>
        <v>6954800</v>
      </c>
      <c r="J39" s="304">
        <f t="shared" si="4"/>
        <v>0</v>
      </c>
      <c r="K39" s="304"/>
      <c r="L39" s="304"/>
      <c r="M39" s="304"/>
      <c r="N39" s="304"/>
      <c r="O39" s="304">
        <f t="shared" si="5"/>
        <v>6954800</v>
      </c>
      <c r="P39" s="304">
        <v>2780000</v>
      </c>
      <c r="Q39" s="304">
        <v>4174800</v>
      </c>
      <c r="R39" s="304"/>
      <c r="S39" s="304"/>
      <c r="T39" s="304">
        <f t="shared" si="6"/>
        <v>0</v>
      </c>
      <c r="U39" s="304"/>
      <c r="V39" s="304"/>
      <c r="W39" s="304"/>
      <c r="X39" s="304"/>
      <c r="Y39" s="304">
        <f t="shared" si="7"/>
        <v>0</v>
      </c>
      <c r="Z39" s="304"/>
      <c r="AA39" s="304"/>
      <c r="AB39" s="304"/>
      <c r="AC39" s="304"/>
      <c r="AD39" s="304"/>
      <c r="AE39" s="304"/>
      <c r="AF39" s="304"/>
      <c r="AG39" s="304">
        <f t="shared" si="8"/>
        <v>6221460.04</v>
      </c>
      <c r="AH39" s="304">
        <f t="shared" si="9"/>
        <v>6221460.04</v>
      </c>
      <c r="AI39" s="304">
        <f t="shared" si="10"/>
        <v>0</v>
      </c>
      <c r="AJ39" s="304"/>
      <c r="AK39" s="304"/>
      <c r="AL39" s="304"/>
      <c r="AM39" s="304"/>
      <c r="AN39" s="304">
        <f t="shared" si="11"/>
        <v>6221460.04</v>
      </c>
      <c r="AO39" s="304">
        <v>2780000</v>
      </c>
      <c r="AP39" s="304">
        <v>3441460.04</v>
      </c>
      <c r="AQ39" s="304"/>
      <c r="AR39" s="304"/>
      <c r="AS39" s="304">
        <f t="shared" si="12"/>
        <v>0</v>
      </c>
      <c r="AT39" s="304"/>
      <c r="AU39" s="304"/>
      <c r="AV39" s="304"/>
      <c r="AW39" s="304"/>
      <c r="AX39" s="304">
        <f t="shared" si="13"/>
        <v>0</v>
      </c>
      <c r="AY39" s="304"/>
      <c r="AZ39" s="304"/>
      <c r="BA39" s="304"/>
      <c r="BB39" s="304"/>
      <c r="BC39" s="304"/>
      <c r="BD39" s="304"/>
      <c r="BE39" s="305"/>
      <c r="BF39" s="238" t="s">
        <v>53</v>
      </c>
      <c r="BG39" s="263" t="s">
        <v>70</v>
      </c>
      <c r="BH39" s="306" t="s">
        <v>115</v>
      </c>
    </row>
    <row r="40" s="270" customFormat="1" ht="15" hidden="1" spans="1:60">
      <c r="A40" s="301">
        <v>33</v>
      </c>
      <c r="B40" s="302" t="s">
        <v>19</v>
      </c>
      <c r="C40" s="302" t="s">
        <v>20</v>
      </c>
      <c r="D40" s="301">
        <v>2019</v>
      </c>
      <c r="E40" s="303" t="s">
        <v>116</v>
      </c>
      <c r="F40" s="301" t="s">
        <v>53</v>
      </c>
      <c r="G40" s="238" t="s">
        <v>56</v>
      </c>
      <c r="H40" s="304">
        <f t="shared" si="2"/>
        <v>965400</v>
      </c>
      <c r="I40" s="304">
        <f t="shared" si="3"/>
        <v>965400</v>
      </c>
      <c r="J40" s="304">
        <f t="shared" si="4"/>
        <v>0</v>
      </c>
      <c r="K40" s="304"/>
      <c r="L40" s="304"/>
      <c r="M40" s="304"/>
      <c r="N40" s="304"/>
      <c r="O40" s="304">
        <f t="shared" si="5"/>
        <v>965400</v>
      </c>
      <c r="P40" s="304">
        <v>965400</v>
      </c>
      <c r="Q40" s="304"/>
      <c r="R40" s="304"/>
      <c r="S40" s="304"/>
      <c r="T40" s="304">
        <f t="shared" si="6"/>
        <v>0</v>
      </c>
      <c r="U40" s="304"/>
      <c r="V40" s="304"/>
      <c r="W40" s="304"/>
      <c r="X40" s="304"/>
      <c r="Y40" s="304">
        <f t="shared" si="7"/>
        <v>0</v>
      </c>
      <c r="Z40" s="304"/>
      <c r="AA40" s="304"/>
      <c r="AB40" s="304"/>
      <c r="AC40" s="304"/>
      <c r="AD40" s="304"/>
      <c r="AE40" s="304"/>
      <c r="AF40" s="304"/>
      <c r="AG40" s="304">
        <f t="shared" si="8"/>
        <v>945500</v>
      </c>
      <c r="AH40" s="304">
        <f t="shared" si="9"/>
        <v>945500</v>
      </c>
      <c r="AI40" s="304">
        <f t="shared" si="10"/>
        <v>0</v>
      </c>
      <c r="AJ40" s="304"/>
      <c r="AK40" s="304"/>
      <c r="AL40" s="304"/>
      <c r="AM40" s="304"/>
      <c r="AN40" s="304">
        <f t="shared" si="11"/>
        <v>945500</v>
      </c>
      <c r="AO40" s="304">
        <v>945500</v>
      </c>
      <c r="AP40" s="304"/>
      <c r="AQ40" s="304"/>
      <c r="AR40" s="304"/>
      <c r="AS40" s="304">
        <f t="shared" si="12"/>
        <v>0</v>
      </c>
      <c r="AT40" s="304"/>
      <c r="AU40" s="304"/>
      <c r="AV40" s="304"/>
      <c r="AW40" s="304"/>
      <c r="AX40" s="304">
        <f t="shared" si="13"/>
        <v>0</v>
      </c>
      <c r="AY40" s="304"/>
      <c r="AZ40" s="304"/>
      <c r="BA40" s="304"/>
      <c r="BB40" s="304"/>
      <c r="BC40" s="304"/>
      <c r="BD40" s="304"/>
      <c r="BE40" s="305"/>
      <c r="BF40" s="238" t="s">
        <v>53</v>
      </c>
      <c r="BG40" s="263" t="s">
        <v>117</v>
      </c>
      <c r="BH40" s="306" t="s">
        <v>67</v>
      </c>
    </row>
    <row r="41" s="270" customFormat="1" hidden="1" customHeight="1" spans="1:60">
      <c r="A41" s="301">
        <v>34</v>
      </c>
      <c r="B41" s="302" t="s">
        <v>19</v>
      </c>
      <c r="C41" s="302" t="s">
        <v>20</v>
      </c>
      <c r="D41" s="301">
        <v>2019</v>
      </c>
      <c r="E41" s="303" t="s">
        <v>118</v>
      </c>
      <c r="F41" s="301" t="s">
        <v>53</v>
      </c>
      <c r="G41" s="238" t="s">
        <v>56</v>
      </c>
      <c r="H41" s="304">
        <f t="shared" si="2"/>
        <v>3924900</v>
      </c>
      <c r="I41" s="304">
        <f t="shared" si="3"/>
        <v>3924900</v>
      </c>
      <c r="J41" s="304">
        <f t="shared" si="4"/>
        <v>0</v>
      </c>
      <c r="K41" s="304"/>
      <c r="L41" s="304"/>
      <c r="M41" s="304"/>
      <c r="N41" s="304"/>
      <c r="O41" s="304">
        <f t="shared" si="5"/>
        <v>3924900</v>
      </c>
      <c r="P41" s="304">
        <v>3576800</v>
      </c>
      <c r="Q41" s="304">
        <v>348100</v>
      </c>
      <c r="R41" s="304"/>
      <c r="S41" s="304"/>
      <c r="T41" s="304">
        <f t="shared" si="6"/>
        <v>0</v>
      </c>
      <c r="U41" s="304"/>
      <c r="V41" s="304"/>
      <c r="W41" s="304"/>
      <c r="X41" s="304"/>
      <c r="Y41" s="304">
        <f t="shared" si="7"/>
        <v>0</v>
      </c>
      <c r="Z41" s="304"/>
      <c r="AA41" s="304"/>
      <c r="AB41" s="304"/>
      <c r="AC41" s="304"/>
      <c r="AD41" s="304"/>
      <c r="AE41" s="304"/>
      <c r="AF41" s="304"/>
      <c r="AG41" s="304">
        <f t="shared" si="8"/>
        <v>3854479.57</v>
      </c>
      <c r="AH41" s="304">
        <f t="shared" si="9"/>
        <v>3854479.57</v>
      </c>
      <c r="AI41" s="304">
        <f t="shared" si="10"/>
        <v>0</v>
      </c>
      <c r="AJ41" s="304"/>
      <c r="AK41" s="304"/>
      <c r="AL41" s="304"/>
      <c r="AM41" s="304"/>
      <c r="AN41" s="304">
        <f t="shared" si="11"/>
        <v>3854479.57</v>
      </c>
      <c r="AO41" s="304">
        <v>3576800</v>
      </c>
      <c r="AP41" s="304">
        <v>277679.57</v>
      </c>
      <c r="AQ41" s="304"/>
      <c r="AR41" s="304"/>
      <c r="AS41" s="304">
        <f t="shared" si="12"/>
        <v>0</v>
      </c>
      <c r="AT41" s="304"/>
      <c r="AU41" s="304"/>
      <c r="AV41" s="304"/>
      <c r="AW41" s="304"/>
      <c r="AX41" s="304">
        <f t="shared" si="13"/>
        <v>0</v>
      </c>
      <c r="AY41" s="304"/>
      <c r="AZ41" s="304"/>
      <c r="BA41" s="304"/>
      <c r="BB41" s="304"/>
      <c r="BC41" s="304"/>
      <c r="BD41" s="304"/>
      <c r="BE41" s="305"/>
      <c r="BF41" s="238" t="s">
        <v>53</v>
      </c>
      <c r="BG41" s="263" t="s">
        <v>54</v>
      </c>
      <c r="BH41" s="306"/>
    </row>
    <row r="42" s="270" customFormat="1" ht="15" hidden="1" spans="1:60">
      <c r="A42" s="301">
        <v>35</v>
      </c>
      <c r="B42" s="302" t="s">
        <v>19</v>
      </c>
      <c r="C42" s="302" t="s">
        <v>20</v>
      </c>
      <c r="D42" s="301">
        <v>2020</v>
      </c>
      <c r="E42" s="303" t="s">
        <v>119</v>
      </c>
      <c r="F42" s="301" t="s">
        <v>53</v>
      </c>
      <c r="G42" s="238" t="s">
        <v>53</v>
      </c>
      <c r="H42" s="304">
        <f t="shared" si="2"/>
        <v>3600000</v>
      </c>
      <c r="I42" s="304">
        <f t="shared" si="3"/>
        <v>2400000</v>
      </c>
      <c r="J42" s="304">
        <f t="shared" si="4"/>
        <v>0</v>
      </c>
      <c r="K42" s="304"/>
      <c r="L42" s="304"/>
      <c r="M42" s="304"/>
      <c r="N42" s="304"/>
      <c r="O42" s="304">
        <f t="shared" si="5"/>
        <v>2400000</v>
      </c>
      <c r="P42" s="304">
        <v>2400000</v>
      </c>
      <c r="Q42" s="304"/>
      <c r="R42" s="304"/>
      <c r="S42" s="304">
        <v>0</v>
      </c>
      <c r="T42" s="304">
        <f t="shared" si="6"/>
        <v>0</v>
      </c>
      <c r="U42" s="304"/>
      <c r="V42" s="304"/>
      <c r="W42" s="304"/>
      <c r="X42" s="304"/>
      <c r="Y42" s="304">
        <f t="shared" si="7"/>
        <v>0</v>
      </c>
      <c r="Z42" s="304"/>
      <c r="AA42" s="304"/>
      <c r="AB42" s="304"/>
      <c r="AC42" s="304"/>
      <c r="AD42" s="304"/>
      <c r="AE42" s="304"/>
      <c r="AF42" s="304">
        <v>1200000</v>
      </c>
      <c r="AG42" s="304">
        <f t="shared" si="8"/>
        <v>3600000</v>
      </c>
      <c r="AH42" s="304">
        <f t="shared" si="9"/>
        <v>2400000</v>
      </c>
      <c r="AI42" s="304">
        <f t="shared" si="10"/>
        <v>0</v>
      </c>
      <c r="AJ42" s="304"/>
      <c r="AK42" s="304"/>
      <c r="AL42" s="304"/>
      <c r="AM42" s="304"/>
      <c r="AN42" s="304">
        <f t="shared" si="11"/>
        <v>2400000</v>
      </c>
      <c r="AO42" s="304">
        <v>2400000</v>
      </c>
      <c r="AP42" s="304"/>
      <c r="AQ42" s="304"/>
      <c r="AR42" s="304"/>
      <c r="AS42" s="304">
        <f t="shared" si="12"/>
        <v>0</v>
      </c>
      <c r="AT42" s="304"/>
      <c r="AU42" s="304"/>
      <c r="AV42" s="304"/>
      <c r="AW42" s="304"/>
      <c r="AX42" s="304">
        <f t="shared" si="13"/>
        <v>0</v>
      </c>
      <c r="AY42" s="304"/>
      <c r="AZ42" s="304"/>
      <c r="BA42" s="304"/>
      <c r="BB42" s="304"/>
      <c r="BC42" s="304"/>
      <c r="BD42" s="304"/>
      <c r="BE42" s="305">
        <v>1200000</v>
      </c>
      <c r="BF42" s="238" t="s">
        <v>53</v>
      </c>
      <c r="BG42" s="263" t="s">
        <v>120</v>
      </c>
      <c r="BH42" s="306" t="s">
        <v>121</v>
      </c>
    </row>
    <row r="43" s="270" customFormat="1" ht="15" hidden="1" spans="1:60">
      <c r="A43" s="301">
        <v>36</v>
      </c>
      <c r="B43" s="302" t="s">
        <v>19</v>
      </c>
      <c r="C43" s="302" t="s">
        <v>20</v>
      </c>
      <c r="D43" s="301">
        <v>2020</v>
      </c>
      <c r="E43" s="303" t="s">
        <v>122</v>
      </c>
      <c r="F43" s="301" t="s">
        <v>53</v>
      </c>
      <c r="G43" s="238" t="s">
        <v>53</v>
      </c>
      <c r="H43" s="304">
        <f t="shared" si="2"/>
        <v>1370000</v>
      </c>
      <c r="I43" s="304">
        <f t="shared" si="3"/>
        <v>1370000</v>
      </c>
      <c r="J43" s="304">
        <f t="shared" si="4"/>
        <v>0</v>
      </c>
      <c r="K43" s="304"/>
      <c r="L43" s="304"/>
      <c r="M43" s="304"/>
      <c r="N43" s="304"/>
      <c r="O43" s="304">
        <f t="shared" si="5"/>
        <v>1370000</v>
      </c>
      <c r="P43" s="304"/>
      <c r="Q43" s="304"/>
      <c r="R43" s="304"/>
      <c r="S43" s="304">
        <v>1370000</v>
      </c>
      <c r="T43" s="304">
        <f t="shared" si="6"/>
        <v>0</v>
      </c>
      <c r="U43" s="304"/>
      <c r="V43" s="304"/>
      <c r="W43" s="304"/>
      <c r="X43" s="304"/>
      <c r="Y43" s="304">
        <f t="shared" si="7"/>
        <v>0</v>
      </c>
      <c r="Z43" s="304"/>
      <c r="AA43" s="304"/>
      <c r="AB43" s="304"/>
      <c r="AC43" s="304"/>
      <c r="AD43" s="304"/>
      <c r="AE43" s="304"/>
      <c r="AF43" s="304"/>
      <c r="AG43" s="304">
        <f t="shared" si="8"/>
        <v>1336574</v>
      </c>
      <c r="AH43" s="304">
        <f t="shared" si="9"/>
        <v>1336574</v>
      </c>
      <c r="AI43" s="304">
        <f t="shared" si="10"/>
        <v>0</v>
      </c>
      <c r="AJ43" s="304"/>
      <c r="AK43" s="304"/>
      <c r="AL43" s="304"/>
      <c r="AM43" s="304"/>
      <c r="AN43" s="304">
        <f t="shared" si="11"/>
        <v>1336574</v>
      </c>
      <c r="AO43" s="304"/>
      <c r="AP43" s="304"/>
      <c r="AQ43" s="304"/>
      <c r="AR43" s="304">
        <v>1336574</v>
      </c>
      <c r="AS43" s="304">
        <f t="shared" si="12"/>
        <v>0</v>
      </c>
      <c r="AT43" s="304"/>
      <c r="AU43" s="304"/>
      <c r="AV43" s="304"/>
      <c r="AW43" s="304"/>
      <c r="AX43" s="304">
        <f t="shared" si="13"/>
        <v>0</v>
      </c>
      <c r="AY43" s="304"/>
      <c r="AZ43" s="304"/>
      <c r="BA43" s="304"/>
      <c r="BB43" s="304"/>
      <c r="BC43" s="304"/>
      <c r="BD43" s="304"/>
      <c r="BE43" s="305">
        <v>0</v>
      </c>
      <c r="BF43" s="238" t="s">
        <v>53</v>
      </c>
      <c r="BG43" s="263" t="s">
        <v>54</v>
      </c>
      <c r="BH43" s="306"/>
    </row>
    <row r="44" s="270" customFormat="1" ht="15" hidden="1" spans="1:60">
      <c r="A44" s="301">
        <v>37</v>
      </c>
      <c r="B44" s="302" t="s">
        <v>19</v>
      </c>
      <c r="C44" s="302" t="s">
        <v>20</v>
      </c>
      <c r="D44" s="301">
        <v>2020</v>
      </c>
      <c r="E44" s="303" t="s">
        <v>123</v>
      </c>
      <c r="F44" s="301" t="s">
        <v>53</v>
      </c>
      <c r="G44" s="238" t="s">
        <v>53</v>
      </c>
      <c r="H44" s="304">
        <f t="shared" si="2"/>
        <v>500000</v>
      </c>
      <c r="I44" s="304">
        <f t="shared" si="3"/>
        <v>500000</v>
      </c>
      <c r="J44" s="304">
        <f t="shared" si="4"/>
        <v>0</v>
      </c>
      <c r="K44" s="304"/>
      <c r="L44" s="304"/>
      <c r="M44" s="304"/>
      <c r="N44" s="304"/>
      <c r="O44" s="304">
        <f t="shared" si="5"/>
        <v>350000</v>
      </c>
      <c r="P44" s="304"/>
      <c r="Q44" s="304">
        <v>350000</v>
      </c>
      <c r="R44" s="304"/>
      <c r="S44" s="304"/>
      <c r="T44" s="304">
        <f t="shared" si="6"/>
        <v>150000</v>
      </c>
      <c r="U44" s="304">
        <v>150000</v>
      </c>
      <c r="V44" s="304"/>
      <c r="W44" s="304"/>
      <c r="X44" s="304"/>
      <c r="Y44" s="304">
        <f t="shared" si="7"/>
        <v>0</v>
      </c>
      <c r="Z44" s="304"/>
      <c r="AA44" s="304"/>
      <c r="AB44" s="304"/>
      <c r="AC44" s="304"/>
      <c r="AD44" s="304"/>
      <c r="AE44" s="304"/>
      <c r="AF44" s="304"/>
      <c r="AG44" s="304">
        <f t="shared" si="8"/>
        <v>500000</v>
      </c>
      <c r="AH44" s="304">
        <f t="shared" si="9"/>
        <v>500000</v>
      </c>
      <c r="AI44" s="304">
        <f t="shared" si="10"/>
        <v>0</v>
      </c>
      <c r="AJ44" s="304"/>
      <c r="AK44" s="304"/>
      <c r="AL44" s="304"/>
      <c r="AM44" s="304"/>
      <c r="AN44" s="304">
        <f t="shared" si="11"/>
        <v>350000</v>
      </c>
      <c r="AO44" s="304"/>
      <c r="AP44" s="304">
        <v>350000</v>
      </c>
      <c r="AQ44" s="304"/>
      <c r="AR44" s="304"/>
      <c r="AS44" s="304">
        <f t="shared" si="12"/>
        <v>150000</v>
      </c>
      <c r="AT44" s="304">
        <v>150000</v>
      </c>
      <c r="AU44" s="304"/>
      <c r="AV44" s="304"/>
      <c r="AW44" s="304"/>
      <c r="AX44" s="304">
        <f t="shared" si="13"/>
        <v>0</v>
      </c>
      <c r="AY44" s="304"/>
      <c r="AZ44" s="304"/>
      <c r="BA44" s="304"/>
      <c r="BB44" s="304"/>
      <c r="BC44" s="304"/>
      <c r="BD44" s="304"/>
      <c r="BE44" s="305">
        <v>0</v>
      </c>
      <c r="BF44" s="238" t="s">
        <v>53</v>
      </c>
      <c r="BG44" s="263" t="s">
        <v>54</v>
      </c>
      <c r="BH44" s="306" t="s">
        <v>124</v>
      </c>
    </row>
    <row r="45" s="270" customFormat="1" ht="15" hidden="1" spans="1:60">
      <c r="A45" s="301">
        <v>38</v>
      </c>
      <c r="B45" s="302" t="s">
        <v>19</v>
      </c>
      <c r="C45" s="302" t="s">
        <v>20</v>
      </c>
      <c r="D45" s="301">
        <v>2020</v>
      </c>
      <c r="E45" s="303" t="s">
        <v>125</v>
      </c>
      <c r="F45" s="301" t="s">
        <v>53</v>
      </c>
      <c r="G45" s="238" t="s">
        <v>53</v>
      </c>
      <c r="H45" s="304">
        <f t="shared" si="2"/>
        <v>500000</v>
      </c>
      <c r="I45" s="304">
        <f t="shared" si="3"/>
        <v>500000</v>
      </c>
      <c r="J45" s="304">
        <f t="shared" si="4"/>
        <v>0</v>
      </c>
      <c r="K45" s="304"/>
      <c r="L45" s="304"/>
      <c r="M45" s="304"/>
      <c r="N45" s="304"/>
      <c r="O45" s="304">
        <f t="shared" si="5"/>
        <v>350000</v>
      </c>
      <c r="P45" s="304"/>
      <c r="Q45" s="304">
        <v>350000</v>
      </c>
      <c r="R45" s="304"/>
      <c r="S45" s="304"/>
      <c r="T45" s="304">
        <f t="shared" si="6"/>
        <v>150000</v>
      </c>
      <c r="U45" s="304">
        <v>150000</v>
      </c>
      <c r="V45" s="304"/>
      <c r="W45" s="304"/>
      <c r="X45" s="304"/>
      <c r="Y45" s="304">
        <f t="shared" si="7"/>
        <v>0</v>
      </c>
      <c r="Z45" s="304"/>
      <c r="AA45" s="304"/>
      <c r="AB45" s="304"/>
      <c r="AC45" s="304"/>
      <c r="AD45" s="304"/>
      <c r="AE45" s="304"/>
      <c r="AF45" s="304"/>
      <c r="AG45" s="304">
        <f t="shared" si="8"/>
        <v>500000</v>
      </c>
      <c r="AH45" s="304">
        <f t="shared" si="9"/>
        <v>500000</v>
      </c>
      <c r="AI45" s="304">
        <f t="shared" si="10"/>
        <v>0</v>
      </c>
      <c r="AJ45" s="304"/>
      <c r="AK45" s="304"/>
      <c r="AL45" s="304"/>
      <c r="AM45" s="304"/>
      <c r="AN45" s="304">
        <f t="shared" si="11"/>
        <v>350000</v>
      </c>
      <c r="AO45" s="304"/>
      <c r="AP45" s="304">
        <v>350000</v>
      </c>
      <c r="AQ45" s="304"/>
      <c r="AR45" s="304"/>
      <c r="AS45" s="304">
        <f t="shared" si="12"/>
        <v>150000</v>
      </c>
      <c r="AT45" s="304">
        <v>150000</v>
      </c>
      <c r="AU45" s="304"/>
      <c r="AV45" s="304"/>
      <c r="AW45" s="304"/>
      <c r="AX45" s="304">
        <f t="shared" si="13"/>
        <v>0</v>
      </c>
      <c r="AY45" s="304"/>
      <c r="AZ45" s="304"/>
      <c r="BA45" s="304"/>
      <c r="BB45" s="304"/>
      <c r="BC45" s="304"/>
      <c r="BD45" s="304"/>
      <c r="BE45" s="305">
        <v>0</v>
      </c>
      <c r="BF45" s="238" t="s">
        <v>53</v>
      </c>
      <c r="BG45" s="263" t="s">
        <v>54</v>
      </c>
      <c r="BH45" s="306" t="s">
        <v>124</v>
      </c>
    </row>
    <row r="46" s="270" customFormat="1" ht="15" hidden="1" spans="1:60">
      <c r="A46" s="301">
        <v>39</v>
      </c>
      <c r="B46" s="302" t="s">
        <v>19</v>
      </c>
      <c r="C46" s="302" t="s">
        <v>20</v>
      </c>
      <c r="D46" s="301">
        <v>2020</v>
      </c>
      <c r="E46" s="303" t="s">
        <v>126</v>
      </c>
      <c r="F46" s="301" t="s">
        <v>53</v>
      </c>
      <c r="G46" s="238" t="s">
        <v>53</v>
      </c>
      <c r="H46" s="304">
        <f t="shared" si="2"/>
        <v>600000</v>
      </c>
      <c r="I46" s="304">
        <f t="shared" si="3"/>
        <v>600000</v>
      </c>
      <c r="J46" s="304">
        <f t="shared" si="4"/>
        <v>0</v>
      </c>
      <c r="K46" s="304"/>
      <c r="L46" s="304"/>
      <c r="M46" s="304"/>
      <c r="N46" s="304"/>
      <c r="O46" s="304">
        <f t="shared" si="5"/>
        <v>600000</v>
      </c>
      <c r="P46" s="304"/>
      <c r="Q46" s="304">
        <v>600000</v>
      </c>
      <c r="R46" s="304"/>
      <c r="S46" s="304"/>
      <c r="T46" s="304">
        <f t="shared" si="6"/>
        <v>0</v>
      </c>
      <c r="U46" s="304"/>
      <c r="V46" s="304"/>
      <c r="W46" s="304"/>
      <c r="X46" s="304"/>
      <c r="Y46" s="304">
        <f t="shared" si="7"/>
        <v>0</v>
      </c>
      <c r="Z46" s="304"/>
      <c r="AA46" s="304"/>
      <c r="AB46" s="304"/>
      <c r="AC46" s="304"/>
      <c r="AD46" s="304"/>
      <c r="AE46" s="304"/>
      <c r="AF46" s="304"/>
      <c r="AG46" s="304">
        <f t="shared" si="8"/>
        <v>593600</v>
      </c>
      <c r="AH46" s="304">
        <f t="shared" si="9"/>
        <v>593600</v>
      </c>
      <c r="AI46" s="304">
        <f t="shared" si="10"/>
        <v>0</v>
      </c>
      <c r="AJ46" s="304"/>
      <c r="AK46" s="304"/>
      <c r="AL46" s="304"/>
      <c r="AM46" s="304"/>
      <c r="AN46" s="304">
        <f t="shared" si="11"/>
        <v>593600</v>
      </c>
      <c r="AO46" s="304"/>
      <c r="AP46" s="304">
        <v>593600</v>
      </c>
      <c r="AQ46" s="304"/>
      <c r="AR46" s="304"/>
      <c r="AS46" s="304">
        <f t="shared" si="12"/>
        <v>0</v>
      </c>
      <c r="AT46" s="304"/>
      <c r="AU46" s="304"/>
      <c r="AV46" s="304"/>
      <c r="AW46" s="304"/>
      <c r="AX46" s="304">
        <f t="shared" si="13"/>
        <v>0</v>
      </c>
      <c r="AY46" s="304"/>
      <c r="AZ46" s="304"/>
      <c r="BA46" s="304"/>
      <c r="BB46" s="304"/>
      <c r="BC46" s="304"/>
      <c r="BD46" s="304"/>
      <c r="BE46" s="305">
        <v>0</v>
      </c>
      <c r="BF46" s="238" t="s">
        <v>53</v>
      </c>
      <c r="BG46" s="263" t="s">
        <v>127</v>
      </c>
      <c r="BH46" s="306" t="s">
        <v>82</v>
      </c>
    </row>
    <row r="47" s="270" customFormat="1" ht="15" hidden="1" spans="1:60">
      <c r="A47" s="301">
        <v>40</v>
      </c>
      <c r="B47" s="302" t="s">
        <v>19</v>
      </c>
      <c r="C47" s="302" t="s">
        <v>20</v>
      </c>
      <c r="D47" s="301">
        <v>2020</v>
      </c>
      <c r="E47" s="303" t="s">
        <v>128</v>
      </c>
      <c r="F47" s="301" t="s">
        <v>53</v>
      </c>
      <c r="G47" s="238" t="s">
        <v>53</v>
      </c>
      <c r="H47" s="304">
        <f t="shared" si="2"/>
        <v>1660000</v>
      </c>
      <c r="I47" s="304">
        <f t="shared" si="3"/>
        <v>1660000</v>
      </c>
      <c r="J47" s="304">
        <f t="shared" si="4"/>
        <v>0</v>
      </c>
      <c r="K47" s="304"/>
      <c r="L47" s="304"/>
      <c r="M47" s="304"/>
      <c r="N47" s="304"/>
      <c r="O47" s="304">
        <f t="shared" si="5"/>
        <v>662400</v>
      </c>
      <c r="P47" s="304"/>
      <c r="Q47" s="304">
        <v>662400</v>
      </c>
      <c r="R47" s="304"/>
      <c r="S47" s="304"/>
      <c r="T47" s="304">
        <f t="shared" si="6"/>
        <v>997600</v>
      </c>
      <c r="U47" s="304">
        <v>997600</v>
      </c>
      <c r="V47" s="304"/>
      <c r="W47" s="304"/>
      <c r="X47" s="304"/>
      <c r="Y47" s="304">
        <f t="shared" si="7"/>
        <v>0</v>
      </c>
      <c r="Z47" s="304"/>
      <c r="AA47" s="304"/>
      <c r="AB47" s="304"/>
      <c r="AC47" s="304"/>
      <c r="AD47" s="304"/>
      <c r="AE47" s="304"/>
      <c r="AF47" s="304"/>
      <c r="AG47" s="304">
        <f t="shared" si="8"/>
        <v>1660000</v>
      </c>
      <c r="AH47" s="304">
        <f t="shared" si="9"/>
        <v>1660000</v>
      </c>
      <c r="AI47" s="304">
        <f t="shared" si="10"/>
        <v>0</v>
      </c>
      <c r="AJ47" s="304"/>
      <c r="AK47" s="304"/>
      <c r="AL47" s="304"/>
      <c r="AM47" s="304"/>
      <c r="AN47" s="304">
        <f t="shared" si="11"/>
        <v>662400</v>
      </c>
      <c r="AO47" s="304"/>
      <c r="AP47" s="304">
        <v>662400</v>
      </c>
      <c r="AQ47" s="304"/>
      <c r="AR47" s="304"/>
      <c r="AS47" s="304">
        <f t="shared" si="12"/>
        <v>997600</v>
      </c>
      <c r="AT47" s="304">
        <v>997600</v>
      </c>
      <c r="AU47" s="304"/>
      <c r="AV47" s="304"/>
      <c r="AW47" s="304"/>
      <c r="AX47" s="304">
        <f t="shared" si="13"/>
        <v>0</v>
      </c>
      <c r="AY47" s="304"/>
      <c r="AZ47" s="304"/>
      <c r="BA47" s="304"/>
      <c r="BB47" s="304"/>
      <c r="BC47" s="304"/>
      <c r="BD47" s="304"/>
      <c r="BE47" s="305">
        <v>0</v>
      </c>
      <c r="BF47" s="238" t="s">
        <v>53</v>
      </c>
      <c r="BG47" s="263" t="s">
        <v>54</v>
      </c>
      <c r="BH47" s="306"/>
    </row>
    <row r="48" s="270" customFormat="1" ht="15" hidden="1" spans="1:60">
      <c r="A48" s="301">
        <v>41</v>
      </c>
      <c r="B48" s="302" t="s">
        <v>19</v>
      </c>
      <c r="C48" s="302" t="s">
        <v>20</v>
      </c>
      <c r="D48" s="301">
        <v>2020</v>
      </c>
      <c r="E48" s="303" t="s">
        <v>129</v>
      </c>
      <c r="F48" s="301" t="s">
        <v>53</v>
      </c>
      <c r="G48" s="238" t="s">
        <v>53</v>
      </c>
      <c r="H48" s="304">
        <f t="shared" si="2"/>
        <v>3910700</v>
      </c>
      <c r="I48" s="304">
        <f t="shared" si="3"/>
        <v>3910700</v>
      </c>
      <c r="J48" s="304">
        <f t="shared" si="4"/>
        <v>0</v>
      </c>
      <c r="K48" s="304"/>
      <c r="L48" s="304"/>
      <c r="M48" s="304"/>
      <c r="N48" s="304"/>
      <c r="O48" s="304">
        <f t="shared" si="5"/>
        <v>1458200</v>
      </c>
      <c r="P48" s="304"/>
      <c r="Q48" s="304">
        <v>1458200</v>
      </c>
      <c r="R48" s="304"/>
      <c r="S48" s="304"/>
      <c r="T48" s="304">
        <f t="shared" si="6"/>
        <v>2452500</v>
      </c>
      <c r="U48" s="304">
        <v>2452500</v>
      </c>
      <c r="V48" s="304"/>
      <c r="W48" s="304"/>
      <c r="X48" s="304"/>
      <c r="Y48" s="304">
        <f t="shared" si="7"/>
        <v>0</v>
      </c>
      <c r="Z48" s="304"/>
      <c r="AA48" s="304"/>
      <c r="AB48" s="304"/>
      <c r="AC48" s="304"/>
      <c r="AD48" s="304"/>
      <c r="AE48" s="304"/>
      <c r="AF48" s="304"/>
      <c r="AG48" s="304">
        <f t="shared" si="8"/>
        <v>3910700</v>
      </c>
      <c r="AH48" s="304">
        <f t="shared" si="9"/>
        <v>3910700</v>
      </c>
      <c r="AI48" s="304">
        <f t="shared" si="10"/>
        <v>0</v>
      </c>
      <c r="AJ48" s="304"/>
      <c r="AK48" s="304"/>
      <c r="AL48" s="304"/>
      <c r="AM48" s="304"/>
      <c r="AN48" s="304">
        <f t="shared" si="11"/>
        <v>1458200</v>
      </c>
      <c r="AO48" s="304"/>
      <c r="AP48" s="304">
        <v>1458200</v>
      </c>
      <c r="AQ48" s="304"/>
      <c r="AR48" s="304"/>
      <c r="AS48" s="304">
        <f t="shared" si="12"/>
        <v>2452500</v>
      </c>
      <c r="AT48" s="304">
        <v>2452500</v>
      </c>
      <c r="AU48" s="304"/>
      <c r="AV48" s="304"/>
      <c r="AW48" s="304"/>
      <c r="AX48" s="304">
        <f t="shared" si="13"/>
        <v>0</v>
      </c>
      <c r="AY48" s="304"/>
      <c r="AZ48" s="304"/>
      <c r="BA48" s="304"/>
      <c r="BB48" s="304"/>
      <c r="BC48" s="304"/>
      <c r="BD48" s="304"/>
      <c r="BE48" s="305">
        <v>0</v>
      </c>
      <c r="BF48" s="238" t="s">
        <v>53</v>
      </c>
      <c r="BG48" s="263" t="s">
        <v>130</v>
      </c>
      <c r="BH48" s="306" t="s">
        <v>131</v>
      </c>
    </row>
    <row r="49" s="270" customFormat="1" ht="15" hidden="1" spans="1:60">
      <c r="A49" s="301">
        <v>42</v>
      </c>
      <c r="B49" s="302" t="s">
        <v>19</v>
      </c>
      <c r="C49" s="302" t="s">
        <v>20</v>
      </c>
      <c r="D49" s="301">
        <v>2020</v>
      </c>
      <c r="E49" s="303" t="s">
        <v>132</v>
      </c>
      <c r="F49" s="301" t="s">
        <v>53</v>
      </c>
      <c r="G49" s="238" t="s">
        <v>53</v>
      </c>
      <c r="H49" s="304">
        <f t="shared" si="2"/>
        <v>1736400</v>
      </c>
      <c r="I49" s="304">
        <f t="shared" si="3"/>
        <v>1736400</v>
      </c>
      <c r="J49" s="304">
        <f t="shared" si="4"/>
        <v>0</v>
      </c>
      <c r="K49" s="304"/>
      <c r="L49" s="304"/>
      <c r="M49" s="304"/>
      <c r="N49" s="304"/>
      <c r="O49" s="304">
        <f t="shared" si="5"/>
        <v>720000</v>
      </c>
      <c r="P49" s="304"/>
      <c r="Q49" s="304">
        <v>720000</v>
      </c>
      <c r="R49" s="304"/>
      <c r="S49" s="304"/>
      <c r="T49" s="304">
        <f t="shared" si="6"/>
        <v>1016400</v>
      </c>
      <c r="U49" s="304">
        <v>1016400</v>
      </c>
      <c r="V49" s="304"/>
      <c r="W49" s="304"/>
      <c r="X49" s="304"/>
      <c r="Y49" s="304">
        <f t="shared" si="7"/>
        <v>0</v>
      </c>
      <c r="Z49" s="304"/>
      <c r="AA49" s="304"/>
      <c r="AB49" s="304"/>
      <c r="AC49" s="304"/>
      <c r="AD49" s="304"/>
      <c r="AE49" s="304"/>
      <c r="AF49" s="304"/>
      <c r="AG49" s="304">
        <f t="shared" si="8"/>
        <v>1736400</v>
      </c>
      <c r="AH49" s="304">
        <f t="shared" si="9"/>
        <v>1736400</v>
      </c>
      <c r="AI49" s="304">
        <f t="shared" si="10"/>
        <v>0</v>
      </c>
      <c r="AJ49" s="304"/>
      <c r="AK49" s="304"/>
      <c r="AL49" s="304"/>
      <c r="AM49" s="304"/>
      <c r="AN49" s="304">
        <f t="shared" si="11"/>
        <v>720000</v>
      </c>
      <c r="AO49" s="304"/>
      <c r="AP49" s="304">
        <v>720000</v>
      </c>
      <c r="AQ49" s="304"/>
      <c r="AR49" s="304"/>
      <c r="AS49" s="304">
        <f t="shared" si="12"/>
        <v>1016400</v>
      </c>
      <c r="AT49" s="304">
        <v>1016400</v>
      </c>
      <c r="AU49" s="304"/>
      <c r="AV49" s="304"/>
      <c r="AW49" s="304"/>
      <c r="AX49" s="304">
        <f t="shared" si="13"/>
        <v>0</v>
      </c>
      <c r="AY49" s="304"/>
      <c r="AZ49" s="304"/>
      <c r="BA49" s="304"/>
      <c r="BB49" s="304"/>
      <c r="BC49" s="304"/>
      <c r="BD49" s="304"/>
      <c r="BE49" s="305">
        <v>0</v>
      </c>
      <c r="BF49" s="238" t="s">
        <v>53</v>
      </c>
      <c r="BG49" s="263" t="s">
        <v>133</v>
      </c>
      <c r="BH49" s="306" t="s">
        <v>131</v>
      </c>
    </row>
    <row r="50" s="270" customFormat="1" ht="15" hidden="1" spans="1:60">
      <c r="A50" s="301">
        <v>43</v>
      </c>
      <c r="B50" s="302" t="s">
        <v>19</v>
      </c>
      <c r="C50" s="302" t="s">
        <v>20</v>
      </c>
      <c r="D50" s="301">
        <v>2020</v>
      </c>
      <c r="E50" s="303" t="s">
        <v>134</v>
      </c>
      <c r="F50" s="301" t="s">
        <v>53</v>
      </c>
      <c r="G50" s="238" t="s">
        <v>56</v>
      </c>
      <c r="H50" s="304">
        <f t="shared" si="2"/>
        <v>800000</v>
      </c>
      <c r="I50" s="304">
        <f t="shared" si="3"/>
        <v>800000</v>
      </c>
      <c r="J50" s="304">
        <f t="shared" si="4"/>
        <v>0</v>
      </c>
      <c r="K50" s="304"/>
      <c r="L50" s="304"/>
      <c r="M50" s="304"/>
      <c r="N50" s="304"/>
      <c r="O50" s="304">
        <f t="shared" si="5"/>
        <v>560000</v>
      </c>
      <c r="P50" s="304"/>
      <c r="Q50" s="304">
        <v>560000</v>
      </c>
      <c r="R50" s="304"/>
      <c r="S50" s="304"/>
      <c r="T50" s="304">
        <f t="shared" si="6"/>
        <v>240000</v>
      </c>
      <c r="U50" s="304"/>
      <c r="V50" s="304">
        <v>240000</v>
      </c>
      <c r="W50" s="304"/>
      <c r="X50" s="304"/>
      <c r="Y50" s="304">
        <f t="shared" si="7"/>
        <v>0</v>
      </c>
      <c r="Z50" s="304"/>
      <c r="AA50" s="304"/>
      <c r="AB50" s="304"/>
      <c r="AC50" s="304"/>
      <c r="AD50" s="304"/>
      <c r="AE50" s="304"/>
      <c r="AF50" s="304"/>
      <c r="AG50" s="304">
        <f t="shared" si="8"/>
        <v>779600</v>
      </c>
      <c r="AH50" s="304">
        <f t="shared" si="9"/>
        <v>779600</v>
      </c>
      <c r="AI50" s="304">
        <f t="shared" si="10"/>
        <v>0</v>
      </c>
      <c r="AJ50" s="304"/>
      <c r="AK50" s="304"/>
      <c r="AL50" s="304"/>
      <c r="AM50" s="304"/>
      <c r="AN50" s="304">
        <f t="shared" si="11"/>
        <v>560000</v>
      </c>
      <c r="AO50" s="304"/>
      <c r="AP50" s="304">
        <v>560000</v>
      </c>
      <c r="AQ50" s="304"/>
      <c r="AR50" s="304"/>
      <c r="AS50" s="304">
        <f t="shared" si="12"/>
        <v>219600</v>
      </c>
      <c r="AT50" s="304"/>
      <c r="AU50" s="304">
        <v>219600</v>
      </c>
      <c r="AV50" s="304"/>
      <c r="AW50" s="304"/>
      <c r="AX50" s="304">
        <f t="shared" si="13"/>
        <v>0</v>
      </c>
      <c r="AY50" s="304"/>
      <c r="AZ50" s="304"/>
      <c r="BA50" s="304"/>
      <c r="BB50" s="304"/>
      <c r="BC50" s="304"/>
      <c r="BD50" s="304"/>
      <c r="BE50" s="305"/>
      <c r="BF50" s="238" t="s">
        <v>53</v>
      </c>
      <c r="BG50" s="263" t="s">
        <v>135</v>
      </c>
      <c r="BH50" s="306"/>
    </row>
    <row r="51" s="270" customFormat="1" ht="15" hidden="1" spans="1:60">
      <c r="A51" s="301">
        <v>44</v>
      </c>
      <c r="B51" s="302" t="s">
        <v>19</v>
      </c>
      <c r="C51" s="302" t="s">
        <v>20</v>
      </c>
      <c r="D51" s="301">
        <v>2020</v>
      </c>
      <c r="E51" s="303" t="s">
        <v>136</v>
      </c>
      <c r="F51" s="301" t="s">
        <v>53</v>
      </c>
      <c r="G51" s="238" t="s">
        <v>56</v>
      </c>
      <c r="H51" s="304">
        <f t="shared" si="2"/>
        <v>1430000</v>
      </c>
      <c r="I51" s="304">
        <f t="shared" si="3"/>
        <v>1430000</v>
      </c>
      <c r="J51" s="304">
        <f t="shared" si="4"/>
        <v>0</v>
      </c>
      <c r="K51" s="304"/>
      <c r="L51" s="304"/>
      <c r="M51" s="304"/>
      <c r="N51" s="304"/>
      <c r="O51" s="304">
        <f t="shared" si="5"/>
        <v>1000000</v>
      </c>
      <c r="P51" s="304"/>
      <c r="Q51" s="304">
        <v>1000000</v>
      </c>
      <c r="R51" s="304"/>
      <c r="S51" s="304"/>
      <c r="T51" s="304">
        <f t="shared" si="6"/>
        <v>430000</v>
      </c>
      <c r="U51" s="304"/>
      <c r="V51" s="304">
        <v>430000</v>
      </c>
      <c r="W51" s="304"/>
      <c r="X51" s="304"/>
      <c r="Y51" s="304">
        <f t="shared" si="7"/>
        <v>0</v>
      </c>
      <c r="Z51" s="304"/>
      <c r="AA51" s="304"/>
      <c r="AB51" s="304"/>
      <c r="AC51" s="304"/>
      <c r="AD51" s="304"/>
      <c r="AE51" s="304"/>
      <c r="AF51" s="304"/>
      <c r="AG51" s="304">
        <f t="shared" si="8"/>
        <v>1388080.15</v>
      </c>
      <c r="AH51" s="304">
        <f t="shared" si="9"/>
        <v>1388080.15</v>
      </c>
      <c r="AI51" s="304">
        <f t="shared" si="10"/>
        <v>0</v>
      </c>
      <c r="AJ51" s="304"/>
      <c r="AK51" s="304"/>
      <c r="AL51" s="304"/>
      <c r="AM51" s="304"/>
      <c r="AN51" s="304">
        <f t="shared" si="11"/>
        <v>1000000</v>
      </c>
      <c r="AO51" s="304"/>
      <c r="AP51" s="304">
        <v>1000000</v>
      </c>
      <c r="AQ51" s="304"/>
      <c r="AR51" s="304"/>
      <c r="AS51" s="304">
        <f t="shared" si="12"/>
        <v>388080.15</v>
      </c>
      <c r="AT51" s="304"/>
      <c r="AU51" s="304">
        <v>388080.15</v>
      </c>
      <c r="AV51" s="304"/>
      <c r="AW51" s="304"/>
      <c r="AX51" s="304">
        <f t="shared" si="13"/>
        <v>0</v>
      </c>
      <c r="AY51" s="304"/>
      <c r="AZ51" s="304"/>
      <c r="BA51" s="304"/>
      <c r="BB51" s="304"/>
      <c r="BC51" s="304"/>
      <c r="BD51" s="304"/>
      <c r="BE51" s="305"/>
      <c r="BF51" s="238" t="s">
        <v>53</v>
      </c>
      <c r="BG51" s="263" t="s">
        <v>70</v>
      </c>
      <c r="BH51" s="306" t="s">
        <v>82</v>
      </c>
    </row>
    <row r="52" s="270" customFormat="1" ht="15" hidden="1" spans="1:60">
      <c r="A52" s="301">
        <v>45</v>
      </c>
      <c r="B52" s="302" t="s">
        <v>19</v>
      </c>
      <c r="C52" s="302" t="s">
        <v>20</v>
      </c>
      <c r="D52" s="301">
        <v>2020</v>
      </c>
      <c r="E52" s="303" t="s">
        <v>137</v>
      </c>
      <c r="F52" s="301" t="s">
        <v>53</v>
      </c>
      <c r="G52" s="238" t="s">
        <v>56</v>
      </c>
      <c r="H52" s="304">
        <f t="shared" si="2"/>
        <v>1677900</v>
      </c>
      <c r="I52" s="304">
        <f t="shared" si="3"/>
        <v>1677900</v>
      </c>
      <c r="J52" s="304">
        <f t="shared" si="4"/>
        <v>0</v>
      </c>
      <c r="K52" s="304"/>
      <c r="L52" s="304"/>
      <c r="M52" s="304"/>
      <c r="N52" s="304"/>
      <c r="O52" s="304">
        <f t="shared" si="5"/>
        <v>1677900</v>
      </c>
      <c r="P52" s="304">
        <v>1677900</v>
      </c>
      <c r="Q52" s="304"/>
      <c r="R52" s="304"/>
      <c r="S52" s="304"/>
      <c r="T52" s="304">
        <f t="shared" si="6"/>
        <v>0</v>
      </c>
      <c r="U52" s="304"/>
      <c r="V52" s="304"/>
      <c r="W52" s="304"/>
      <c r="X52" s="304"/>
      <c r="Y52" s="304">
        <f t="shared" si="7"/>
        <v>0</v>
      </c>
      <c r="Z52" s="304"/>
      <c r="AA52" s="304"/>
      <c r="AB52" s="304"/>
      <c r="AC52" s="304"/>
      <c r="AD52" s="304"/>
      <c r="AE52" s="304"/>
      <c r="AF52" s="304"/>
      <c r="AG52" s="304">
        <f t="shared" si="8"/>
        <v>1579876.4</v>
      </c>
      <c r="AH52" s="304">
        <f t="shared" si="9"/>
        <v>1579876.4</v>
      </c>
      <c r="AI52" s="304">
        <f t="shared" si="10"/>
        <v>0</v>
      </c>
      <c r="AJ52" s="304"/>
      <c r="AK52" s="304"/>
      <c r="AL52" s="304"/>
      <c r="AM52" s="304"/>
      <c r="AN52" s="304">
        <f t="shared" si="11"/>
        <v>1579876.4</v>
      </c>
      <c r="AO52" s="304">
        <v>1579876.4</v>
      </c>
      <c r="AP52" s="304"/>
      <c r="AQ52" s="304"/>
      <c r="AR52" s="304"/>
      <c r="AS52" s="304">
        <f t="shared" si="12"/>
        <v>0</v>
      </c>
      <c r="AT52" s="304"/>
      <c r="AU52" s="304"/>
      <c r="AV52" s="304"/>
      <c r="AW52" s="304"/>
      <c r="AX52" s="304">
        <f t="shared" si="13"/>
        <v>0</v>
      </c>
      <c r="AY52" s="304"/>
      <c r="AZ52" s="304"/>
      <c r="BA52" s="304"/>
      <c r="BB52" s="304"/>
      <c r="BC52" s="304"/>
      <c r="BD52" s="304"/>
      <c r="BE52" s="305"/>
      <c r="BF52" s="238" t="s">
        <v>53</v>
      </c>
      <c r="BG52" s="263" t="s">
        <v>70</v>
      </c>
      <c r="BH52" s="306"/>
    </row>
    <row r="53" s="78" customFormat="1" ht="15" hidden="1" spans="1:60">
      <c r="A53" s="301">
        <v>46</v>
      </c>
      <c r="B53" s="307" t="s">
        <v>19</v>
      </c>
      <c r="C53" s="307" t="s">
        <v>20</v>
      </c>
      <c r="D53" s="308">
        <v>2020</v>
      </c>
      <c r="E53" s="313" t="s">
        <v>138</v>
      </c>
      <c r="F53" s="308" t="s">
        <v>53</v>
      </c>
      <c r="G53" s="127" t="s">
        <v>56</v>
      </c>
      <c r="H53" s="310">
        <f t="shared" si="2"/>
        <v>600000</v>
      </c>
      <c r="I53" s="310">
        <f t="shared" si="3"/>
        <v>600000</v>
      </c>
      <c r="J53" s="310">
        <f t="shared" si="4"/>
        <v>0</v>
      </c>
      <c r="K53" s="310"/>
      <c r="L53" s="310"/>
      <c r="M53" s="310"/>
      <c r="N53" s="310"/>
      <c r="O53" s="310">
        <f t="shared" si="5"/>
        <v>600000</v>
      </c>
      <c r="P53" s="310">
        <v>600000</v>
      </c>
      <c r="Q53" s="310"/>
      <c r="R53" s="310"/>
      <c r="S53" s="310"/>
      <c r="T53" s="310">
        <f t="shared" si="6"/>
        <v>0</v>
      </c>
      <c r="U53" s="310"/>
      <c r="V53" s="310"/>
      <c r="W53" s="310"/>
      <c r="X53" s="310"/>
      <c r="Y53" s="310">
        <f t="shared" si="7"/>
        <v>0</v>
      </c>
      <c r="Z53" s="310"/>
      <c r="AA53" s="310"/>
      <c r="AB53" s="310"/>
      <c r="AC53" s="310"/>
      <c r="AD53" s="310"/>
      <c r="AE53" s="310"/>
      <c r="AF53" s="310"/>
      <c r="AG53" s="310">
        <f t="shared" si="8"/>
        <v>600000</v>
      </c>
      <c r="AH53" s="310">
        <f t="shared" si="9"/>
        <v>600000</v>
      </c>
      <c r="AI53" s="310">
        <f t="shared" si="10"/>
        <v>0</v>
      </c>
      <c r="AJ53" s="310"/>
      <c r="AK53" s="310"/>
      <c r="AL53" s="310"/>
      <c r="AM53" s="310"/>
      <c r="AN53" s="310">
        <f t="shared" si="11"/>
        <v>600000</v>
      </c>
      <c r="AO53" s="310">
        <v>600000</v>
      </c>
      <c r="AP53" s="310"/>
      <c r="AQ53" s="310"/>
      <c r="AR53" s="310"/>
      <c r="AS53" s="310">
        <f t="shared" si="12"/>
        <v>0</v>
      </c>
      <c r="AT53" s="310"/>
      <c r="AU53" s="310"/>
      <c r="AV53" s="310"/>
      <c r="AW53" s="310"/>
      <c r="AX53" s="310">
        <f t="shared" si="13"/>
        <v>0</v>
      </c>
      <c r="AY53" s="310"/>
      <c r="AZ53" s="310"/>
      <c r="BA53" s="310"/>
      <c r="BB53" s="310"/>
      <c r="BC53" s="310"/>
      <c r="BD53" s="310"/>
      <c r="BE53" s="312"/>
      <c r="BF53" s="134" t="s">
        <v>139</v>
      </c>
      <c r="BG53" s="315" t="s">
        <v>54</v>
      </c>
      <c r="BH53" s="137" t="s">
        <v>140</v>
      </c>
    </row>
    <row r="54" s="270" customFormat="1" ht="15" hidden="1" spans="1:60">
      <c r="A54" s="301">
        <v>47</v>
      </c>
      <c r="B54" s="302" t="s">
        <v>19</v>
      </c>
      <c r="C54" s="302" t="s">
        <v>20</v>
      </c>
      <c r="D54" s="301">
        <v>2020</v>
      </c>
      <c r="E54" s="303" t="s">
        <v>141</v>
      </c>
      <c r="F54" s="301" t="s">
        <v>53</v>
      </c>
      <c r="G54" s="238" t="s">
        <v>56</v>
      </c>
      <c r="H54" s="304">
        <f t="shared" si="2"/>
        <v>3500000</v>
      </c>
      <c r="I54" s="304">
        <f t="shared" si="3"/>
        <v>3500000</v>
      </c>
      <c r="J54" s="304">
        <f t="shared" si="4"/>
        <v>0</v>
      </c>
      <c r="K54" s="304"/>
      <c r="L54" s="304"/>
      <c r="M54" s="304"/>
      <c r="N54" s="304"/>
      <c r="O54" s="304">
        <f t="shared" si="5"/>
        <v>3500000</v>
      </c>
      <c r="P54" s="304"/>
      <c r="Q54" s="304">
        <v>700000</v>
      </c>
      <c r="R54" s="304"/>
      <c r="S54" s="304">
        <v>2800000</v>
      </c>
      <c r="T54" s="304">
        <f t="shared" si="6"/>
        <v>0</v>
      </c>
      <c r="U54" s="304"/>
      <c r="V54" s="304"/>
      <c r="W54" s="304"/>
      <c r="X54" s="304"/>
      <c r="Y54" s="304">
        <f t="shared" si="7"/>
        <v>0</v>
      </c>
      <c r="Z54" s="304"/>
      <c r="AA54" s="304"/>
      <c r="AB54" s="304"/>
      <c r="AC54" s="304"/>
      <c r="AD54" s="304"/>
      <c r="AE54" s="304"/>
      <c r="AF54" s="304"/>
      <c r="AG54" s="304">
        <f t="shared" si="8"/>
        <v>3412694.01</v>
      </c>
      <c r="AH54" s="304">
        <f t="shared" si="9"/>
        <v>3412694.01</v>
      </c>
      <c r="AI54" s="304">
        <f t="shared" si="10"/>
        <v>0</v>
      </c>
      <c r="AJ54" s="304"/>
      <c r="AK54" s="304"/>
      <c r="AL54" s="304"/>
      <c r="AM54" s="304"/>
      <c r="AN54" s="304">
        <f t="shared" si="11"/>
        <v>3412694.01</v>
      </c>
      <c r="AO54" s="304"/>
      <c r="AP54" s="304">
        <v>700000</v>
      </c>
      <c r="AQ54" s="304"/>
      <c r="AR54" s="304">
        <v>2712694.01</v>
      </c>
      <c r="AS54" s="304">
        <f t="shared" si="12"/>
        <v>0</v>
      </c>
      <c r="AT54" s="304"/>
      <c r="AU54" s="304"/>
      <c r="AV54" s="304"/>
      <c r="AW54" s="304"/>
      <c r="AX54" s="304">
        <f t="shared" si="13"/>
        <v>0</v>
      </c>
      <c r="AY54" s="304"/>
      <c r="AZ54" s="304"/>
      <c r="BA54" s="304"/>
      <c r="BB54" s="304"/>
      <c r="BC54" s="304"/>
      <c r="BD54" s="304"/>
      <c r="BE54" s="305"/>
      <c r="BF54" s="238" t="s">
        <v>53</v>
      </c>
      <c r="BG54" s="263" t="s">
        <v>70</v>
      </c>
      <c r="BH54" s="306" t="s">
        <v>115</v>
      </c>
    </row>
    <row r="55" s="270" customFormat="1" ht="15" hidden="1" spans="1:60">
      <c r="A55" s="301">
        <v>48</v>
      </c>
      <c r="B55" s="302" t="s">
        <v>19</v>
      </c>
      <c r="C55" s="302" t="s">
        <v>20</v>
      </c>
      <c r="D55" s="301">
        <v>2020</v>
      </c>
      <c r="E55" s="303" t="s">
        <v>142</v>
      </c>
      <c r="F55" s="301" t="s">
        <v>53</v>
      </c>
      <c r="G55" s="238" t="s">
        <v>56</v>
      </c>
      <c r="H55" s="304">
        <f t="shared" si="2"/>
        <v>269200</v>
      </c>
      <c r="I55" s="304">
        <f t="shared" si="3"/>
        <v>269200</v>
      </c>
      <c r="J55" s="304">
        <f t="shared" si="4"/>
        <v>0</v>
      </c>
      <c r="K55" s="304"/>
      <c r="L55" s="304"/>
      <c r="M55" s="304"/>
      <c r="N55" s="304"/>
      <c r="O55" s="304">
        <f t="shared" si="5"/>
        <v>269200</v>
      </c>
      <c r="P55" s="304"/>
      <c r="Q55" s="304"/>
      <c r="R55" s="304"/>
      <c r="S55" s="304">
        <v>269200</v>
      </c>
      <c r="T55" s="304">
        <f t="shared" si="6"/>
        <v>0</v>
      </c>
      <c r="U55" s="304"/>
      <c r="V55" s="304"/>
      <c r="W55" s="304"/>
      <c r="X55" s="304"/>
      <c r="Y55" s="304">
        <f t="shared" si="7"/>
        <v>0</v>
      </c>
      <c r="Z55" s="304"/>
      <c r="AA55" s="304"/>
      <c r="AB55" s="304"/>
      <c r="AC55" s="304"/>
      <c r="AD55" s="304"/>
      <c r="AE55" s="304"/>
      <c r="AF55" s="304"/>
      <c r="AG55" s="304">
        <f t="shared" si="8"/>
        <v>269200</v>
      </c>
      <c r="AH55" s="304">
        <f t="shared" si="9"/>
        <v>269200</v>
      </c>
      <c r="AI55" s="304">
        <f t="shared" si="10"/>
        <v>0</v>
      </c>
      <c r="AJ55" s="304"/>
      <c r="AK55" s="304"/>
      <c r="AL55" s="304"/>
      <c r="AM55" s="304"/>
      <c r="AN55" s="304">
        <f t="shared" si="11"/>
        <v>269200</v>
      </c>
      <c r="AO55" s="304"/>
      <c r="AP55" s="304"/>
      <c r="AQ55" s="304"/>
      <c r="AR55" s="304">
        <v>269200</v>
      </c>
      <c r="AS55" s="304">
        <f t="shared" si="12"/>
        <v>0</v>
      </c>
      <c r="AT55" s="304"/>
      <c r="AU55" s="304"/>
      <c r="AV55" s="304"/>
      <c r="AW55" s="304"/>
      <c r="AX55" s="304">
        <f t="shared" si="13"/>
        <v>0</v>
      </c>
      <c r="AY55" s="304"/>
      <c r="AZ55" s="304"/>
      <c r="BA55" s="304"/>
      <c r="BB55" s="304"/>
      <c r="BC55" s="304"/>
      <c r="BD55" s="304"/>
      <c r="BE55" s="305"/>
      <c r="BF55" s="238" t="s">
        <v>53</v>
      </c>
      <c r="BG55" s="263" t="s">
        <v>143</v>
      </c>
      <c r="BH55" s="306"/>
    </row>
    <row r="56" s="270" customFormat="1" ht="15" hidden="1" spans="1:60">
      <c r="A56" s="301">
        <v>49</v>
      </c>
      <c r="B56" s="302" t="s">
        <v>19</v>
      </c>
      <c r="C56" s="302" t="s">
        <v>20</v>
      </c>
      <c r="D56" s="301">
        <v>2020</v>
      </c>
      <c r="E56" s="303" t="s">
        <v>144</v>
      </c>
      <c r="F56" s="301" t="s">
        <v>53</v>
      </c>
      <c r="G56" s="238" t="s">
        <v>56</v>
      </c>
      <c r="H56" s="304">
        <f t="shared" si="2"/>
        <v>1726800</v>
      </c>
      <c r="I56" s="304">
        <f t="shared" si="3"/>
        <v>1726800</v>
      </c>
      <c r="J56" s="304">
        <f t="shared" si="4"/>
        <v>0</v>
      </c>
      <c r="K56" s="304"/>
      <c r="L56" s="304"/>
      <c r="M56" s="304"/>
      <c r="N56" s="304"/>
      <c r="O56" s="304">
        <f t="shared" si="5"/>
        <v>1726800</v>
      </c>
      <c r="P56" s="304"/>
      <c r="Q56" s="304"/>
      <c r="R56" s="304"/>
      <c r="S56" s="304">
        <v>1726800</v>
      </c>
      <c r="T56" s="304">
        <f t="shared" si="6"/>
        <v>0</v>
      </c>
      <c r="U56" s="304"/>
      <c r="V56" s="304"/>
      <c r="W56" s="304"/>
      <c r="X56" s="304"/>
      <c r="Y56" s="304">
        <f t="shared" si="7"/>
        <v>0</v>
      </c>
      <c r="Z56" s="304"/>
      <c r="AA56" s="304"/>
      <c r="AB56" s="304"/>
      <c r="AC56" s="304"/>
      <c r="AD56" s="304"/>
      <c r="AE56" s="304"/>
      <c r="AF56" s="304"/>
      <c r="AG56" s="304">
        <f t="shared" si="8"/>
        <v>1662051.91</v>
      </c>
      <c r="AH56" s="304">
        <f t="shared" si="9"/>
        <v>1662051.91</v>
      </c>
      <c r="AI56" s="304">
        <f t="shared" si="10"/>
        <v>0</v>
      </c>
      <c r="AJ56" s="304"/>
      <c r="AK56" s="304"/>
      <c r="AL56" s="304"/>
      <c r="AM56" s="304"/>
      <c r="AN56" s="304">
        <f t="shared" si="11"/>
        <v>1662051.91</v>
      </c>
      <c r="AO56" s="304"/>
      <c r="AP56" s="304"/>
      <c r="AQ56" s="304"/>
      <c r="AR56" s="304">
        <v>1662051.91</v>
      </c>
      <c r="AS56" s="304">
        <f t="shared" si="12"/>
        <v>0</v>
      </c>
      <c r="AT56" s="304"/>
      <c r="AU56" s="304"/>
      <c r="AV56" s="304"/>
      <c r="AW56" s="304"/>
      <c r="AX56" s="304">
        <f t="shared" si="13"/>
        <v>0</v>
      </c>
      <c r="AY56" s="304"/>
      <c r="AZ56" s="304"/>
      <c r="BA56" s="304"/>
      <c r="BB56" s="304"/>
      <c r="BC56" s="304"/>
      <c r="BD56" s="304"/>
      <c r="BE56" s="305"/>
      <c r="BF56" s="238" t="s">
        <v>53</v>
      </c>
      <c r="BG56" s="263" t="s">
        <v>145</v>
      </c>
      <c r="BH56" s="306"/>
    </row>
    <row r="57" s="270" customFormat="1" ht="15" hidden="1" spans="1:60">
      <c r="A57" s="301">
        <v>50</v>
      </c>
      <c r="B57" s="302" t="s">
        <v>19</v>
      </c>
      <c r="C57" s="302" t="s">
        <v>20</v>
      </c>
      <c r="D57" s="301">
        <v>2020</v>
      </c>
      <c r="E57" s="303" t="s">
        <v>146</v>
      </c>
      <c r="F57" s="301" t="s">
        <v>53</v>
      </c>
      <c r="G57" s="238" t="s">
        <v>56</v>
      </c>
      <c r="H57" s="304">
        <f t="shared" si="2"/>
        <v>1000000</v>
      </c>
      <c r="I57" s="304">
        <f t="shared" si="3"/>
        <v>1000000</v>
      </c>
      <c r="J57" s="304">
        <f t="shared" si="4"/>
        <v>0</v>
      </c>
      <c r="K57" s="304"/>
      <c r="L57" s="304"/>
      <c r="M57" s="304"/>
      <c r="N57" s="304"/>
      <c r="O57" s="304">
        <f t="shared" si="5"/>
        <v>700000</v>
      </c>
      <c r="P57" s="304"/>
      <c r="Q57" s="304">
        <v>700000</v>
      </c>
      <c r="R57" s="304"/>
      <c r="S57" s="304"/>
      <c r="T57" s="304">
        <f t="shared" si="6"/>
        <v>300000</v>
      </c>
      <c r="U57" s="304"/>
      <c r="V57" s="304">
        <v>300000</v>
      </c>
      <c r="W57" s="304"/>
      <c r="X57" s="304"/>
      <c r="Y57" s="304">
        <f t="shared" si="7"/>
        <v>0</v>
      </c>
      <c r="Z57" s="304"/>
      <c r="AA57" s="304"/>
      <c r="AB57" s="304"/>
      <c r="AC57" s="304"/>
      <c r="AD57" s="304"/>
      <c r="AE57" s="304"/>
      <c r="AF57" s="304"/>
      <c r="AG57" s="304">
        <f t="shared" si="8"/>
        <v>889389.09</v>
      </c>
      <c r="AH57" s="304">
        <f t="shared" si="9"/>
        <v>889389.09</v>
      </c>
      <c r="AI57" s="304">
        <f t="shared" si="10"/>
        <v>0</v>
      </c>
      <c r="AJ57" s="304"/>
      <c r="AK57" s="304"/>
      <c r="AL57" s="304"/>
      <c r="AM57" s="304"/>
      <c r="AN57" s="304">
        <f t="shared" si="11"/>
        <v>700000</v>
      </c>
      <c r="AO57" s="304"/>
      <c r="AP57" s="304">
        <v>700000</v>
      </c>
      <c r="AQ57" s="304"/>
      <c r="AR57" s="304"/>
      <c r="AS57" s="304">
        <f t="shared" si="12"/>
        <v>189389.09</v>
      </c>
      <c r="AT57" s="304"/>
      <c r="AU57" s="304">
        <v>189389.09</v>
      </c>
      <c r="AV57" s="304"/>
      <c r="AW57" s="304"/>
      <c r="AX57" s="304">
        <f t="shared" si="13"/>
        <v>0</v>
      </c>
      <c r="AY57" s="304"/>
      <c r="AZ57" s="304"/>
      <c r="BA57" s="304"/>
      <c r="BB57" s="304"/>
      <c r="BC57" s="304"/>
      <c r="BD57" s="304"/>
      <c r="BE57" s="305"/>
      <c r="BF57" s="238" t="s">
        <v>53</v>
      </c>
      <c r="BG57" s="263" t="s">
        <v>70</v>
      </c>
      <c r="BH57" s="306" t="s">
        <v>98</v>
      </c>
    </row>
    <row r="58" s="270" customFormat="1" ht="15" hidden="1" spans="1:60">
      <c r="A58" s="301">
        <v>51</v>
      </c>
      <c r="B58" s="302" t="s">
        <v>19</v>
      </c>
      <c r="C58" s="302" t="s">
        <v>20</v>
      </c>
      <c r="D58" s="301">
        <v>2020</v>
      </c>
      <c r="E58" s="303" t="s">
        <v>147</v>
      </c>
      <c r="F58" s="301" t="s">
        <v>53</v>
      </c>
      <c r="G58" s="238" t="s">
        <v>56</v>
      </c>
      <c r="H58" s="304">
        <f t="shared" si="2"/>
        <v>292400</v>
      </c>
      <c r="I58" s="304">
        <f t="shared" si="3"/>
        <v>292400</v>
      </c>
      <c r="J58" s="304">
        <f t="shared" si="4"/>
        <v>0</v>
      </c>
      <c r="K58" s="304"/>
      <c r="L58" s="304"/>
      <c r="M58" s="304"/>
      <c r="N58" s="304"/>
      <c r="O58" s="304">
        <f t="shared" si="5"/>
        <v>292400</v>
      </c>
      <c r="P58" s="304"/>
      <c r="Q58" s="304">
        <v>292400</v>
      </c>
      <c r="R58" s="304"/>
      <c r="S58" s="304"/>
      <c r="T58" s="304">
        <f t="shared" si="6"/>
        <v>0</v>
      </c>
      <c r="U58" s="304"/>
      <c r="V58" s="304"/>
      <c r="W58" s="304"/>
      <c r="X58" s="304"/>
      <c r="Y58" s="304">
        <f t="shared" si="7"/>
        <v>0</v>
      </c>
      <c r="Z58" s="304"/>
      <c r="AA58" s="304"/>
      <c r="AB58" s="304"/>
      <c r="AC58" s="304"/>
      <c r="AD58" s="304"/>
      <c r="AE58" s="304"/>
      <c r="AF58" s="304"/>
      <c r="AG58" s="304">
        <f t="shared" si="8"/>
        <v>283900</v>
      </c>
      <c r="AH58" s="304">
        <f t="shared" si="9"/>
        <v>283900</v>
      </c>
      <c r="AI58" s="304">
        <f t="shared" si="10"/>
        <v>0</v>
      </c>
      <c r="AJ58" s="304"/>
      <c r="AK58" s="304"/>
      <c r="AL58" s="304"/>
      <c r="AM58" s="304"/>
      <c r="AN58" s="304">
        <f t="shared" si="11"/>
        <v>283900</v>
      </c>
      <c r="AO58" s="304"/>
      <c r="AP58" s="304">
        <v>283900</v>
      </c>
      <c r="AQ58" s="304"/>
      <c r="AR58" s="304"/>
      <c r="AS58" s="304">
        <f t="shared" si="12"/>
        <v>0</v>
      </c>
      <c r="AT58" s="304"/>
      <c r="AU58" s="304"/>
      <c r="AV58" s="304"/>
      <c r="AW58" s="304"/>
      <c r="AX58" s="304">
        <f t="shared" si="13"/>
        <v>0</v>
      </c>
      <c r="AY58" s="304"/>
      <c r="AZ58" s="304"/>
      <c r="BA58" s="304"/>
      <c r="BB58" s="304"/>
      <c r="BC58" s="304"/>
      <c r="BD58" s="304"/>
      <c r="BE58" s="305"/>
      <c r="BF58" s="238" t="s">
        <v>53</v>
      </c>
      <c r="BG58" s="263" t="s">
        <v>103</v>
      </c>
      <c r="BH58" s="306" t="s">
        <v>82</v>
      </c>
    </row>
    <row r="59" s="270" customFormat="1" ht="15" hidden="1" spans="1:60">
      <c r="A59" s="301">
        <v>52</v>
      </c>
      <c r="B59" s="302" t="s">
        <v>19</v>
      </c>
      <c r="C59" s="302" t="s">
        <v>20</v>
      </c>
      <c r="D59" s="301">
        <v>2020</v>
      </c>
      <c r="E59" s="303" t="s">
        <v>148</v>
      </c>
      <c r="F59" s="301" t="s">
        <v>53</v>
      </c>
      <c r="G59" s="238" t="s">
        <v>56</v>
      </c>
      <c r="H59" s="304">
        <f t="shared" si="2"/>
        <v>2958600</v>
      </c>
      <c r="I59" s="304">
        <f t="shared" si="3"/>
        <v>2958600</v>
      </c>
      <c r="J59" s="304">
        <f t="shared" si="4"/>
        <v>0</v>
      </c>
      <c r="K59" s="304"/>
      <c r="L59" s="304"/>
      <c r="M59" s="304"/>
      <c r="N59" s="304"/>
      <c r="O59" s="304">
        <f t="shared" si="5"/>
        <v>2000000</v>
      </c>
      <c r="P59" s="304"/>
      <c r="Q59" s="304">
        <v>2000000</v>
      </c>
      <c r="R59" s="304"/>
      <c r="S59" s="304"/>
      <c r="T59" s="304">
        <f t="shared" si="6"/>
        <v>958600</v>
      </c>
      <c r="U59" s="304"/>
      <c r="V59" s="304">
        <v>958600</v>
      </c>
      <c r="W59" s="304"/>
      <c r="X59" s="304"/>
      <c r="Y59" s="304">
        <f t="shared" si="7"/>
        <v>0</v>
      </c>
      <c r="Z59" s="304"/>
      <c r="AA59" s="304"/>
      <c r="AB59" s="304"/>
      <c r="AC59" s="304"/>
      <c r="AD59" s="304"/>
      <c r="AE59" s="304"/>
      <c r="AF59" s="304"/>
      <c r="AG59" s="304">
        <f t="shared" si="8"/>
        <v>2820671.88</v>
      </c>
      <c r="AH59" s="304">
        <f t="shared" si="9"/>
        <v>2820671.88</v>
      </c>
      <c r="AI59" s="304">
        <f t="shared" si="10"/>
        <v>0</v>
      </c>
      <c r="AJ59" s="304"/>
      <c r="AK59" s="304"/>
      <c r="AL59" s="304"/>
      <c r="AM59" s="304"/>
      <c r="AN59" s="304">
        <f t="shared" si="11"/>
        <v>2000000</v>
      </c>
      <c r="AO59" s="304"/>
      <c r="AP59" s="304">
        <v>2000000</v>
      </c>
      <c r="AQ59" s="304"/>
      <c r="AR59" s="304"/>
      <c r="AS59" s="304">
        <f t="shared" si="12"/>
        <v>820671.88</v>
      </c>
      <c r="AT59" s="304"/>
      <c r="AU59" s="304">
        <v>820671.88</v>
      </c>
      <c r="AV59" s="304"/>
      <c r="AW59" s="304"/>
      <c r="AX59" s="304">
        <f t="shared" si="13"/>
        <v>0</v>
      </c>
      <c r="AY59" s="304"/>
      <c r="AZ59" s="304"/>
      <c r="BA59" s="304"/>
      <c r="BB59" s="304"/>
      <c r="BC59" s="304"/>
      <c r="BD59" s="304"/>
      <c r="BE59" s="305"/>
      <c r="BF59" s="238" t="s">
        <v>53</v>
      </c>
      <c r="BG59" s="263" t="s">
        <v>54</v>
      </c>
      <c r="BH59" s="306"/>
    </row>
    <row r="60" s="270" customFormat="1" ht="15" hidden="1" spans="1:60">
      <c r="A60" s="301">
        <v>53</v>
      </c>
      <c r="B60" s="302" t="s">
        <v>19</v>
      </c>
      <c r="C60" s="302" t="s">
        <v>20</v>
      </c>
      <c r="D60" s="301">
        <v>2020</v>
      </c>
      <c r="E60" s="303" t="s">
        <v>149</v>
      </c>
      <c r="F60" s="301" t="s">
        <v>53</v>
      </c>
      <c r="G60" s="238" t="s">
        <v>56</v>
      </c>
      <c r="H60" s="304">
        <f t="shared" si="2"/>
        <v>1500000</v>
      </c>
      <c r="I60" s="304">
        <f t="shared" si="3"/>
        <v>1500000</v>
      </c>
      <c r="J60" s="304">
        <f t="shared" si="4"/>
        <v>0</v>
      </c>
      <c r="K60" s="304"/>
      <c r="L60" s="304"/>
      <c r="M60" s="304"/>
      <c r="N60" s="304"/>
      <c r="O60" s="304">
        <f t="shared" si="5"/>
        <v>1200000</v>
      </c>
      <c r="P60" s="304"/>
      <c r="Q60" s="304">
        <v>1200000</v>
      </c>
      <c r="R60" s="304"/>
      <c r="S60" s="304"/>
      <c r="T60" s="304">
        <f t="shared" si="6"/>
        <v>300000</v>
      </c>
      <c r="U60" s="304"/>
      <c r="V60" s="304">
        <v>300000</v>
      </c>
      <c r="W60" s="304"/>
      <c r="X60" s="304"/>
      <c r="Y60" s="304">
        <f t="shared" si="7"/>
        <v>0</v>
      </c>
      <c r="Z60" s="304"/>
      <c r="AA60" s="304"/>
      <c r="AB60" s="304"/>
      <c r="AC60" s="304"/>
      <c r="AD60" s="304"/>
      <c r="AE60" s="304"/>
      <c r="AF60" s="304"/>
      <c r="AG60" s="304">
        <f t="shared" si="8"/>
        <v>1449424.84</v>
      </c>
      <c r="AH60" s="304">
        <f t="shared" si="9"/>
        <v>1449424.84</v>
      </c>
      <c r="AI60" s="304">
        <f t="shared" si="10"/>
        <v>0</v>
      </c>
      <c r="AJ60" s="304"/>
      <c r="AK60" s="304"/>
      <c r="AL60" s="304"/>
      <c r="AM60" s="304"/>
      <c r="AN60" s="304">
        <f t="shared" si="11"/>
        <v>1200000</v>
      </c>
      <c r="AO60" s="304"/>
      <c r="AP60" s="304">
        <v>1200000</v>
      </c>
      <c r="AQ60" s="304"/>
      <c r="AR60" s="304"/>
      <c r="AS60" s="304">
        <f t="shared" si="12"/>
        <v>249424.84</v>
      </c>
      <c r="AT60" s="304"/>
      <c r="AU60" s="304">
        <v>249424.84</v>
      </c>
      <c r="AV60" s="304"/>
      <c r="AW60" s="304"/>
      <c r="AX60" s="304">
        <f t="shared" si="13"/>
        <v>0</v>
      </c>
      <c r="AY60" s="304"/>
      <c r="AZ60" s="304"/>
      <c r="BA60" s="304"/>
      <c r="BB60" s="304"/>
      <c r="BC60" s="304"/>
      <c r="BD60" s="304"/>
      <c r="BE60" s="305"/>
      <c r="BF60" s="238" t="s">
        <v>53</v>
      </c>
      <c r="BG60" s="263" t="s">
        <v>70</v>
      </c>
      <c r="BH60" s="306" t="s">
        <v>82</v>
      </c>
    </row>
    <row r="61" s="270" customFormat="1" ht="15" hidden="1" spans="1:60">
      <c r="A61" s="301">
        <v>54</v>
      </c>
      <c r="B61" s="302" t="s">
        <v>19</v>
      </c>
      <c r="C61" s="302" t="s">
        <v>20</v>
      </c>
      <c r="D61" s="301">
        <v>2020</v>
      </c>
      <c r="E61" s="303" t="s">
        <v>150</v>
      </c>
      <c r="F61" s="301" t="s">
        <v>53</v>
      </c>
      <c r="G61" s="238" t="s">
        <v>53</v>
      </c>
      <c r="H61" s="304">
        <f t="shared" si="2"/>
        <v>3058500</v>
      </c>
      <c r="I61" s="304">
        <f t="shared" si="3"/>
        <v>3058500</v>
      </c>
      <c r="J61" s="304">
        <f t="shared" si="4"/>
        <v>0</v>
      </c>
      <c r="K61" s="304"/>
      <c r="L61" s="304"/>
      <c r="M61" s="304"/>
      <c r="N61" s="304"/>
      <c r="O61" s="304">
        <f t="shared" si="5"/>
        <v>3058500</v>
      </c>
      <c r="P61" s="304"/>
      <c r="Q61" s="304">
        <v>3058500</v>
      </c>
      <c r="R61" s="304"/>
      <c r="S61" s="304"/>
      <c r="T61" s="304">
        <f t="shared" si="6"/>
        <v>0</v>
      </c>
      <c r="U61" s="304"/>
      <c r="V61" s="304"/>
      <c r="W61" s="304"/>
      <c r="X61" s="304"/>
      <c r="Y61" s="304">
        <f t="shared" si="7"/>
        <v>0</v>
      </c>
      <c r="Z61" s="304"/>
      <c r="AA61" s="304"/>
      <c r="AB61" s="304"/>
      <c r="AC61" s="304"/>
      <c r="AD61" s="304"/>
      <c r="AE61" s="304"/>
      <c r="AF61" s="304"/>
      <c r="AG61" s="304">
        <f t="shared" si="8"/>
        <v>2951204.67</v>
      </c>
      <c r="AH61" s="304">
        <f t="shared" si="9"/>
        <v>2951204.67</v>
      </c>
      <c r="AI61" s="304">
        <f t="shared" si="10"/>
        <v>0</v>
      </c>
      <c r="AJ61" s="304"/>
      <c r="AK61" s="304"/>
      <c r="AL61" s="304"/>
      <c r="AM61" s="304"/>
      <c r="AN61" s="304">
        <f t="shared" si="11"/>
        <v>2951204.67</v>
      </c>
      <c r="AO61" s="304"/>
      <c r="AP61" s="304">
        <v>2951204.67</v>
      </c>
      <c r="AQ61" s="304"/>
      <c r="AR61" s="304"/>
      <c r="AS61" s="304">
        <f t="shared" si="12"/>
        <v>0</v>
      </c>
      <c r="AT61" s="304"/>
      <c r="AU61" s="304"/>
      <c r="AV61" s="304"/>
      <c r="AW61" s="304"/>
      <c r="AX61" s="304">
        <f t="shared" si="13"/>
        <v>0</v>
      </c>
      <c r="AY61" s="304"/>
      <c r="AZ61" s="304"/>
      <c r="BA61" s="304"/>
      <c r="BB61" s="304"/>
      <c r="BC61" s="304"/>
      <c r="BD61" s="304"/>
      <c r="BE61" s="305">
        <v>0</v>
      </c>
      <c r="BF61" s="238" t="s">
        <v>53</v>
      </c>
      <c r="BG61" s="263" t="s">
        <v>70</v>
      </c>
      <c r="BH61" s="306" t="s">
        <v>131</v>
      </c>
    </row>
    <row r="62" s="78" customFormat="1" ht="15" hidden="1" spans="1:60">
      <c r="A62" s="301">
        <v>55</v>
      </c>
      <c r="B62" s="307" t="s">
        <v>19</v>
      </c>
      <c r="C62" s="307" t="s">
        <v>20</v>
      </c>
      <c r="D62" s="308">
        <v>2020</v>
      </c>
      <c r="E62" s="313" t="s">
        <v>151</v>
      </c>
      <c r="F62" s="308" t="s">
        <v>53</v>
      </c>
      <c r="G62" s="127" t="s">
        <v>56</v>
      </c>
      <c r="H62" s="310">
        <f t="shared" si="2"/>
        <v>9500000</v>
      </c>
      <c r="I62" s="310">
        <f t="shared" si="3"/>
        <v>9500000</v>
      </c>
      <c r="J62" s="310">
        <f t="shared" si="4"/>
        <v>0</v>
      </c>
      <c r="K62" s="310"/>
      <c r="L62" s="310"/>
      <c r="M62" s="310"/>
      <c r="N62" s="310"/>
      <c r="O62" s="310">
        <f t="shared" si="5"/>
        <v>0</v>
      </c>
      <c r="P62" s="310"/>
      <c r="Q62" s="310"/>
      <c r="R62" s="310"/>
      <c r="S62" s="310"/>
      <c r="T62" s="310">
        <f t="shared" si="6"/>
        <v>9500000</v>
      </c>
      <c r="U62" s="310">
        <v>9500000</v>
      </c>
      <c r="V62" s="310"/>
      <c r="W62" s="310"/>
      <c r="X62" s="310"/>
      <c r="Y62" s="310">
        <f t="shared" si="7"/>
        <v>0</v>
      </c>
      <c r="Z62" s="310"/>
      <c r="AA62" s="310"/>
      <c r="AB62" s="310"/>
      <c r="AC62" s="310"/>
      <c r="AD62" s="310"/>
      <c r="AE62" s="310"/>
      <c r="AF62" s="310"/>
      <c r="AG62" s="310">
        <f t="shared" si="8"/>
        <v>9217227.33</v>
      </c>
      <c r="AH62" s="310">
        <f t="shared" si="9"/>
        <v>9217227.33</v>
      </c>
      <c r="AI62" s="310">
        <f t="shared" si="10"/>
        <v>0</v>
      </c>
      <c r="AJ62" s="310"/>
      <c r="AK62" s="310"/>
      <c r="AL62" s="310"/>
      <c r="AM62" s="310"/>
      <c r="AN62" s="310">
        <f t="shared" si="11"/>
        <v>0</v>
      </c>
      <c r="AO62" s="310"/>
      <c r="AP62" s="310"/>
      <c r="AQ62" s="310"/>
      <c r="AR62" s="310"/>
      <c r="AS62" s="310">
        <f t="shared" si="12"/>
        <v>9217227.33</v>
      </c>
      <c r="AT62" s="310">
        <v>9217227.33</v>
      </c>
      <c r="AU62" s="310"/>
      <c r="AV62" s="310"/>
      <c r="AW62" s="310"/>
      <c r="AX62" s="310">
        <f t="shared" si="13"/>
        <v>0</v>
      </c>
      <c r="AY62" s="310"/>
      <c r="AZ62" s="310"/>
      <c r="BA62" s="310"/>
      <c r="BB62" s="310"/>
      <c r="BC62" s="310"/>
      <c r="BD62" s="310"/>
      <c r="BE62" s="312"/>
      <c r="BF62" s="134" t="s">
        <v>56</v>
      </c>
      <c r="BG62" s="315" t="s">
        <v>62</v>
      </c>
      <c r="BH62" s="137" t="s">
        <v>76</v>
      </c>
    </row>
    <row r="63" s="270" customFormat="1" ht="15" hidden="1" spans="1:60">
      <c r="A63" s="301">
        <v>56</v>
      </c>
      <c r="B63" s="302" t="s">
        <v>19</v>
      </c>
      <c r="C63" s="302" t="s">
        <v>20</v>
      </c>
      <c r="D63" s="301">
        <v>2020</v>
      </c>
      <c r="E63" s="303" t="s">
        <v>152</v>
      </c>
      <c r="F63" s="301" t="s">
        <v>53</v>
      </c>
      <c r="G63" s="238" t="s">
        <v>53</v>
      </c>
      <c r="H63" s="304">
        <f t="shared" si="2"/>
        <v>1400000</v>
      </c>
      <c r="I63" s="304">
        <f t="shared" si="3"/>
        <v>1400000</v>
      </c>
      <c r="J63" s="304">
        <f t="shared" si="4"/>
        <v>0</v>
      </c>
      <c r="K63" s="304"/>
      <c r="L63" s="304"/>
      <c r="M63" s="304"/>
      <c r="N63" s="304"/>
      <c r="O63" s="304">
        <f t="shared" si="5"/>
        <v>588000</v>
      </c>
      <c r="P63" s="304"/>
      <c r="Q63" s="304">
        <v>588000</v>
      </c>
      <c r="R63" s="304"/>
      <c r="S63" s="304"/>
      <c r="T63" s="304">
        <f t="shared" si="6"/>
        <v>812000</v>
      </c>
      <c r="U63" s="304">
        <v>812000</v>
      </c>
      <c r="V63" s="304"/>
      <c r="W63" s="304"/>
      <c r="X63" s="304"/>
      <c r="Y63" s="304">
        <f t="shared" si="7"/>
        <v>0</v>
      </c>
      <c r="Z63" s="304"/>
      <c r="AA63" s="304"/>
      <c r="AB63" s="304"/>
      <c r="AC63" s="304"/>
      <c r="AD63" s="304"/>
      <c r="AE63" s="304"/>
      <c r="AF63" s="304"/>
      <c r="AG63" s="304">
        <f t="shared" si="8"/>
        <v>1253700.18</v>
      </c>
      <c r="AH63" s="304">
        <f t="shared" si="9"/>
        <v>1253700.18</v>
      </c>
      <c r="AI63" s="304">
        <f t="shared" si="10"/>
        <v>0</v>
      </c>
      <c r="AJ63" s="304"/>
      <c r="AK63" s="304"/>
      <c r="AL63" s="304"/>
      <c r="AM63" s="304"/>
      <c r="AN63" s="304">
        <f t="shared" si="11"/>
        <v>588000</v>
      </c>
      <c r="AO63" s="304"/>
      <c r="AP63" s="304">
        <v>588000</v>
      </c>
      <c r="AQ63" s="304"/>
      <c r="AR63" s="304"/>
      <c r="AS63" s="304">
        <f t="shared" si="12"/>
        <v>665700.18</v>
      </c>
      <c r="AT63" s="304">
        <v>665700.18</v>
      </c>
      <c r="AU63" s="304"/>
      <c r="AV63" s="304"/>
      <c r="AW63" s="304"/>
      <c r="AX63" s="304">
        <f t="shared" si="13"/>
        <v>0</v>
      </c>
      <c r="AY63" s="304"/>
      <c r="AZ63" s="304"/>
      <c r="BA63" s="304"/>
      <c r="BB63" s="304"/>
      <c r="BC63" s="304"/>
      <c r="BD63" s="304"/>
      <c r="BE63" s="305">
        <v>0</v>
      </c>
      <c r="BF63" s="238" t="s">
        <v>53</v>
      </c>
      <c r="BG63" s="263" t="s">
        <v>54</v>
      </c>
      <c r="BH63" s="306"/>
    </row>
    <row r="64" s="271" customFormat="1" ht="15" hidden="1" spans="1:60">
      <c r="A64" s="301">
        <v>57</v>
      </c>
      <c r="B64" s="316" t="s">
        <v>19</v>
      </c>
      <c r="C64" s="316" t="s">
        <v>20</v>
      </c>
      <c r="D64" s="317">
        <v>2021</v>
      </c>
      <c r="E64" s="318" t="s">
        <v>153</v>
      </c>
      <c r="F64" s="317" t="s">
        <v>53</v>
      </c>
      <c r="G64" s="319" t="s">
        <v>56</v>
      </c>
      <c r="H64" s="320">
        <f t="shared" si="2"/>
        <v>230600</v>
      </c>
      <c r="I64" s="320">
        <f t="shared" si="3"/>
        <v>230600</v>
      </c>
      <c r="J64" s="320">
        <f t="shared" si="4"/>
        <v>0</v>
      </c>
      <c r="K64" s="320"/>
      <c r="L64" s="320"/>
      <c r="M64" s="320"/>
      <c r="N64" s="320"/>
      <c r="O64" s="320">
        <f t="shared" si="5"/>
        <v>230600</v>
      </c>
      <c r="P64" s="320"/>
      <c r="Q64" s="320"/>
      <c r="R64" s="320"/>
      <c r="S64" s="320">
        <v>230600</v>
      </c>
      <c r="T64" s="320">
        <f t="shared" si="6"/>
        <v>0</v>
      </c>
      <c r="U64" s="320"/>
      <c r="V64" s="320"/>
      <c r="W64" s="320"/>
      <c r="X64" s="320"/>
      <c r="Y64" s="320">
        <f t="shared" si="7"/>
        <v>0</v>
      </c>
      <c r="Z64" s="320"/>
      <c r="AA64" s="320"/>
      <c r="AB64" s="320"/>
      <c r="AC64" s="320"/>
      <c r="AD64" s="320"/>
      <c r="AE64" s="320"/>
      <c r="AF64" s="320"/>
      <c r="AG64" s="320">
        <f t="shared" si="8"/>
        <v>230600</v>
      </c>
      <c r="AH64" s="320">
        <f t="shared" si="9"/>
        <v>230600</v>
      </c>
      <c r="AI64" s="320">
        <f t="shared" si="10"/>
        <v>0</v>
      </c>
      <c r="AJ64" s="320"/>
      <c r="AK64" s="320"/>
      <c r="AL64" s="320"/>
      <c r="AM64" s="320"/>
      <c r="AN64" s="320">
        <f t="shared" si="11"/>
        <v>230600</v>
      </c>
      <c r="AO64" s="320"/>
      <c r="AP64" s="320"/>
      <c r="AQ64" s="320"/>
      <c r="AR64" s="320">
        <v>230600</v>
      </c>
      <c r="AS64" s="320">
        <f t="shared" si="12"/>
        <v>0</v>
      </c>
      <c r="AT64" s="320"/>
      <c r="AU64" s="320"/>
      <c r="AV64" s="320"/>
      <c r="AW64" s="320"/>
      <c r="AX64" s="320">
        <f t="shared" si="13"/>
        <v>0</v>
      </c>
      <c r="AY64" s="320"/>
      <c r="AZ64" s="320"/>
      <c r="BA64" s="320"/>
      <c r="BB64" s="320"/>
      <c r="BC64" s="320"/>
      <c r="BD64" s="320"/>
      <c r="BE64" s="321"/>
      <c r="BF64" s="319" t="s">
        <v>56</v>
      </c>
      <c r="BG64" s="322" t="s">
        <v>154</v>
      </c>
      <c r="BH64" s="323"/>
    </row>
    <row r="65" s="78" customFormat="1" ht="15" hidden="1" spans="1:60">
      <c r="A65" s="301">
        <v>58</v>
      </c>
      <c r="B65" s="307" t="s">
        <v>19</v>
      </c>
      <c r="C65" s="307" t="s">
        <v>20</v>
      </c>
      <c r="D65" s="308">
        <v>2021</v>
      </c>
      <c r="E65" s="313" t="s">
        <v>155</v>
      </c>
      <c r="F65" s="308" t="s">
        <v>53</v>
      </c>
      <c r="G65" s="127" t="s">
        <v>53</v>
      </c>
      <c r="H65" s="310">
        <f t="shared" si="2"/>
        <v>2010000</v>
      </c>
      <c r="I65" s="310">
        <f t="shared" si="3"/>
        <v>2010000</v>
      </c>
      <c r="J65" s="310">
        <f t="shared" si="4"/>
        <v>0</v>
      </c>
      <c r="K65" s="310"/>
      <c r="L65" s="310"/>
      <c r="M65" s="310"/>
      <c r="N65" s="310"/>
      <c r="O65" s="310">
        <f t="shared" si="5"/>
        <v>0</v>
      </c>
      <c r="P65" s="310"/>
      <c r="Q65" s="310"/>
      <c r="R65" s="310"/>
      <c r="S65" s="310"/>
      <c r="T65" s="310">
        <f t="shared" si="6"/>
        <v>2010000</v>
      </c>
      <c r="U65" s="310">
        <v>2010000</v>
      </c>
      <c r="V65" s="310"/>
      <c r="W65" s="310"/>
      <c r="X65" s="310"/>
      <c r="Y65" s="310">
        <f t="shared" si="7"/>
        <v>0</v>
      </c>
      <c r="Z65" s="310"/>
      <c r="AA65" s="310"/>
      <c r="AB65" s="310"/>
      <c r="AC65" s="310"/>
      <c r="AD65" s="310"/>
      <c r="AE65" s="310"/>
      <c r="AF65" s="310"/>
      <c r="AG65" s="310">
        <f t="shared" si="8"/>
        <v>2010000</v>
      </c>
      <c r="AH65" s="310">
        <f t="shared" si="9"/>
        <v>2010000</v>
      </c>
      <c r="AI65" s="310">
        <f t="shared" si="10"/>
        <v>0</v>
      </c>
      <c r="AJ65" s="310"/>
      <c r="AK65" s="310"/>
      <c r="AL65" s="310"/>
      <c r="AM65" s="310"/>
      <c r="AN65" s="310">
        <f t="shared" si="11"/>
        <v>0</v>
      </c>
      <c r="AO65" s="310"/>
      <c r="AP65" s="310"/>
      <c r="AQ65" s="310"/>
      <c r="AR65" s="310"/>
      <c r="AS65" s="310">
        <f t="shared" si="12"/>
        <v>2010000</v>
      </c>
      <c r="AT65" s="310">
        <v>2010000</v>
      </c>
      <c r="AU65" s="310"/>
      <c r="AV65" s="310"/>
      <c r="AW65" s="310"/>
      <c r="AX65" s="310">
        <f t="shared" si="13"/>
        <v>0</v>
      </c>
      <c r="AY65" s="310"/>
      <c r="AZ65" s="310"/>
      <c r="BA65" s="310"/>
      <c r="BB65" s="310"/>
      <c r="BC65" s="310"/>
      <c r="BD65" s="310"/>
      <c r="BE65" s="312">
        <v>0</v>
      </c>
      <c r="BF65" s="134" t="s">
        <v>56</v>
      </c>
      <c r="BG65" s="315" t="s">
        <v>156</v>
      </c>
      <c r="BH65" s="137" t="s">
        <v>157</v>
      </c>
    </row>
    <row r="66" s="77" customFormat="1" ht="15" hidden="1" spans="1:60">
      <c r="A66" s="301">
        <v>59</v>
      </c>
      <c r="B66" s="307" t="s">
        <v>19</v>
      </c>
      <c r="C66" s="307" t="s">
        <v>20</v>
      </c>
      <c r="D66" s="308">
        <v>2021</v>
      </c>
      <c r="E66" s="313" t="s">
        <v>158</v>
      </c>
      <c r="F66" s="308" t="s">
        <v>53</v>
      </c>
      <c r="G66" s="127" t="s">
        <v>53</v>
      </c>
      <c r="H66" s="310">
        <f t="shared" si="2"/>
        <v>1460000</v>
      </c>
      <c r="I66" s="310">
        <f t="shared" si="3"/>
        <v>1460000</v>
      </c>
      <c r="J66" s="310">
        <f t="shared" si="4"/>
        <v>0</v>
      </c>
      <c r="K66" s="310"/>
      <c r="L66" s="310"/>
      <c r="M66" s="310"/>
      <c r="N66" s="310"/>
      <c r="O66" s="310">
        <f t="shared" si="5"/>
        <v>0</v>
      </c>
      <c r="P66" s="310"/>
      <c r="Q66" s="310"/>
      <c r="R66" s="310"/>
      <c r="S66" s="310"/>
      <c r="T66" s="310">
        <f t="shared" si="6"/>
        <v>1460000</v>
      </c>
      <c r="U66" s="310">
        <v>1460000</v>
      </c>
      <c r="V66" s="310"/>
      <c r="W66" s="310"/>
      <c r="X66" s="310"/>
      <c r="Y66" s="310">
        <f t="shared" si="7"/>
        <v>0</v>
      </c>
      <c r="Z66" s="310"/>
      <c r="AA66" s="310"/>
      <c r="AB66" s="310"/>
      <c r="AC66" s="310"/>
      <c r="AD66" s="310"/>
      <c r="AE66" s="310"/>
      <c r="AF66" s="310"/>
      <c r="AG66" s="310">
        <f t="shared" si="8"/>
        <v>1299328.27</v>
      </c>
      <c r="AH66" s="310">
        <f t="shared" si="9"/>
        <v>1299328.27</v>
      </c>
      <c r="AI66" s="310">
        <f t="shared" si="10"/>
        <v>0</v>
      </c>
      <c r="AJ66" s="310"/>
      <c r="AK66" s="310"/>
      <c r="AL66" s="310"/>
      <c r="AM66" s="310"/>
      <c r="AN66" s="310">
        <f t="shared" si="11"/>
        <v>0</v>
      </c>
      <c r="AO66" s="310"/>
      <c r="AP66" s="310"/>
      <c r="AQ66" s="310"/>
      <c r="AR66" s="310"/>
      <c r="AS66" s="310">
        <f t="shared" si="12"/>
        <v>1299328.27</v>
      </c>
      <c r="AT66" s="310">
        <v>1299328.27</v>
      </c>
      <c r="AU66" s="310"/>
      <c r="AV66" s="310"/>
      <c r="AW66" s="310"/>
      <c r="AX66" s="310">
        <f t="shared" si="13"/>
        <v>0</v>
      </c>
      <c r="AY66" s="310"/>
      <c r="AZ66" s="310"/>
      <c r="BA66" s="310"/>
      <c r="BB66" s="310"/>
      <c r="BC66" s="310"/>
      <c r="BD66" s="310"/>
      <c r="BE66" s="312">
        <v>0</v>
      </c>
      <c r="BF66" s="127" t="s">
        <v>56</v>
      </c>
      <c r="BG66" s="128" t="s">
        <v>159</v>
      </c>
      <c r="BH66" s="133"/>
    </row>
    <row r="67" s="78" customFormat="1" ht="15" hidden="1" spans="1:60">
      <c r="A67" s="301">
        <v>60</v>
      </c>
      <c r="B67" s="307" t="s">
        <v>19</v>
      </c>
      <c r="C67" s="307" t="s">
        <v>20</v>
      </c>
      <c r="D67" s="308">
        <v>2021</v>
      </c>
      <c r="E67" s="313" t="s">
        <v>160</v>
      </c>
      <c r="F67" s="308" t="s">
        <v>53</v>
      </c>
      <c r="G67" s="127" t="s">
        <v>56</v>
      </c>
      <c r="H67" s="310">
        <f t="shared" si="2"/>
        <v>2136400</v>
      </c>
      <c r="I67" s="310">
        <f t="shared" si="3"/>
        <v>2136400</v>
      </c>
      <c r="J67" s="310">
        <f t="shared" si="4"/>
        <v>0</v>
      </c>
      <c r="K67" s="310"/>
      <c r="L67" s="310"/>
      <c r="M67" s="310"/>
      <c r="N67" s="310"/>
      <c r="O67" s="310">
        <f t="shared" si="5"/>
        <v>0</v>
      </c>
      <c r="P67" s="310"/>
      <c r="Q67" s="310"/>
      <c r="R67" s="310"/>
      <c r="S67" s="310"/>
      <c r="T67" s="310">
        <f t="shared" si="6"/>
        <v>2136400</v>
      </c>
      <c r="U67" s="310"/>
      <c r="V67" s="310"/>
      <c r="W67" s="310"/>
      <c r="X67" s="310">
        <v>2136400</v>
      </c>
      <c r="Y67" s="310">
        <f t="shared" si="7"/>
        <v>0</v>
      </c>
      <c r="Z67" s="310"/>
      <c r="AA67" s="310"/>
      <c r="AB67" s="310"/>
      <c r="AC67" s="310"/>
      <c r="AD67" s="310"/>
      <c r="AE67" s="310"/>
      <c r="AF67" s="310"/>
      <c r="AG67" s="310">
        <f t="shared" si="8"/>
        <v>2001888.53</v>
      </c>
      <c r="AH67" s="310">
        <f t="shared" si="9"/>
        <v>2001888.53</v>
      </c>
      <c r="AI67" s="310">
        <f t="shared" si="10"/>
        <v>0</v>
      </c>
      <c r="AJ67" s="310"/>
      <c r="AK67" s="310"/>
      <c r="AL67" s="310"/>
      <c r="AM67" s="310"/>
      <c r="AN67" s="310">
        <f t="shared" si="11"/>
        <v>0</v>
      </c>
      <c r="AO67" s="310"/>
      <c r="AP67" s="310"/>
      <c r="AQ67" s="310"/>
      <c r="AR67" s="310"/>
      <c r="AS67" s="310">
        <f t="shared" si="12"/>
        <v>2001888.53</v>
      </c>
      <c r="AT67" s="310"/>
      <c r="AU67" s="310"/>
      <c r="AV67" s="310"/>
      <c r="AW67" s="310">
        <v>2001888.53</v>
      </c>
      <c r="AX67" s="310">
        <f t="shared" si="13"/>
        <v>0</v>
      </c>
      <c r="AY67" s="310"/>
      <c r="AZ67" s="310"/>
      <c r="BA67" s="310"/>
      <c r="BB67" s="310"/>
      <c r="BC67" s="310"/>
      <c r="BD67" s="310"/>
      <c r="BE67" s="312"/>
      <c r="BF67" s="134" t="s">
        <v>56</v>
      </c>
      <c r="BG67" s="315" t="s">
        <v>62</v>
      </c>
      <c r="BH67" s="137" t="s">
        <v>157</v>
      </c>
    </row>
    <row r="68" s="78" customFormat="1" ht="15" hidden="1" spans="1:60">
      <c r="A68" s="301">
        <v>61</v>
      </c>
      <c r="B68" s="307" t="s">
        <v>19</v>
      </c>
      <c r="C68" s="307" t="s">
        <v>20</v>
      </c>
      <c r="D68" s="308">
        <v>2021</v>
      </c>
      <c r="E68" s="313" t="s">
        <v>161</v>
      </c>
      <c r="F68" s="308" t="s">
        <v>53</v>
      </c>
      <c r="G68" s="127" t="s">
        <v>56</v>
      </c>
      <c r="H68" s="310">
        <f t="shared" si="2"/>
        <v>3700000</v>
      </c>
      <c r="I68" s="310">
        <f t="shared" si="3"/>
        <v>3700000</v>
      </c>
      <c r="J68" s="310">
        <f t="shared" si="4"/>
        <v>0</v>
      </c>
      <c r="K68" s="310"/>
      <c r="L68" s="310"/>
      <c r="M68" s="310"/>
      <c r="N68" s="310"/>
      <c r="O68" s="310">
        <f t="shared" si="5"/>
        <v>0</v>
      </c>
      <c r="P68" s="310"/>
      <c r="Q68" s="310"/>
      <c r="R68" s="310"/>
      <c r="S68" s="310"/>
      <c r="T68" s="310">
        <f t="shared" si="6"/>
        <v>3700000</v>
      </c>
      <c r="U68" s="310"/>
      <c r="V68" s="310"/>
      <c r="W68" s="310"/>
      <c r="X68" s="310">
        <v>3700000</v>
      </c>
      <c r="Y68" s="310">
        <f t="shared" si="7"/>
        <v>0</v>
      </c>
      <c r="Z68" s="310"/>
      <c r="AA68" s="310"/>
      <c r="AB68" s="310"/>
      <c r="AC68" s="310"/>
      <c r="AD68" s="310"/>
      <c r="AE68" s="310"/>
      <c r="AF68" s="310"/>
      <c r="AG68" s="310">
        <f t="shared" si="8"/>
        <v>3594286.62</v>
      </c>
      <c r="AH68" s="310">
        <f t="shared" si="9"/>
        <v>3594286.62</v>
      </c>
      <c r="AI68" s="310">
        <f t="shared" si="10"/>
        <v>0</v>
      </c>
      <c r="AJ68" s="310"/>
      <c r="AK68" s="310"/>
      <c r="AL68" s="310"/>
      <c r="AM68" s="310"/>
      <c r="AN68" s="310">
        <f t="shared" si="11"/>
        <v>0</v>
      </c>
      <c r="AO68" s="310"/>
      <c r="AP68" s="310"/>
      <c r="AQ68" s="310"/>
      <c r="AR68" s="310"/>
      <c r="AS68" s="310">
        <f t="shared" si="12"/>
        <v>3594286.62</v>
      </c>
      <c r="AT68" s="310"/>
      <c r="AU68" s="310"/>
      <c r="AV68" s="310"/>
      <c r="AW68" s="310">
        <v>3594286.62</v>
      </c>
      <c r="AX68" s="310">
        <f t="shared" si="13"/>
        <v>0</v>
      </c>
      <c r="AY68" s="310"/>
      <c r="AZ68" s="310"/>
      <c r="BA68" s="310"/>
      <c r="BB68" s="310"/>
      <c r="BC68" s="310"/>
      <c r="BD68" s="310"/>
      <c r="BE68" s="312"/>
      <c r="BF68" s="134" t="s">
        <v>56</v>
      </c>
      <c r="BG68" s="315" t="s">
        <v>162</v>
      </c>
      <c r="BH68" s="137" t="s">
        <v>157</v>
      </c>
    </row>
    <row r="69" s="77" customFormat="1" ht="15" hidden="1" spans="1:60">
      <c r="A69" s="301">
        <v>62</v>
      </c>
      <c r="B69" s="307" t="s">
        <v>19</v>
      </c>
      <c r="C69" s="307" t="s">
        <v>20</v>
      </c>
      <c r="D69" s="308">
        <v>2022</v>
      </c>
      <c r="E69" s="313" t="s">
        <v>163</v>
      </c>
      <c r="F69" s="308" t="s">
        <v>53</v>
      </c>
      <c r="G69" s="127" t="s">
        <v>53</v>
      </c>
      <c r="H69" s="310">
        <f t="shared" si="2"/>
        <v>3940000</v>
      </c>
      <c r="I69" s="310">
        <f t="shared" si="3"/>
        <v>3940000</v>
      </c>
      <c r="J69" s="310">
        <f t="shared" si="4"/>
        <v>0</v>
      </c>
      <c r="K69" s="310"/>
      <c r="L69" s="310"/>
      <c r="M69" s="310"/>
      <c r="N69" s="310"/>
      <c r="O69" s="310">
        <f t="shared" si="5"/>
        <v>3940000</v>
      </c>
      <c r="P69" s="310">
        <v>3940000</v>
      </c>
      <c r="Q69" s="310"/>
      <c r="R69" s="310"/>
      <c r="S69" s="310"/>
      <c r="T69" s="310">
        <f t="shared" si="6"/>
        <v>0</v>
      </c>
      <c r="U69" s="310"/>
      <c r="V69" s="310"/>
      <c r="W69" s="310"/>
      <c r="X69" s="310"/>
      <c r="Y69" s="310">
        <f t="shared" si="7"/>
        <v>0</v>
      </c>
      <c r="Z69" s="310"/>
      <c r="AA69" s="310"/>
      <c r="AB69" s="310"/>
      <c r="AC69" s="310"/>
      <c r="AD69" s="310"/>
      <c r="AE69" s="310"/>
      <c r="AF69" s="310"/>
      <c r="AG69" s="310">
        <f t="shared" si="8"/>
        <v>3833264.47</v>
      </c>
      <c r="AH69" s="310">
        <f t="shared" si="9"/>
        <v>3833264.47</v>
      </c>
      <c r="AI69" s="310">
        <f t="shared" si="10"/>
        <v>0</v>
      </c>
      <c r="AJ69" s="310"/>
      <c r="AK69" s="310"/>
      <c r="AL69" s="310"/>
      <c r="AM69" s="310"/>
      <c r="AN69" s="310">
        <f t="shared" si="11"/>
        <v>3833264.47</v>
      </c>
      <c r="AO69" s="310">
        <v>3833264.47</v>
      </c>
      <c r="AP69" s="310"/>
      <c r="AQ69" s="310"/>
      <c r="AR69" s="310"/>
      <c r="AS69" s="310">
        <f t="shared" si="12"/>
        <v>0</v>
      </c>
      <c r="AT69" s="310"/>
      <c r="AU69" s="310"/>
      <c r="AV69" s="310"/>
      <c r="AW69" s="310"/>
      <c r="AX69" s="310">
        <f t="shared" si="13"/>
        <v>0</v>
      </c>
      <c r="AY69" s="310"/>
      <c r="AZ69" s="310"/>
      <c r="BA69" s="310"/>
      <c r="BB69" s="310"/>
      <c r="BC69" s="310"/>
      <c r="BD69" s="310"/>
      <c r="BE69" s="312">
        <v>0</v>
      </c>
      <c r="BF69" s="127" t="s">
        <v>56</v>
      </c>
      <c r="BG69" s="128" t="s">
        <v>162</v>
      </c>
      <c r="BH69" s="133" t="s">
        <v>131</v>
      </c>
    </row>
    <row r="70" s="78" customFormat="1" ht="15" hidden="1" spans="1:60">
      <c r="A70" s="301">
        <v>63</v>
      </c>
      <c r="B70" s="307" t="s">
        <v>19</v>
      </c>
      <c r="C70" s="307" t="s">
        <v>20</v>
      </c>
      <c r="D70" s="308">
        <v>2022</v>
      </c>
      <c r="E70" s="313" t="s">
        <v>164</v>
      </c>
      <c r="F70" s="308" t="s">
        <v>53</v>
      </c>
      <c r="G70" s="127" t="s">
        <v>56</v>
      </c>
      <c r="H70" s="310">
        <f t="shared" si="2"/>
        <v>3091500</v>
      </c>
      <c r="I70" s="310">
        <f t="shared" si="3"/>
        <v>3091500</v>
      </c>
      <c r="J70" s="310">
        <f t="shared" si="4"/>
        <v>0</v>
      </c>
      <c r="K70" s="310"/>
      <c r="L70" s="310"/>
      <c r="M70" s="310"/>
      <c r="N70" s="310"/>
      <c r="O70" s="310">
        <f t="shared" si="5"/>
        <v>0</v>
      </c>
      <c r="P70" s="310"/>
      <c r="Q70" s="310"/>
      <c r="R70" s="310"/>
      <c r="S70" s="310"/>
      <c r="T70" s="310">
        <f t="shared" si="6"/>
        <v>3091500</v>
      </c>
      <c r="U70" s="310">
        <v>3091500</v>
      </c>
      <c r="V70" s="310"/>
      <c r="W70" s="310"/>
      <c r="X70" s="310"/>
      <c r="Y70" s="310">
        <f t="shared" si="7"/>
        <v>0</v>
      </c>
      <c r="Z70" s="310"/>
      <c r="AA70" s="310"/>
      <c r="AB70" s="310"/>
      <c r="AC70" s="310"/>
      <c r="AD70" s="310"/>
      <c r="AE70" s="310"/>
      <c r="AF70" s="310"/>
      <c r="AG70" s="310">
        <f t="shared" si="8"/>
        <v>2934852.21</v>
      </c>
      <c r="AH70" s="310">
        <f t="shared" si="9"/>
        <v>2934852.21</v>
      </c>
      <c r="AI70" s="310">
        <f t="shared" si="10"/>
        <v>0</v>
      </c>
      <c r="AJ70" s="310"/>
      <c r="AK70" s="310"/>
      <c r="AL70" s="310"/>
      <c r="AM70" s="310"/>
      <c r="AN70" s="310">
        <f t="shared" si="11"/>
        <v>0</v>
      </c>
      <c r="AO70" s="310"/>
      <c r="AP70" s="310"/>
      <c r="AQ70" s="310"/>
      <c r="AR70" s="314"/>
      <c r="AS70" s="310">
        <f t="shared" si="12"/>
        <v>2934852.21</v>
      </c>
      <c r="AT70" s="310">
        <v>2934852.21</v>
      </c>
      <c r="AU70" s="310"/>
      <c r="AV70" s="310"/>
      <c r="AW70" s="310"/>
      <c r="AX70" s="310">
        <f t="shared" si="13"/>
        <v>0</v>
      </c>
      <c r="AY70" s="310"/>
      <c r="AZ70" s="310"/>
      <c r="BA70" s="310"/>
      <c r="BB70" s="310"/>
      <c r="BC70" s="310"/>
      <c r="BD70" s="310"/>
      <c r="BE70" s="312"/>
      <c r="BF70" s="134" t="s">
        <v>56</v>
      </c>
      <c r="BG70" s="315" t="s">
        <v>165</v>
      </c>
      <c r="BH70" s="137" t="s">
        <v>157</v>
      </c>
    </row>
    <row r="71" s="78" customFormat="1" ht="15" hidden="1" spans="1:60">
      <c r="A71" s="301">
        <v>64</v>
      </c>
      <c r="B71" s="307" t="s">
        <v>19</v>
      </c>
      <c r="C71" s="307" t="s">
        <v>20</v>
      </c>
      <c r="D71" s="308">
        <v>2022</v>
      </c>
      <c r="E71" s="313" t="s">
        <v>166</v>
      </c>
      <c r="F71" s="308" t="s">
        <v>53</v>
      </c>
      <c r="G71" s="127" t="s">
        <v>56</v>
      </c>
      <c r="H71" s="310">
        <f t="shared" si="2"/>
        <v>13204000</v>
      </c>
      <c r="I71" s="310">
        <f t="shared" si="3"/>
        <v>13204000</v>
      </c>
      <c r="J71" s="310">
        <f t="shared" si="4"/>
        <v>0</v>
      </c>
      <c r="K71" s="310"/>
      <c r="L71" s="310"/>
      <c r="M71" s="310"/>
      <c r="N71" s="310"/>
      <c r="O71" s="310">
        <f t="shared" si="5"/>
        <v>0</v>
      </c>
      <c r="P71" s="310"/>
      <c r="Q71" s="310"/>
      <c r="R71" s="310"/>
      <c r="S71" s="310"/>
      <c r="T71" s="310">
        <f t="shared" si="6"/>
        <v>13204000</v>
      </c>
      <c r="U71" s="310">
        <v>6525000</v>
      </c>
      <c r="V71" s="310"/>
      <c r="W71" s="310">
        <v>630000</v>
      </c>
      <c r="X71" s="310">
        <v>6049000</v>
      </c>
      <c r="Y71" s="310">
        <f t="shared" si="7"/>
        <v>0</v>
      </c>
      <c r="Z71" s="310"/>
      <c r="AA71" s="310"/>
      <c r="AB71" s="310"/>
      <c r="AC71" s="310"/>
      <c r="AD71" s="310"/>
      <c r="AE71" s="310"/>
      <c r="AF71" s="310"/>
      <c r="AG71" s="310">
        <f t="shared" si="8"/>
        <v>12709025.14</v>
      </c>
      <c r="AH71" s="310">
        <f t="shared" si="9"/>
        <v>12709025.14</v>
      </c>
      <c r="AI71" s="310">
        <f t="shared" si="10"/>
        <v>0</v>
      </c>
      <c r="AJ71" s="310"/>
      <c r="AK71" s="310"/>
      <c r="AL71" s="310"/>
      <c r="AM71" s="310"/>
      <c r="AN71" s="310">
        <f t="shared" si="11"/>
        <v>0</v>
      </c>
      <c r="AO71" s="310"/>
      <c r="AP71" s="310"/>
      <c r="AQ71" s="310"/>
      <c r="AR71" s="314"/>
      <c r="AS71" s="310">
        <f t="shared" si="12"/>
        <v>12709025.14</v>
      </c>
      <c r="AT71" s="310">
        <v>6525000</v>
      </c>
      <c r="AU71" s="310"/>
      <c r="AV71" s="310">
        <v>630000</v>
      </c>
      <c r="AW71" s="310">
        <v>5554025.14</v>
      </c>
      <c r="AX71" s="310">
        <f t="shared" si="13"/>
        <v>0</v>
      </c>
      <c r="AY71" s="310"/>
      <c r="AZ71" s="310"/>
      <c r="BA71" s="310"/>
      <c r="BB71" s="310"/>
      <c r="BC71" s="310"/>
      <c r="BD71" s="310"/>
      <c r="BE71" s="312"/>
      <c r="BF71" s="134" t="s">
        <v>56</v>
      </c>
      <c r="BG71" s="315" t="s">
        <v>167</v>
      </c>
      <c r="BH71" s="137" t="s">
        <v>157</v>
      </c>
    </row>
    <row r="72" s="78" customFormat="1" ht="15" hidden="1" spans="1:60">
      <c r="A72" s="301">
        <v>65</v>
      </c>
      <c r="B72" s="307" t="s">
        <v>19</v>
      </c>
      <c r="C72" s="307" t="s">
        <v>20</v>
      </c>
      <c r="D72" s="308">
        <v>2022</v>
      </c>
      <c r="E72" s="313" t="s">
        <v>168</v>
      </c>
      <c r="F72" s="308" t="s">
        <v>53</v>
      </c>
      <c r="G72" s="127" t="s">
        <v>53</v>
      </c>
      <c r="H72" s="310">
        <f t="shared" ref="H72:H100" si="14">I72+AF72</f>
        <v>9758900</v>
      </c>
      <c r="I72" s="310">
        <f t="shared" ref="I72:I100" si="15">O72+J72+T72+Y72+AE72+AC72+AD72</f>
        <v>9758900</v>
      </c>
      <c r="J72" s="310">
        <f t="shared" ref="J72:J100" si="16">N72+M72+L72+K72</f>
        <v>0</v>
      </c>
      <c r="K72" s="310"/>
      <c r="L72" s="310"/>
      <c r="M72" s="310"/>
      <c r="N72" s="310"/>
      <c r="O72" s="310">
        <f t="shared" ref="O72:O100" si="17">S72+R72+Q72+P72</f>
        <v>0</v>
      </c>
      <c r="P72" s="310"/>
      <c r="Q72" s="310"/>
      <c r="R72" s="310"/>
      <c r="S72" s="310"/>
      <c r="T72" s="310">
        <f t="shared" ref="T72:T100" si="18">U72+V72+W72+X72</f>
        <v>9758900</v>
      </c>
      <c r="U72" s="310">
        <v>6831230</v>
      </c>
      <c r="V72" s="310">
        <v>2927670</v>
      </c>
      <c r="W72" s="310"/>
      <c r="X72" s="310"/>
      <c r="Y72" s="310">
        <f t="shared" ref="Y72:Y100" si="19">AA72+Z72+AB72</f>
        <v>0</v>
      </c>
      <c r="Z72" s="310"/>
      <c r="AA72" s="310"/>
      <c r="AB72" s="310"/>
      <c r="AC72" s="310"/>
      <c r="AD72" s="310"/>
      <c r="AE72" s="310"/>
      <c r="AF72" s="310"/>
      <c r="AG72" s="310">
        <f t="shared" ref="AG72:AG100" si="20">AH72+BE72</f>
        <v>9452089.76</v>
      </c>
      <c r="AH72" s="310">
        <f t="shared" ref="AH72:AH100" si="21">AN72+AI72+AS72+AX72+BD72+BB72+BC72</f>
        <v>9452089.76</v>
      </c>
      <c r="AI72" s="310">
        <f t="shared" ref="AI72:AI100" si="22">AM72+AL72+AK72+AJ72</f>
        <v>0</v>
      </c>
      <c r="AJ72" s="310"/>
      <c r="AK72" s="310"/>
      <c r="AL72" s="310"/>
      <c r="AM72" s="310"/>
      <c r="AN72" s="310">
        <f t="shared" ref="AN72:AN100" si="23">AR72+AQ72+AP72+AO72</f>
        <v>0</v>
      </c>
      <c r="AO72" s="310"/>
      <c r="AP72" s="310"/>
      <c r="AQ72" s="310"/>
      <c r="AR72" s="314"/>
      <c r="AS72" s="310">
        <f t="shared" ref="AS72:AS100" si="24">AW72+AV72+AU72+AT72</f>
        <v>9452089.76</v>
      </c>
      <c r="AT72" s="310">
        <v>6831230</v>
      </c>
      <c r="AU72" s="310">
        <v>2620859.76</v>
      </c>
      <c r="AV72" s="310"/>
      <c r="AW72" s="310"/>
      <c r="AX72" s="310">
        <f t="shared" ref="AX72:AX100" si="25">AZ72+AY72+BA72</f>
        <v>0</v>
      </c>
      <c r="AY72" s="310"/>
      <c r="AZ72" s="310"/>
      <c r="BA72" s="310"/>
      <c r="BB72" s="310"/>
      <c r="BC72" s="310"/>
      <c r="BD72" s="310"/>
      <c r="BE72" s="312">
        <v>0</v>
      </c>
      <c r="BF72" s="134" t="s">
        <v>56</v>
      </c>
      <c r="BG72" s="315" t="s">
        <v>169</v>
      </c>
      <c r="BH72" s="137" t="s">
        <v>157</v>
      </c>
    </row>
    <row r="73" s="77" customFormat="1" hidden="1" customHeight="1" spans="1:60">
      <c r="A73" s="301">
        <v>66</v>
      </c>
      <c r="B73" s="307" t="s">
        <v>19</v>
      </c>
      <c r="C73" s="307" t="s">
        <v>20</v>
      </c>
      <c r="D73" s="308">
        <v>2016</v>
      </c>
      <c r="E73" s="313" t="s">
        <v>170</v>
      </c>
      <c r="F73" s="308" t="s">
        <v>53</v>
      </c>
      <c r="G73" s="127" t="s">
        <v>56</v>
      </c>
      <c r="H73" s="310">
        <f t="shared" si="14"/>
        <v>2800000</v>
      </c>
      <c r="I73" s="310">
        <f t="shared" si="15"/>
        <v>2800000</v>
      </c>
      <c r="J73" s="310">
        <f t="shared" si="16"/>
        <v>0</v>
      </c>
      <c r="K73" s="310"/>
      <c r="L73" s="310"/>
      <c r="M73" s="310"/>
      <c r="N73" s="310"/>
      <c r="O73" s="310">
        <f t="shared" si="17"/>
        <v>2800000</v>
      </c>
      <c r="P73" s="310">
        <v>2800000</v>
      </c>
      <c r="Q73" s="310"/>
      <c r="R73" s="310"/>
      <c r="S73" s="310"/>
      <c r="T73" s="310">
        <f t="shared" si="18"/>
        <v>0</v>
      </c>
      <c r="U73" s="310"/>
      <c r="V73" s="310"/>
      <c r="W73" s="310"/>
      <c r="X73" s="310"/>
      <c r="Y73" s="310">
        <f t="shared" si="19"/>
        <v>0</v>
      </c>
      <c r="Z73" s="310"/>
      <c r="AA73" s="310"/>
      <c r="AB73" s="310"/>
      <c r="AC73" s="310"/>
      <c r="AD73" s="310"/>
      <c r="AE73" s="310"/>
      <c r="AF73" s="310"/>
      <c r="AG73" s="310">
        <f t="shared" si="20"/>
        <v>2620668.78</v>
      </c>
      <c r="AH73" s="310">
        <f t="shared" si="21"/>
        <v>2620668.78</v>
      </c>
      <c r="AI73" s="310">
        <f t="shared" si="22"/>
        <v>0</v>
      </c>
      <c r="AJ73" s="310"/>
      <c r="AK73" s="310"/>
      <c r="AL73" s="310"/>
      <c r="AM73" s="310"/>
      <c r="AN73" s="310">
        <f t="shared" si="23"/>
        <v>2620668.78</v>
      </c>
      <c r="AO73" s="310">
        <v>2620668.78</v>
      </c>
      <c r="AP73" s="310"/>
      <c r="AQ73" s="310"/>
      <c r="AR73" s="310"/>
      <c r="AS73" s="310">
        <f t="shared" si="24"/>
        <v>0</v>
      </c>
      <c r="AT73" s="310"/>
      <c r="AU73" s="310"/>
      <c r="AV73" s="310"/>
      <c r="AW73" s="310"/>
      <c r="AX73" s="310">
        <f t="shared" si="25"/>
        <v>0</v>
      </c>
      <c r="AY73" s="310"/>
      <c r="AZ73" s="310"/>
      <c r="BA73" s="310"/>
      <c r="BB73" s="310"/>
      <c r="BC73" s="310"/>
      <c r="BD73" s="310"/>
      <c r="BE73" s="312"/>
      <c r="BF73" s="127" t="s">
        <v>56</v>
      </c>
      <c r="BG73" s="128" t="s">
        <v>159</v>
      </c>
      <c r="BH73" s="133" t="s">
        <v>157</v>
      </c>
    </row>
    <row r="74" s="270" customFormat="1" ht="15" hidden="1" spans="1:60">
      <c r="A74" s="301">
        <v>67</v>
      </c>
      <c r="B74" s="302" t="s">
        <v>19</v>
      </c>
      <c r="C74" s="302" t="s">
        <v>20</v>
      </c>
      <c r="D74" s="301">
        <v>2017</v>
      </c>
      <c r="E74" s="303" t="s">
        <v>171</v>
      </c>
      <c r="F74" s="301" t="s">
        <v>53</v>
      </c>
      <c r="G74" s="238" t="s">
        <v>56</v>
      </c>
      <c r="H74" s="304">
        <f t="shared" si="14"/>
        <v>700000</v>
      </c>
      <c r="I74" s="304">
        <f t="shared" si="15"/>
        <v>650000</v>
      </c>
      <c r="J74" s="304">
        <f t="shared" si="16"/>
        <v>0</v>
      </c>
      <c r="K74" s="304"/>
      <c r="L74" s="304"/>
      <c r="M74" s="304"/>
      <c r="N74" s="304"/>
      <c r="O74" s="304">
        <f t="shared" si="17"/>
        <v>650000</v>
      </c>
      <c r="P74" s="304"/>
      <c r="Q74" s="304">
        <v>650000</v>
      </c>
      <c r="R74" s="304"/>
      <c r="S74" s="304"/>
      <c r="T74" s="304">
        <f t="shared" si="18"/>
        <v>0</v>
      </c>
      <c r="U74" s="304"/>
      <c r="V74" s="304"/>
      <c r="W74" s="304"/>
      <c r="X74" s="304"/>
      <c r="Y74" s="304">
        <f t="shared" si="19"/>
        <v>0</v>
      </c>
      <c r="Z74" s="304"/>
      <c r="AA74" s="304"/>
      <c r="AB74" s="304"/>
      <c r="AC74" s="304"/>
      <c r="AD74" s="304"/>
      <c r="AE74" s="304"/>
      <c r="AF74" s="304">
        <v>50000</v>
      </c>
      <c r="AG74" s="304">
        <f t="shared" si="20"/>
        <v>700000</v>
      </c>
      <c r="AH74" s="304">
        <f t="shared" si="21"/>
        <v>650000</v>
      </c>
      <c r="AI74" s="304">
        <f t="shared" si="22"/>
        <v>0</v>
      </c>
      <c r="AJ74" s="304"/>
      <c r="AK74" s="304"/>
      <c r="AL74" s="304"/>
      <c r="AM74" s="304"/>
      <c r="AN74" s="304">
        <f t="shared" si="23"/>
        <v>650000</v>
      </c>
      <c r="AO74" s="304"/>
      <c r="AP74" s="304">
        <v>650000</v>
      </c>
      <c r="AQ74" s="304"/>
      <c r="AR74" s="304"/>
      <c r="AS74" s="304">
        <f t="shared" si="24"/>
        <v>0</v>
      </c>
      <c r="AT74" s="304"/>
      <c r="AU74" s="304"/>
      <c r="AV74" s="304"/>
      <c r="AW74" s="304"/>
      <c r="AX74" s="304">
        <f t="shared" si="25"/>
        <v>0</v>
      </c>
      <c r="AY74" s="304"/>
      <c r="AZ74" s="304"/>
      <c r="BA74" s="304"/>
      <c r="BB74" s="304"/>
      <c r="BC74" s="304"/>
      <c r="BD74" s="304"/>
      <c r="BE74" s="305">
        <v>50000</v>
      </c>
      <c r="BF74" s="238" t="s">
        <v>53</v>
      </c>
      <c r="BG74" s="263" t="s">
        <v>172</v>
      </c>
      <c r="BH74" s="306" t="s">
        <v>173</v>
      </c>
    </row>
    <row r="75" s="272" customFormat="1" ht="15" hidden="1" spans="1:60">
      <c r="A75" s="301">
        <v>68</v>
      </c>
      <c r="B75" s="324" t="s">
        <v>19</v>
      </c>
      <c r="C75" s="324" t="s">
        <v>20</v>
      </c>
      <c r="D75" s="325">
        <v>2017</v>
      </c>
      <c r="E75" s="326" t="s">
        <v>174</v>
      </c>
      <c r="F75" s="325" t="s">
        <v>53</v>
      </c>
      <c r="G75" s="327" t="s">
        <v>56</v>
      </c>
      <c r="H75" s="328">
        <f t="shared" si="14"/>
        <v>6000000</v>
      </c>
      <c r="I75" s="328">
        <f t="shared" si="15"/>
        <v>6000000</v>
      </c>
      <c r="J75" s="328">
        <f t="shared" si="16"/>
        <v>0</v>
      </c>
      <c r="K75" s="328"/>
      <c r="L75" s="328"/>
      <c r="M75" s="328"/>
      <c r="N75" s="328"/>
      <c r="O75" s="328">
        <f t="shared" si="17"/>
        <v>6000000</v>
      </c>
      <c r="P75" s="328"/>
      <c r="Q75" s="328">
        <v>6000000</v>
      </c>
      <c r="R75" s="328"/>
      <c r="S75" s="328"/>
      <c r="T75" s="328">
        <f t="shared" si="18"/>
        <v>0</v>
      </c>
      <c r="U75" s="328"/>
      <c r="V75" s="328"/>
      <c r="W75" s="328"/>
      <c r="X75" s="328"/>
      <c r="Y75" s="328">
        <f t="shared" si="19"/>
        <v>0</v>
      </c>
      <c r="Z75" s="328"/>
      <c r="AA75" s="328"/>
      <c r="AB75" s="328"/>
      <c r="AC75" s="328"/>
      <c r="AD75" s="328"/>
      <c r="AE75" s="328"/>
      <c r="AF75" s="328"/>
      <c r="AG75" s="328">
        <f t="shared" si="20"/>
        <v>4283981.73</v>
      </c>
      <c r="AH75" s="328">
        <f t="shared" si="21"/>
        <v>4283981.73</v>
      </c>
      <c r="AI75" s="328">
        <f t="shared" si="22"/>
        <v>0</v>
      </c>
      <c r="AJ75" s="328"/>
      <c r="AK75" s="328"/>
      <c r="AL75" s="328"/>
      <c r="AM75" s="328"/>
      <c r="AN75" s="328">
        <f t="shared" si="23"/>
        <v>4283981.73</v>
      </c>
      <c r="AO75" s="328"/>
      <c r="AP75" s="328">
        <v>4283981.73</v>
      </c>
      <c r="AQ75" s="328"/>
      <c r="AR75" s="328"/>
      <c r="AS75" s="328">
        <f t="shared" si="24"/>
        <v>0</v>
      </c>
      <c r="AT75" s="328"/>
      <c r="AU75" s="328"/>
      <c r="AV75" s="328"/>
      <c r="AW75" s="328"/>
      <c r="AX75" s="328">
        <f t="shared" si="25"/>
        <v>0</v>
      </c>
      <c r="AY75" s="328"/>
      <c r="AZ75" s="328"/>
      <c r="BA75" s="328"/>
      <c r="BB75" s="328"/>
      <c r="BC75" s="328"/>
      <c r="BD75" s="328"/>
      <c r="BE75" s="329"/>
      <c r="BF75" s="327" t="s">
        <v>56</v>
      </c>
      <c r="BG75" s="184" t="s">
        <v>175</v>
      </c>
      <c r="BH75" s="330" t="s">
        <v>176</v>
      </c>
    </row>
    <row r="76" s="270" customFormat="1" ht="15" hidden="1" spans="1:60">
      <c r="A76" s="301">
        <v>69</v>
      </c>
      <c r="B76" s="302" t="s">
        <v>19</v>
      </c>
      <c r="C76" s="302" t="s">
        <v>20</v>
      </c>
      <c r="D76" s="301">
        <v>2018</v>
      </c>
      <c r="E76" s="303" t="s">
        <v>177</v>
      </c>
      <c r="F76" s="301" t="s">
        <v>53</v>
      </c>
      <c r="G76" s="238" t="s">
        <v>56</v>
      </c>
      <c r="H76" s="304">
        <f t="shared" si="14"/>
        <v>2060000</v>
      </c>
      <c r="I76" s="304">
        <f t="shared" si="15"/>
        <v>2060000</v>
      </c>
      <c r="J76" s="304">
        <f t="shared" si="16"/>
        <v>0</v>
      </c>
      <c r="K76" s="304"/>
      <c r="L76" s="304"/>
      <c r="M76" s="304"/>
      <c r="N76" s="304"/>
      <c r="O76" s="304">
        <f t="shared" si="17"/>
        <v>2060000</v>
      </c>
      <c r="P76" s="304"/>
      <c r="Q76" s="304">
        <v>2060000</v>
      </c>
      <c r="R76" s="304"/>
      <c r="S76" s="304"/>
      <c r="T76" s="304">
        <f t="shared" si="18"/>
        <v>0</v>
      </c>
      <c r="U76" s="304"/>
      <c r="V76" s="304"/>
      <c r="W76" s="304"/>
      <c r="X76" s="304"/>
      <c r="Y76" s="304">
        <f t="shared" si="19"/>
        <v>0</v>
      </c>
      <c r="Z76" s="304"/>
      <c r="AA76" s="304"/>
      <c r="AB76" s="304"/>
      <c r="AC76" s="304"/>
      <c r="AD76" s="304"/>
      <c r="AE76" s="304"/>
      <c r="AF76" s="304"/>
      <c r="AG76" s="304">
        <f t="shared" si="20"/>
        <v>1972592.63</v>
      </c>
      <c r="AH76" s="304">
        <f t="shared" si="21"/>
        <v>1972592.63</v>
      </c>
      <c r="AI76" s="304">
        <f t="shared" si="22"/>
        <v>0</v>
      </c>
      <c r="AJ76" s="304"/>
      <c r="AK76" s="304"/>
      <c r="AL76" s="304"/>
      <c r="AM76" s="304"/>
      <c r="AN76" s="304">
        <f t="shared" si="23"/>
        <v>1972592.63</v>
      </c>
      <c r="AO76" s="304"/>
      <c r="AP76" s="304">
        <v>1972592.63</v>
      </c>
      <c r="AQ76" s="304"/>
      <c r="AR76" s="304"/>
      <c r="AS76" s="304">
        <f t="shared" si="24"/>
        <v>0</v>
      </c>
      <c r="AT76" s="304"/>
      <c r="AU76" s="304"/>
      <c r="AV76" s="304"/>
      <c r="AW76" s="304"/>
      <c r="AX76" s="304">
        <f t="shared" si="25"/>
        <v>0</v>
      </c>
      <c r="AY76" s="304"/>
      <c r="AZ76" s="304"/>
      <c r="BA76" s="304"/>
      <c r="BB76" s="304"/>
      <c r="BC76" s="304"/>
      <c r="BD76" s="304"/>
      <c r="BE76" s="305"/>
      <c r="BF76" s="238" t="s">
        <v>53</v>
      </c>
      <c r="BG76" s="263" t="s">
        <v>70</v>
      </c>
      <c r="BH76" s="306" t="s">
        <v>173</v>
      </c>
    </row>
    <row r="77" s="78" customFormat="1" ht="15" hidden="1" spans="1:60">
      <c r="A77" s="301">
        <v>70</v>
      </c>
      <c r="B77" s="307" t="s">
        <v>19</v>
      </c>
      <c r="C77" s="307" t="s">
        <v>20</v>
      </c>
      <c r="D77" s="308">
        <v>2018</v>
      </c>
      <c r="E77" s="309" t="s">
        <v>178</v>
      </c>
      <c r="F77" s="308" t="s">
        <v>53</v>
      </c>
      <c r="G77" s="127" t="s">
        <v>56</v>
      </c>
      <c r="H77" s="310">
        <f t="shared" si="14"/>
        <v>450000</v>
      </c>
      <c r="I77" s="310">
        <f t="shared" si="15"/>
        <v>400000</v>
      </c>
      <c r="J77" s="310">
        <f t="shared" si="16"/>
        <v>0</v>
      </c>
      <c r="K77" s="310"/>
      <c r="L77" s="310"/>
      <c r="M77" s="310"/>
      <c r="N77" s="310"/>
      <c r="O77" s="310">
        <f t="shared" si="17"/>
        <v>400000</v>
      </c>
      <c r="P77" s="310"/>
      <c r="Q77" s="310">
        <v>400000</v>
      </c>
      <c r="R77" s="310"/>
      <c r="S77" s="310"/>
      <c r="T77" s="310">
        <f t="shared" si="18"/>
        <v>0</v>
      </c>
      <c r="U77" s="310"/>
      <c r="V77" s="310"/>
      <c r="W77" s="310"/>
      <c r="X77" s="310"/>
      <c r="Y77" s="310">
        <f t="shared" si="19"/>
        <v>0</v>
      </c>
      <c r="Z77" s="310"/>
      <c r="AA77" s="310"/>
      <c r="AB77" s="310"/>
      <c r="AC77" s="310"/>
      <c r="AD77" s="310"/>
      <c r="AE77" s="310"/>
      <c r="AF77" s="310">
        <v>50000</v>
      </c>
      <c r="AG77" s="310">
        <f t="shared" si="20"/>
        <v>450000</v>
      </c>
      <c r="AH77" s="310">
        <f t="shared" si="21"/>
        <v>400000</v>
      </c>
      <c r="AI77" s="310">
        <f t="shared" si="22"/>
        <v>0</v>
      </c>
      <c r="AJ77" s="310"/>
      <c r="AK77" s="310"/>
      <c r="AL77" s="310"/>
      <c r="AM77" s="310"/>
      <c r="AN77" s="310">
        <f t="shared" si="23"/>
        <v>400000</v>
      </c>
      <c r="AO77" s="310"/>
      <c r="AP77" s="310">
        <v>400000</v>
      </c>
      <c r="AQ77" s="310"/>
      <c r="AR77" s="310"/>
      <c r="AS77" s="310">
        <f t="shared" si="24"/>
        <v>0</v>
      </c>
      <c r="AT77" s="310"/>
      <c r="AU77" s="310"/>
      <c r="AV77" s="310"/>
      <c r="AW77" s="310"/>
      <c r="AX77" s="310">
        <f t="shared" si="25"/>
        <v>0</v>
      </c>
      <c r="AY77" s="310"/>
      <c r="AZ77" s="310"/>
      <c r="BA77" s="310"/>
      <c r="BB77" s="310"/>
      <c r="BC77" s="310"/>
      <c r="BD77" s="310"/>
      <c r="BE77" s="312">
        <v>50000</v>
      </c>
      <c r="BF77" s="134" t="s">
        <v>56</v>
      </c>
      <c r="BG77" s="315" t="s">
        <v>179</v>
      </c>
      <c r="BH77" s="137" t="s">
        <v>173</v>
      </c>
    </row>
    <row r="78" s="270" customFormat="1" ht="15" hidden="1" spans="1:60">
      <c r="A78" s="301">
        <v>71</v>
      </c>
      <c r="B78" s="302" t="s">
        <v>19</v>
      </c>
      <c r="C78" s="302" t="s">
        <v>20</v>
      </c>
      <c r="D78" s="301">
        <v>2018</v>
      </c>
      <c r="E78" s="331" t="s">
        <v>180</v>
      </c>
      <c r="F78" s="301" t="s">
        <v>53</v>
      </c>
      <c r="G78" s="238" t="s">
        <v>53</v>
      </c>
      <c r="H78" s="304">
        <f t="shared" si="14"/>
        <v>644000</v>
      </c>
      <c r="I78" s="304">
        <f t="shared" si="15"/>
        <v>500000</v>
      </c>
      <c r="J78" s="304">
        <f t="shared" si="16"/>
        <v>0</v>
      </c>
      <c r="K78" s="304"/>
      <c r="L78" s="304"/>
      <c r="M78" s="304"/>
      <c r="N78" s="304"/>
      <c r="O78" s="304">
        <f t="shared" si="17"/>
        <v>500000</v>
      </c>
      <c r="P78" s="304"/>
      <c r="Q78" s="304">
        <v>500000</v>
      </c>
      <c r="R78" s="304"/>
      <c r="S78" s="304"/>
      <c r="T78" s="304">
        <f t="shared" si="18"/>
        <v>0</v>
      </c>
      <c r="U78" s="304"/>
      <c r="V78" s="304"/>
      <c r="W78" s="304"/>
      <c r="X78" s="304"/>
      <c r="Y78" s="304">
        <f t="shared" si="19"/>
        <v>0</v>
      </c>
      <c r="Z78" s="304"/>
      <c r="AA78" s="304"/>
      <c r="AB78" s="304"/>
      <c r="AC78" s="304"/>
      <c r="AD78" s="304"/>
      <c r="AE78" s="304"/>
      <c r="AF78" s="304">
        <v>144000</v>
      </c>
      <c r="AG78" s="304">
        <f t="shared" si="20"/>
        <v>644000</v>
      </c>
      <c r="AH78" s="304">
        <f t="shared" si="21"/>
        <v>500000</v>
      </c>
      <c r="AI78" s="304">
        <f t="shared" si="22"/>
        <v>0</v>
      </c>
      <c r="AJ78" s="304"/>
      <c r="AK78" s="304"/>
      <c r="AL78" s="304"/>
      <c r="AM78" s="304"/>
      <c r="AN78" s="304">
        <f t="shared" si="23"/>
        <v>500000</v>
      </c>
      <c r="AO78" s="304"/>
      <c r="AP78" s="304">
        <v>500000</v>
      </c>
      <c r="AQ78" s="304"/>
      <c r="AR78" s="304"/>
      <c r="AS78" s="304">
        <f t="shared" si="24"/>
        <v>0</v>
      </c>
      <c r="AT78" s="304"/>
      <c r="AU78" s="304"/>
      <c r="AV78" s="304"/>
      <c r="AW78" s="304"/>
      <c r="AX78" s="304">
        <f t="shared" si="25"/>
        <v>0</v>
      </c>
      <c r="AY78" s="304"/>
      <c r="AZ78" s="304"/>
      <c r="BA78" s="304"/>
      <c r="BB78" s="304"/>
      <c r="BC78" s="304"/>
      <c r="BD78" s="304"/>
      <c r="BE78" s="305">
        <v>144000</v>
      </c>
      <c r="BF78" s="238" t="s">
        <v>53</v>
      </c>
      <c r="BG78" s="263" t="s">
        <v>54</v>
      </c>
      <c r="BH78" s="306"/>
    </row>
    <row r="79" s="270" customFormat="1" ht="15" hidden="1" spans="1:60">
      <c r="A79" s="301">
        <v>72</v>
      </c>
      <c r="B79" s="302" t="s">
        <v>19</v>
      </c>
      <c r="C79" s="302" t="s">
        <v>20</v>
      </c>
      <c r="D79" s="301">
        <v>2018</v>
      </c>
      <c r="E79" s="331" t="s">
        <v>181</v>
      </c>
      <c r="F79" s="301" t="s">
        <v>53</v>
      </c>
      <c r="G79" s="238" t="s">
        <v>53</v>
      </c>
      <c r="H79" s="304">
        <f t="shared" si="14"/>
        <v>644000</v>
      </c>
      <c r="I79" s="304">
        <f t="shared" si="15"/>
        <v>500000</v>
      </c>
      <c r="J79" s="304">
        <f t="shared" si="16"/>
        <v>0</v>
      </c>
      <c r="K79" s="304"/>
      <c r="L79" s="304"/>
      <c r="M79" s="304"/>
      <c r="N79" s="304"/>
      <c r="O79" s="304">
        <f t="shared" si="17"/>
        <v>500000</v>
      </c>
      <c r="P79" s="304"/>
      <c r="Q79" s="304">
        <v>500000</v>
      </c>
      <c r="R79" s="304"/>
      <c r="S79" s="304"/>
      <c r="T79" s="304">
        <f t="shared" si="18"/>
        <v>0</v>
      </c>
      <c r="U79" s="304"/>
      <c r="V79" s="304"/>
      <c r="W79" s="304"/>
      <c r="X79" s="304"/>
      <c r="Y79" s="304">
        <f t="shared" si="19"/>
        <v>0</v>
      </c>
      <c r="Z79" s="304"/>
      <c r="AA79" s="304"/>
      <c r="AB79" s="304"/>
      <c r="AC79" s="304"/>
      <c r="AD79" s="304"/>
      <c r="AE79" s="304"/>
      <c r="AF79" s="304">
        <v>144000</v>
      </c>
      <c r="AG79" s="304">
        <f t="shared" si="20"/>
        <v>644000</v>
      </c>
      <c r="AH79" s="304">
        <f t="shared" si="21"/>
        <v>500000</v>
      </c>
      <c r="AI79" s="304">
        <f t="shared" si="22"/>
        <v>0</v>
      </c>
      <c r="AJ79" s="304"/>
      <c r="AK79" s="304"/>
      <c r="AL79" s="304"/>
      <c r="AM79" s="304"/>
      <c r="AN79" s="304">
        <f t="shared" si="23"/>
        <v>500000</v>
      </c>
      <c r="AO79" s="304"/>
      <c r="AP79" s="304">
        <v>500000</v>
      </c>
      <c r="AQ79" s="304"/>
      <c r="AR79" s="304"/>
      <c r="AS79" s="304">
        <f t="shared" si="24"/>
        <v>0</v>
      </c>
      <c r="AT79" s="304"/>
      <c r="AU79" s="304"/>
      <c r="AV79" s="304"/>
      <c r="AW79" s="304"/>
      <c r="AX79" s="304">
        <f t="shared" si="25"/>
        <v>0</v>
      </c>
      <c r="AY79" s="304"/>
      <c r="AZ79" s="304"/>
      <c r="BA79" s="304"/>
      <c r="BB79" s="304"/>
      <c r="BC79" s="304"/>
      <c r="BD79" s="304"/>
      <c r="BE79" s="305">
        <v>144000</v>
      </c>
      <c r="BF79" s="238" t="s">
        <v>53</v>
      </c>
      <c r="BG79" s="263" t="s">
        <v>54</v>
      </c>
      <c r="BH79" s="306"/>
    </row>
    <row r="80" s="270" customFormat="1" ht="15" hidden="1" spans="1:60">
      <c r="A80" s="301">
        <v>73</v>
      </c>
      <c r="B80" s="302" t="s">
        <v>19</v>
      </c>
      <c r="C80" s="302" t="s">
        <v>20</v>
      </c>
      <c r="D80" s="301">
        <v>2018</v>
      </c>
      <c r="E80" s="303" t="s">
        <v>182</v>
      </c>
      <c r="F80" s="301" t="s">
        <v>53</v>
      </c>
      <c r="G80" s="238" t="s">
        <v>53</v>
      </c>
      <c r="H80" s="304">
        <f t="shared" si="14"/>
        <v>516000</v>
      </c>
      <c r="I80" s="304">
        <f t="shared" si="15"/>
        <v>500000</v>
      </c>
      <c r="J80" s="304">
        <f t="shared" si="16"/>
        <v>0</v>
      </c>
      <c r="K80" s="304"/>
      <c r="L80" s="304"/>
      <c r="M80" s="304"/>
      <c r="N80" s="304"/>
      <c r="O80" s="304">
        <f t="shared" si="17"/>
        <v>500000</v>
      </c>
      <c r="P80" s="304"/>
      <c r="Q80" s="304">
        <v>500000</v>
      </c>
      <c r="R80" s="304"/>
      <c r="S80" s="304"/>
      <c r="T80" s="304">
        <f t="shared" si="18"/>
        <v>0</v>
      </c>
      <c r="U80" s="304"/>
      <c r="V80" s="304"/>
      <c r="W80" s="304"/>
      <c r="X80" s="304"/>
      <c r="Y80" s="304">
        <f t="shared" si="19"/>
        <v>0</v>
      </c>
      <c r="Z80" s="304"/>
      <c r="AA80" s="304"/>
      <c r="AB80" s="304"/>
      <c r="AC80" s="304"/>
      <c r="AD80" s="304"/>
      <c r="AE80" s="304"/>
      <c r="AF80" s="304">
        <v>16000</v>
      </c>
      <c r="AG80" s="304">
        <f t="shared" si="20"/>
        <v>516000</v>
      </c>
      <c r="AH80" s="304">
        <f t="shared" si="21"/>
        <v>500000</v>
      </c>
      <c r="AI80" s="304">
        <f t="shared" si="22"/>
        <v>0</v>
      </c>
      <c r="AJ80" s="304"/>
      <c r="AK80" s="304"/>
      <c r="AL80" s="304"/>
      <c r="AM80" s="304"/>
      <c r="AN80" s="304">
        <f t="shared" si="23"/>
        <v>500000</v>
      </c>
      <c r="AO80" s="304"/>
      <c r="AP80" s="304">
        <v>500000</v>
      </c>
      <c r="AQ80" s="304"/>
      <c r="AR80" s="304"/>
      <c r="AS80" s="304">
        <f t="shared" si="24"/>
        <v>0</v>
      </c>
      <c r="AT80" s="304"/>
      <c r="AU80" s="304"/>
      <c r="AV80" s="304"/>
      <c r="AW80" s="304"/>
      <c r="AX80" s="304">
        <f t="shared" si="25"/>
        <v>0</v>
      </c>
      <c r="AY80" s="304"/>
      <c r="AZ80" s="304"/>
      <c r="BA80" s="304"/>
      <c r="BB80" s="304"/>
      <c r="BC80" s="304"/>
      <c r="BD80" s="304"/>
      <c r="BE80" s="305">
        <v>16000</v>
      </c>
      <c r="BF80" s="238" t="s">
        <v>53</v>
      </c>
      <c r="BG80" s="263" t="s">
        <v>54</v>
      </c>
      <c r="BH80" s="306"/>
    </row>
    <row r="81" s="270" customFormat="1" ht="15" hidden="1" spans="1:60">
      <c r="A81" s="301">
        <v>74</v>
      </c>
      <c r="B81" s="302" t="s">
        <v>19</v>
      </c>
      <c r="C81" s="302" t="s">
        <v>20</v>
      </c>
      <c r="D81" s="301">
        <v>2018</v>
      </c>
      <c r="E81" s="331" t="s">
        <v>183</v>
      </c>
      <c r="F81" s="301" t="s">
        <v>53</v>
      </c>
      <c r="G81" s="238" t="s">
        <v>53</v>
      </c>
      <c r="H81" s="304">
        <f t="shared" si="14"/>
        <v>500000</v>
      </c>
      <c r="I81" s="304">
        <f t="shared" si="15"/>
        <v>500000</v>
      </c>
      <c r="J81" s="304">
        <f t="shared" si="16"/>
        <v>0</v>
      </c>
      <c r="K81" s="304"/>
      <c r="L81" s="304"/>
      <c r="M81" s="304"/>
      <c r="N81" s="304"/>
      <c r="O81" s="304">
        <f t="shared" si="17"/>
        <v>500000</v>
      </c>
      <c r="P81" s="304"/>
      <c r="Q81" s="304">
        <v>500000</v>
      </c>
      <c r="R81" s="304"/>
      <c r="S81" s="304"/>
      <c r="T81" s="304">
        <f t="shared" si="18"/>
        <v>0</v>
      </c>
      <c r="U81" s="304"/>
      <c r="V81" s="304"/>
      <c r="W81" s="304"/>
      <c r="X81" s="304"/>
      <c r="Y81" s="304">
        <f t="shared" si="19"/>
        <v>0</v>
      </c>
      <c r="Z81" s="304"/>
      <c r="AA81" s="304"/>
      <c r="AB81" s="304"/>
      <c r="AC81" s="304"/>
      <c r="AD81" s="304"/>
      <c r="AE81" s="304"/>
      <c r="AF81" s="304"/>
      <c r="AG81" s="304">
        <f t="shared" si="20"/>
        <v>500000</v>
      </c>
      <c r="AH81" s="304">
        <f t="shared" si="21"/>
        <v>500000</v>
      </c>
      <c r="AI81" s="304">
        <f t="shared" si="22"/>
        <v>0</v>
      </c>
      <c r="AJ81" s="304"/>
      <c r="AK81" s="304"/>
      <c r="AL81" s="304"/>
      <c r="AM81" s="304"/>
      <c r="AN81" s="304">
        <f t="shared" si="23"/>
        <v>500000</v>
      </c>
      <c r="AO81" s="304"/>
      <c r="AP81" s="304">
        <v>500000</v>
      </c>
      <c r="AQ81" s="304"/>
      <c r="AR81" s="304"/>
      <c r="AS81" s="304">
        <f t="shared" si="24"/>
        <v>0</v>
      </c>
      <c r="AT81" s="304"/>
      <c r="AU81" s="304"/>
      <c r="AV81" s="304"/>
      <c r="AW81" s="304"/>
      <c r="AX81" s="304">
        <f t="shared" si="25"/>
        <v>0</v>
      </c>
      <c r="AY81" s="304"/>
      <c r="AZ81" s="304"/>
      <c r="BA81" s="304"/>
      <c r="BB81" s="304"/>
      <c r="BC81" s="304"/>
      <c r="BD81" s="304"/>
      <c r="BE81" s="305">
        <v>0</v>
      </c>
      <c r="BF81" s="238" t="s">
        <v>53</v>
      </c>
      <c r="BG81" s="263" t="s">
        <v>94</v>
      </c>
      <c r="BH81" s="306" t="s">
        <v>184</v>
      </c>
    </row>
    <row r="82" s="270" customFormat="1" ht="15" hidden="1" spans="1:60">
      <c r="A82" s="301">
        <v>75</v>
      </c>
      <c r="B82" s="302" t="s">
        <v>19</v>
      </c>
      <c r="C82" s="302" t="s">
        <v>20</v>
      </c>
      <c r="D82" s="301">
        <v>2018</v>
      </c>
      <c r="E82" s="331" t="s">
        <v>185</v>
      </c>
      <c r="F82" s="301" t="s">
        <v>53</v>
      </c>
      <c r="G82" s="238" t="s">
        <v>53</v>
      </c>
      <c r="H82" s="304">
        <f t="shared" si="14"/>
        <v>648400</v>
      </c>
      <c r="I82" s="304">
        <f t="shared" si="15"/>
        <v>500000</v>
      </c>
      <c r="J82" s="304">
        <f t="shared" si="16"/>
        <v>0</v>
      </c>
      <c r="K82" s="304"/>
      <c r="L82" s="304"/>
      <c r="M82" s="304"/>
      <c r="N82" s="304"/>
      <c r="O82" s="304">
        <f t="shared" si="17"/>
        <v>500000</v>
      </c>
      <c r="P82" s="304"/>
      <c r="Q82" s="304">
        <v>500000</v>
      </c>
      <c r="R82" s="304"/>
      <c r="S82" s="304"/>
      <c r="T82" s="304">
        <f t="shared" si="18"/>
        <v>0</v>
      </c>
      <c r="U82" s="304"/>
      <c r="V82" s="304"/>
      <c r="W82" s="304"/>
      <c r="X82" s="304"/>
      <c r="Y82" s="304">
        <f t="shared" si="19"/>
        <v>0</v>
      </c>
      <c r="Z82" s="304"/>
      <c r="AA82" s="304"/>
      <c r="AB82" s="304"/>
      <c r="AC82" s="304"/>
      <c r="AD82" s="304"/>
      <c r="AE82" s="304"/>
      <c r="AF82" s="304">
        <v>148400</v>
      </c>
      <c r="AG82" s="304">
        <f t="shared" si="20"/>
        <v>648400</v>
      </c>
      <c r="AH82" s="304">
        <f t="shared" si="21"/>
        <v>500000</v>
      </c>
      <c r="AI82" s="304">
        <f t="shared" si="22"/>
        <v>0</v>
      </c>
      <c r="AJ82" s="304"/>
      <c r="AK82" s="304"/>
      <c r="AL82" s="304"/>
      <c r="AM82" s="304"/>
      <c r="AN82" s="304">
        <f t="shared" si="23"/>
        <v>500000</v>
      </c>
      <c r="AO82" s="304"/>
      <c r="AP82" s="304">
        <v>500000</v>
      </c>
      <c r="AQ82" s="304"/>
      <c r="AR82" s="304"/>
      <c r="AS82" s="304">
        <f t="shared" si="24"/>
        <v>0</v>
      </c>
      <c r="AT82" s="304"/>
      <c r="AU82" s="304"/>
      <c r="AV82" s="304"/>
      <c r="AW82" s="304"/>
      <c r="AX82" s="304">
        <f t="shared" si="25"/>
        <v>0</v>
      </c>
      <c r="AY82" s="304"/>
      <c r="AZ82" s="304"/>
      <c r="BA82" s="304"/>
      <c r="BB82" s="304"/>
      <c r="BC82" s="304"/>
      <c r="BD82" s="304"/>
      <c r="BE82" s="305">
        <v>148400</v>
      </c>
      <c r="BF82" s="238" t="s">
        <v>53</v>
      </c>
      <c r="BG82" s="263" t="s">
        <v>54</v>
      </c>
      <c r="BH82" s="306"/>
    </row>
    <row r="83" s="270" customFormat="1" ht="15" hidden="1" spans="1:60">
      <c r="A83" s="301">
        <v>76</v>
      </c>
      <c r="B83" s="302" t="s">
        <v>19</v>
      </c>
      <c r="C83" s="302" t="s">
        <v>20</v>
      </c>
      <c r="D83" s="301">
        <v>2018</v>
      </c>
      <c r="E83" s="331" t="s">
        <v>186</v>
      </c>
      <c r="F83" s="301" t="s">
        <v>53</v>
      </c>
      <c r="G83" s="238" t="s">
        <v>53</v>
      </c>
      <c r="H83" s="304">
        <f t="shared" si="14"/>
        <v>556000</v>
      </c>
      <c r="I83" s="304">
        <f t="shared" si="15"/>
        <v>500000</v>
      </c>
      <c r="J83" s="304">
        <f t="shared" si="16"/>
        <v>0</v>
      </c>
      <c r="K83" s="304"/>
      <c r="L83" s="304"/>
      <c r="M83" s="304"/>
      <c r="N83" s="304"/>
      <c r="O83" s="304">
        <f t="shared" si="17"/>
        <v>500000</v>
      </c>
      <c r="P83" s="304"/>
      <c r="Q83" s="304">
        <v>500000</v>
      </c>
      <c r="R83" s="304"/>
      <c r="S83" s="304"/>
      <c r="T83" s="304">
        <f t="shared" si="18"/>
        <v>0</v>
      </c>
      <c r="U83" s="304"/>
      <c r="V83" s="304"/>
      <c r="W83" s="304"/>
      <c r="X83" s="304"/>
      <c r="Y83" s="304">
        <f t="shared" si="19"/>
        <v>0</v>
      </c>
      <c r="Z83" s="304"/>
      <c r="AA83" s="304"/>
      <c r="AB83" s="304"/>
      <c r="AC83" s="304"/>
      <c r="AD83" s="304"/>
      <c r="AE83" s="304"/>
      <c r="AF83" s="304">
        <v>56000</v>
      </c>
      <c r="AG83" s="304">
        <f t="shared" si="20"/>
        <v>556000</v>
      </c>
      <c r="AH83" s="304">
        <f t="shared" si="21"/>
        <v>500000</v>
      </c>
      <c r="AI83" s="304">
        <f t="shared" si="22"/>
        <v>0</v>
      </c>
      <c r="AJ83" s="304"/>
      <c r="AK83" s="304"/>
      <c r="AL83" s="304"/>
      <c r="AM83" s="304"/>
      <c r="AN83" s="304">
        <f t="shared" si="23"/>
        <v>500000</v>
      </c>
      <c r="AO83" s="304"/>
      <c r="AP83" s="304">
        <v>500000</v>
      </c>
      <c r="AQ83" s="304"/>
      <c r="AR83" s="304"/>
      <c r="AS83" s="304">
        <f t="shared" si="24"/>
        <v>0</v>
      </c>
      <c r="AT83" s="304"/>
      <c r="AU83" s="304"/>
      <c r="AV83" s="304"/>
      <c r="AW83" s="304"/>
      <c r="AX83" s="304">
        <f t="shared" si="25"/>
        <v>0</v>
      </c>
      <c r="AY83" s="304"/>
      <c r="AZ83" s="304"/>
      <c r="BA83" s="304"/>
      <c r="BB83" s="304"/>
      <c r="BC83" s="304"/>
      <c r="BD83" s="304"/>
      <c r="BE83" s="305">
        <v>56000</v>
      </c>
      <c r="BF83" s="238" t="s">
        <v>53</v>
      </c>
      <c r="BG83" s="263" t="s">
        <v>54</v>
      </c>
      <c r="BH83" s="306"/>
    </row>
    <row r="84" s="270" customFormat="1" ht="15" hidden="1" spans="1:60">
      <c r="A84" s="301">
        <v>77</v>
      </c>
      <c r="B84" s="302" t="s">
        <v>19</v>
      </c>
      <c r="C84" s="302" t="s">
        <v>20</v>
      </c>
      <c r="D84" s="301">
        <v>2018</v>
      </c>
      <c r="E84" s="331" t="s">
        <v>187</v>
      </c>
      <c r="F84" s="301" t="s">
        <v>53</v>
      </c>
      <c r="G84" s="238" t="s">
        <v>53</v>
      </c>
      <c r="H84" s="304">
        <f t="shared" si="14"/>
        <v>714400</v>
      </c>
      <c r="I84" s="304">
        <f t="shared" si="15"/>
        <v>500000</v>
      </c>
      <c r="J84" s="304">
        <f t="shared" si="16"/>
        <v>0</v>
      </c>
      <c r="K84" s="304"/>
      <c r="L84" s="304"/>
      <c r="M84" s="304"/>
      <c r="N84" s="304"/>
      <c r="O84" s="304">
        <f t="shared" si="17"/>
        <v>500000</v>
      </c>
      <c r="P84" s="304"/>
      <c r="Q84" s="304">
        <v>500000</v>
      </c>
      <c r="R84" s="304"/>
      <c r="S84" s="304"/>
      <c r="T84" s="304">
        <f t="shared" si="18"/>
        <v>0</v>
      </c>
      <c r="U84" s="304"/>
      <c r="V84" s="304"/>
      <c r="W84" s="304"/>
      <c r="X84" s="304"/>
      <c r="Y84" s="304">
        <f t="shared" si="19"/>
        <v>0</v>
      </c>
      <c r="Z84" s="304"/>
      <c r="AA84" s="304"/>
      <c r="AB84" s="304"/>
      <c r="AC84" s="304"/>
      <c r="AD84" s="304"/>
      <c r="AE84" s="304"/>
      <c r="AF84" s="304">
        <v>214400</v>
      </c>
      <c r="AG84" s="304">
        <f t="shared" si="20"/>
        <v>714400</v>
      </c>
      <c r="AH84" s="304">
        <f t="shared" si="21"/>
        <v>500000</v>
      </c>
      <c r="AI84" s="304">
        <f t="shared" si="22"/>
        <v>0</v>
      </c>
      <c r="AJ84" s="304"/>
      <c r="AK84" s="304"/>
      <c r="AL84" s="304"/>
      <c r="AM84" s="304"/>
      <c r="AN84" s="304">
        <f t="shared" si="23"/>
        <v>500000</v>
      </c>
      <c r="AO84" s="304"/>
      <c r="AP84" s="304">
        <v>500000</v>
      </c>
      <c r="AQ84" s="304"/>
      <c r="AR84" s="304"/>
      <c r="AS84" s="304">
        <f t="shared" si="24"/>
        <v>0</v>
      </c>
      <c r="AT84" s="304"/>
      <c r="AU84" s="304"/>
      <c r="AV84" s="304"/>
      <c r="AW84" s="304"/>
      <c r="AX84" s="304">
        <f t="shared" si="25"/>
        <v>0</v>
      </c>
      <c r="AY84" s="304"/>
      <c r="AZ84" s="304"/>
      <c r="BA84" s="304"/>
      <c r="BB84" s="304"/>
      <c r="BC84" s="304"/>
      <c r="BD84" s="304"/>
      <c r="BE84" s="305">
        <v>214400</v>
      </c>
      <c r="BF84" s="238" t="s">
        <v>53</v>
      </c>
      <c r="BG84" s="263" t="s">
        <v>54</v>
      </c>
      <c r="BH84" s="306"/>
    </row>
    <row r="85" s="270" customFormat="1" ht="15" hidden="1" spans="1:60">
      <c r="A85" s="301">
        <v>78</v>
      </c>
      <c r="B85" s="302" t="s">
        <v>19</v>
      </c>
      <c r="C85" s="302" t="s">
        <v>20</v>
      </c>
      <c r="D85" s="301">
        <v>2018</v>
      </c>
      <c r="E85" s="303" t="s">
        <v>188</v>
      </c>
      <c r="F85" s="301" t="s">
        <v>53</v>
      </c>
      <c r="G85" s="238" t="s">
        <v>53</v>
      </c>
      <c r="H85" s="304">
        <f t="shared" si="14"/>
        <v>530800</v>
      </c>
      <c r="I85" s="304">
        <f t="shared" si="15"/>
        <v>500000</v>
      </c>
      <c r="J85" s="304">
        <f t="shared" si="16"/>
        <v>0</v>
      </c>
      <c r="K85" s="304"/>
      <c r="L85" s="304"/>
      <c r="M85" s="304"/>
      <c r="N85" s="304"/>
      <c r="O85" s="304">
        <f t="shared" si="17"/>
        <v>500000</v>
      </c>
      <c r="P85" s="304"/>
      <c r="Q85" s="304">
        <v>500000</v>
      </c>
      <c r="R85" s="304"/>
      <c r="S85" s="304"/>
      <c r="T85" s="304">
        <f t="shared" si="18"/>
        <v>0</v>
      </c>
      <c r="U85" s="304"/>
      <c r="V85" s="304"/>
      <c r="W85" s="304"/>
      <c r="X85" s="304"/>
      <c r="Y85" s="304">
        <f t="shared" si="19"/>
        <v>0</v>
      </c>
      <c r="Z85" s="304"/>
      <c r="AA85" s="304"/>
      <c r="AB85" s="304"/>
      <c r="AC85" s="304"/>
      <c r="AD85" s="304"/>
      <c r="AE85" s="304"/>
      <c r="AF85" s="304">
        <v>30800</v>
      </c>
      <c r="AG85" s="304">
        <f t="shared" si="20"/>
        <v>530800</v>
      </c>
      <c r="AH85" s="304">
        <f t="shared" si="21"/>
        <v>500000</v>
      </c>
      <c r="AI85" s="304">
        <f t="shared" si="22"/>
        <v>0</v>
      </c>
      <c r="AJ85" s="304"/>
      <c r="AK85" s="304"/>
      <c r="AL85" s="304"/>
      <c r="AM85" s="304"/>
      <c r="AN85" s="304">
        <f t="shared" si="23"/>
        <v>500000</v>
      </c>
      <c r="AO85" s="304"/>
      <c r="AP85" s="304">
        <v>500000</v>
      </c>
      <c r="AQ85" s="304"/>
      <c r="AR85" s="304"/>
      <c r="AS85" s="304">
        <f t="shared" si="24"/>
        <v>0</v>
      </c>
      <c r="AT85" s="304"/>
      <c r="AU85" s="304"/>
      <c r="AV85" s="304"/>
      <c r="AW85" s="304"/>
      <c r="AX85" s="304">
        <f t="shared" si="25"/>
        <v>0</v>
      </c>
      <c r="AY85" s="304"/>
      <c r="AZ85" s="304"/>
      <c r="BA85" s="304"/>
      <c r="BB85" s="304"/>
      <c r="BC85" s="304"/>
      <c r="BD85" s="304"/>
      <c r="BE85" s="305">
        <v>30800</v>
      </c>
      <c r="BF85" s="238" t="s">
        <v>53</v>
      </c>
      <c r="BG85" s="263" t="s">
        <v>54</v>
      </c>
      <c r="BH85" s="306"/>
    </row>
    <row r="86" s="270" customFormat="1" ht="15" hidden="1" spans="1:60">
      <c r="A86" s="301">
        <v>79</v>
      </c>
      <c r="B86" s="302" t="s">
        <v>19</v>
      </c>
      <c r="C86" s="302" t="s">
        <v>20</v>
      </c>
      <c r="D86" s="301">
        <v>2018</v>
      </c>
      <c r="E86" s="331" t="s">
        <v>189</v>
      </c>
      <c r="F86" s="301" t="s">
        <v>53</v>
      </c>
      <c r="G86" s="238" t="s">
        <v>53</v>
      </c>
      <c r="H86" s="304">
        <f t="shared" si="14"/>
        <v>725800</v>
      </c>
      <c r="I86" s="304">
        <f t="shared" si="15"/>
        <v>500000</v>
      </c>
      <c r="J86" s="304">
        <f t="shared" si="16"/>
        <v>0</v>
      </c>
      <c r="K86" s="304"/>
      <c r="L86" s="304"/>
      <c r="M86" s="304"/>
      <c r="N86" s="304"/>
      <c r="O86" s="304">
        <f t="shared" si="17"/>
        <v>500000</v>
      </c>
      <c r="P86" s="304"/>
      <c r="Q86" s="304">
        <v>500000</v>
      </c>
      <c r="R86" s="304"/>
      <c r="S86" s="304"/>
      <c r="T86" s="304">
        <f t="shared" si="18"/>
        <v>0</v>
      </c>
      <c r="U86" s="304"/>
      <c r="V86" s="304"/>
      <c r="W86" s="304"/>
      <c r="X86" s="304"/>
      <c r="Y86" s="304">
        <f t="shared" si="19"/>
        <v>0</v>
      </c>
      <c r="Z86" s="304"/>
      <c r="AA86" s="304"/>
      <c r="AB86" s="304"/>
      <c r="AC86" s="304"/>
      <c r="AD86" s="304"/>
      <c r="AE86" s="304"/>
      <c r="AF86" s="304">
        <v>225800</v>
      </c>
      <c r="AG86" s="304">
        <f t="shared" si="20"/>
        <v>725800</v>
      </c>
      <c r="AH86" s="304">
        <f t="shared" si="21"/>
        <v>500000</v>
      </c>
      <c r="AI86" s="304">
        <f t="shared" si="22"/>
        <v>0</v>
      </c>
      <c r="AJ86" s="304"/>
      <c r="AK86" s="304"/>
      <c r="AL86" s="304"/>
      <c r="AM86" s="304"/>
      <c r="AN86" s="304">
        <f t="shared" si="23"/>
        <v>500000</v>
      </c>
      <c r="AO86" s="304"/>
      <c r="AP86" s="304">
        <v>500000</v>
      </c>
      <c r="AQ86" s="304"/>
      <c r="AR86" s="304"/>
      <c r="AS86" s="304">
        <f t="shared" si="24"/>
        <v>0</v>
      </c>
      <c r="AT86" s="304"/>
      <c r="AU86" s="304"/>
      <c r="AV86" s="304"/>
      <c r="AW86" s="304"/>
      <c r="AX86" s="304">
        <f t="shared" si="25"/>
        <v>0</v>
      </c>
      <c r="AY86" s="304"/>
      <c r="AZ86" s="304"/>
      <c r="BA86" s="304"/>
      <c r="BB86" s="304"/>
      <c r="BC86" s="304"/>
      <c r="BD86" s="304"/>
      <c r="BE86" s="305">
        <v>225800</v>
      </c>
      <c r="BF86" s="238" t="s">
        <v>53</v>
      </c>
      <c r="BG86" s="263" t="s">
        <v>54</v>
      </c>
      <c r="BH86" s="306" t="s">
        <v>140</v>
      </c>
    </row>
    <row r="87" s="270" customFormat="1" ht="15" hidden="1" spans="1:60">
      <c r="A87" s="301">
        <v>80</v>
      </c>
      <c r="B87" s="302" t="s">
        <v>19</v>
      </c>
      <c r="C87" s="302" t="s">
        <v>20</v>
      </c>
      <c r="D87" s="301">
        <v>2018</v>
      </c>
      <c r="E87" s="303" t="s">
        <v>190</v>
      </c>
      <c r="F87" s="301" t="s">
        <v>53</v>
      </c>
      <c r="G87" s="238" t="s">
        <v>53</v>
      </c>
      <c r="H87" s="304">
        <f t="shared" si="14"/>
        <v>544400</v>
      </c>
      <c r="I87" s="304">
        <f t="shared" si="15"/>
        <v>500000</v>
      </c>
      <c r="J87" s="304">
        <f t="shared" si="16"/>
        <v>0</v>
      </c>
      <c r="K87" s="304"/>
      <c r="L87" s="304"/>
      <c r="M87" s="304"/>
      <c r="N87" s="304"/>
      <c r="O87" s="304">
        <f t="shared" si="17"/>
        <v>500000</v>
      </c>
      <c r="P87" s="304"/>
      <c r="Q87" s="304">
        <v>500000</v>
      </c>
      <c r="R87" s="304"/>
      <c r="S87" s="304"/>
      <c r="T87" s="304">
        <f t="shared" si="18"/>
        <v>0</v>
      </c>
      <c r="U87" s="304"/>
      <c r="V87" s="304"/>
      <c r="W87" s="304"/>
      <c r="X87" s="304"/>
      <c r="Y87" s="304">
        <f t="shared" si="19"/>
        <v>0</v>
      </c>
      <c r="Z87" s="304"/>
      <c r="AA87" s="304"/>
      <c r="AB87" s="304"/>
      <c r="AC87" s="304"/>
      <c r="AD87" s="304"/>
      <c r="AE87" s="304"/>
      <c r="AF87" s="304">
        <v>44400</v>
      </c>
      <c r="AG87" s="304">
        <f t="shared" si="20"/>
        <v>544400</v>
      </c>
      <c r="AH87" s="304">
        <f t="shared" si="21"/>
        <v>500000</v>
      </c>
      <c r="AI87" s="304">
        <f t="shared" si="22"/>
        <v>0</v>
      </c>
      <c r="AJ87" s="304"/>
      <c r="AK87" s="304"/>
      <c r="AL87" s="304"/>
      <c r="AM87" s="304"/>
      <c r="AN87" s="304">
        <f t="shared" si="23"/>
        <v>500000</v>
      </c>
      <c r="AO87" s="304"/>
      <c r="AP87" s="304">
        <v>500000</v>
      </c>
      <c r="AQ87" s="304"/>
      <c r="AR87" s="304"/>
      <c r="AS87" s="304">
        <f t="shared" si="24"/>
        <v>0</v>
      </c>
      <c r="AT87" s="304"/>
      <c r="AU87" s="304"/>
      <c r="AV87" s="304"/>
      <c r="AW87" s="304"/>
      <c r="AX87" s="304">
        <f t="shared" si="25"/>
        <v>0</v>
      </c>
      <c r="AY87" s="304"/>
      <c r="AZ87" s="304"/>
      <c r="BA87" s="304"/>
      <c r="BB87" s="304"/>
      <c r="BC87" s="304"/>
      <c r="BD87" s="304"/>
      <c r="BE87" s="305">
        <v>44400</v>
      </c>
      <c r="BF87" s="238" t="s">
        <v>53</v>
      </c>
      <c r="BG87" s="263" t="s">
        <v>54</v>
      </c>
      <c r="BH87" s="306"/>
    </row>
    <row r="88" s="270" customFormat="1" ht="15" hidden="1" customHeight="1" spans="1:60">
      <c r="A88" s="301">
        <v>81</v>
      </c>
      <c r="B88" s="302" t="s">
        <v>19</v>
      </c>
      <c r="C88" s="302" t="s">
        <v>20</v>
      </c>
      <c r="D88" s="301">
        <v>2018</v>
      </c>
      <c r="E88" s="331" t="s">
        <v>191</v>
      </c>
      <c r="F88" s="301" t="s">
        <v>53</v>
      </c>
      <c r="G88" s="238" t="s">
        <v>53</v>
      </c>
      <c r="H88" s="304">
        <f t="shared" si="14"/>
        <v>500000</v>
      </c>
      <c r="I88" s="304">
        <f t="shared" si="15"/>
        <v>500000</v>
      </c>
      <c r="J88" s="304">
        <f t="shared" si="16"/>
        <v>0</v>
      </c>
      <c r="K88" s="304"/>
      <c r="L88" s="304"/>
      <c r="M88" s="304"/>
      <c r="N88" s="304"/>
      <c r="O88" s="304">
        <f t="shared" si="17"/>
        <v>500000</v>
      </c>
      <c r="P88" s="304"/>
      <c r="Q88" s="304">
        <v>500000</v>
      </c>
      <c r="R88" s="304"/>
      <c r="S88" s="304"/>
      <c r="T88" s="304">
        <f t="shared" si="18"/>
        <v>0</v>
      </c>
      <c r="U88" s="304"/>
      <c r="V88" s="304"/>
      <c r="W88" s="304"/>
      <c r="X88" s="304"/>
      <c r="Y88" s="304">
        <f t="shared" si="19"/>
        <v>0</v>
      </c>
      <c r="Z88" s="304"/>
      <c r="AA88" s="304"/>
      <c r="AB88" s="304"/>
      <c r="AC88" s="304"/>
      <c r="AD88" s="304"/>
      <c r="AE88" s="304"/>
      <c r="AF88" s="332"/>
      <c r="AG88" s="304">
        <f t="shared" si="20"/>
        <v>500000</v>
      </c>
      <c r="AH88" s="304">
        <f t="shared" si="21"/>
        <v>500000</v>
      </c>
      <c r="AI88" s="304">
        <f t="shared" si="22"/>
        <v>0</v>
      </c>
      <c r="AJ88" s="304"/>
      <c r="AK88" s="304"/>
      <c r="AL88" s="304"/>
      <c r="AM88" s="304"/>
      <c r="AN88" s="304">
        <f t="shared" si="23"/>
        <v>500000</v>
      </c>
      <c r="AO88" s="304"/>
      <c r="AP88" s="304">
        <v>500000</v>
      </c>
      <c r="AQ88" s="304"/>
      <c r="AR88" s="304"/>
      <c r="AS88" s="304">
        <f t="shared" si="24"/>
        <v>0</v>
      </c>
      <c r="AT88" s="304"/>
      <c r="AU88" s="304"/>
      <c r="AV88" s="304"/>
      <c r="AW88" s="304"/>
      <c r="AX88" s="304">
        <f t="shared" si="25"/>
        <v>0</v>
      </c>
      <c r="AY88" s="304"/>
      <c r="AZ88" s="304"/>
      <c r="BA88" s="304"/>
      <c r="BB88" s="304"/>
      <c r="BC88" s="304"/>
      <c r="BD88" s="304"/>
      <c r="BE88" s="305">
        <v>0</v>
      </c>
      <c r="BF88" s="238" t="s">
        <v>53</v>
      </c>
      <c r="BG88" s="263" t="s">
        <v>54</v>
      </c>
      <c r="BH88" s="306"/>
    </row>
    <row r="89" s="270" customFormat="1" ht="15" hidden="1" spans="1:60">
      <c r="A89" s="301">
        <v>82</v>
      </c>
      <c r="B89" s="302" t="s">
        <v>19</v>
      </c>
      <c r="C89" s="302" t="s">
        <v>20</v>
      </c>
      <c r="D89" s="301">
        <v>2018</v>
      </c>
      <c r="E89" s="331" t="s">
        <v>192</v>
      </c>
      <c r="F89" s="301" t="s">
        <v>53</v>
      </c>
      <c r="G89" s="238" t="s">
        <v>53</v>
      </c>
      <c r="H89" s="304">
        <f t="shared" si="14"/>
        <v>9155300</v>
      </c>
      <c r="I89" s="304">
        <f t="shared" si="15"/>
        <v>4577650</v>
      </c>
      <c r="J89" s="304">
        <f t="shared" si="16"/>
        <v>0</v>
      </c>
      <c r="K89" s="304"/>
      <c r="L89" s="304"/>
      <c r="M89" s="304"/>
      <c r="N89" s="304"/>
      <c r="O89" s="304">
        <f t="shared" si="17"/>
        <v>4577650</v>
      </c>
      <c r="P89" s="304">
        <v>4577650</v>
      </c>
      <c r="Q89" s="304"/>
      <c r="R89" s="304"/>
      <c r="S89" s="304"/>
      <c r="T89" s="304">
        <f t="shared" si="18"/>
        <v>0</v>
      </c>
      <c r="U89" s="304"/>
      <c r="V89" s="304"/>
      <c r="W89" s="304"/>
      <c r="X89" s="304"/>
      <c r="Y89" s="304">
        <f t="shared" si="19"/>
        <v>0</v>
      </c>
      <c r="Z89" s="304"/>
      <c r="AA89" s="304"/>
      <c r="AB89" s="304"/>
      <c r="AC89" s="304"/>
      <c r="AD89" s="304"/>
      <c r="AE89" s="304"/>
      <c r="AF89" s="304">
        <v>4577650</v>
      </c>
      <c r="AG89" s="304">
        <f t="shared" si="20"/>
        <v>5661205.61</v>
      </c>
      <c r="AH89" s="304">
        <f t="shared" si="21"/>
        <v>2830602.805</v>
      </c>
      <c r="AI89" s="304">
        <f t="shared" si="22"/>
        <v>0</v>
      </c>
      <c r="AJ89" s="304"/>
      <c r="AK89" s="304"/>
      <c r="AL89" s="304"/>
      <c r="AM89" s="304"/>
      <c r="AN89" s="304">
        <f t="shared" si="23"/>
        <v>2830602.805</v>
      </c>
      <c r="AO89" s="304">
        <v>2830602.805</v>
      </c>
      <c r="AP89" s="304"/>
      <c r="AQ89" s="304"/>
      <c r="AR89" s="304"/>
      <c r="AS89" s="304">
        <f t="shared" si="24"/>
        <v>0</v>
      </c>
      <c r="AT89" s="304"/>
      <c r="AU89" s="304"/>
      <c r="AV89" s="304"/>
      <c r="AW89" s="304"/>
      <c r="AX89" s="304">
        <f t="shared" si="25"/>
        <v>0</v>
      </c>
      <c r="AY89" s="304"/>
      <c r="AZ89" s="304"/>
      <c r="BA89" s="304"/>
      <c r="BB89" s="304"/>
      <c r="BC89" s="304"/>
      <c r="BD89" s="304"/>
      <c r="BE89" s="305">
        <v>2830602.805</v>
      </c>
      <c r="BF89" s="238" t="s">
        <v>53</v>
      </c>
      <c r="BG89" s="263" t="s">
        <v>193</v>
      </c>
      <c r="BH89" s="306"/>
    </row>
    <row r="90" s="270" customFormat="1" ht="15" hidden="1" spans="1:60">
      <c r="A90" s="301">
        <v>83</v>
      </c>
      <c r="B90" s="302" t="s">
        <v>19</v>
      </c>
      <c r="C90" s="302" t="s">
        <v>20</v>
      </c>
      <c r="D90" s="301">
        <v>2018</v>
      </c>
      <c r="E90" s="331" t="s">
        <v>194</v>
      </c>
      <c r="F90" s="301" t="s">
        <v>53</v>
      </c>
      <c r="G90" s="238" t="s">
        <v>53</v>
      </c>
      <c r="H90" s="304">
        <f t="shared" si="14"/>
        <v>12055900</v>
      </c>
      <c r="I90" s="304">
        <f t="shared" si="15"/>
        <v>6027950</v>
      </c>
      <c r="J90" s="304">
        <f t="shared" si="16"/>
        <v>0</v>
      </c>
      <c r="K90" s="304"/>
      <c r="L90" s="304"/>
      <c r="M90" s="304"/>
      <c r="N90" s="304"/>
      <c r="O90" s="304">
        <f t="shared" si="17"/>
        <v>6027950</v>
      </c>
      <c r="P90" s="304">
        <v>6027950</v>
      </c>
      <c r="Q90" s="304"/>
      <c r="R90" s="304"/>
      <c r="S90" s="304"/>
      <c r="T90" s="304">
        <f t="shared" si="18"/>
        <v>0</v>
      </c>
      <c r="U90" s="304"/>
      <c r="V90" s="304"/>
      <c r="W90" s="304"/>
      <c r="X90" s="304"/>
      <c r="Y90" s="304">
        <f t="shared" si="19"/>
        <v>0</v>
      </c>
      <c r="Z90" s="304"/>
      <c r="AA90" s="304"/>
      <c r="AB90" s="304"/>
      <c r="AC90" s="304"/>
      <c r="AD90" s="304"/>
      <c r="AE90" s="304"/>
      <c r="AF90" s="304">
        <v>6027950</v>
      </c>
      <c r="AG90" s="304">
        <f t="shared" si="20"/>
        <v>9370785.2</v>
      </c>
      <c r="AH90" s="304">
        <f t="shared" si="21"/>
        <v>4685392.6</v>
      </c>
      <c r="AI90" s="304">
        <f t="shared" si="22"/>
        <v>0</v>
      </c>
      <c r="AJ90" s="304"/>
      <c r="AK90" s="304"/>
      <c r="AL90" s="304"/>
      <c r="AM90" s="304"/>
      <c r="AN90" s="304">
        <f t="shared" si="23"/>
        <v>4685392.6</v>
      </c>
      <c r="AO90" s="304">
        <v>4685392.6</v>
      </c>
      <c r="AP90" s="304"/>
      <c r="AQ90" s="304"/>
      <c r="AR90" s="304"/>
      <c r="AS90" s="304">
        <f t="shared" si="24"/>
        <v>0</v>
      </c>
      <c r="AT90" s="304"/>
      <c r="AU90" s="304"/>
      <c r="AV90" s="304"/>
      <c r="AW90" s="304"/>
      <c r="AX90" s="304">
        <f t="shared" si="25"/>
        <v>0</v>
      </c>
      <c r="AY90" s="304"/>
      <c r="AZ90" s="304"/>
      <c r="BA90" s="304"/>
      <c r="BB90" s="304"/>
      <c r="BC90" s="304"/>
      <c r="BD90" s="304"/>
      <c r="BE90" s="305">
        <v>4685392.6</v>
      </c>
      <c r="BF90" s="238" t="s">
        <v>53</v>
      </c>
      <c r="BG90" s="263" t="s">
        <v>81</v>
      </c>
      <c r="BH90" s="306"/>
    </row>
    <row r="91" s="270" customFormat="1" ht="15" hidden="1" spans="1:60">
      <c r="A91" s="301">
        <v>84</v>
      </c>
      <c r="B91" s="302" t="s">
        <v>19</v>
      </c>
      <c r="C91" s="302" t="s">
        <v>20</v>
      </c>
      <c r="D91" s="301">
        <v>2018</v>
      </c>
      <c r="E91" s="303" t="s">
        <v>195</v>
      </c>
      <c r="F91" s="301" t="s">
        <v>53</v>
      </c>
      <c r="G91" s="238" t="s">
        <v>53</v>
      </c>
      <c r="H91" s="304">
        <f t="shared" si="14"/>
        <v>3799300</v>
      </c>
      <c r="I91" s="304">
        <f t="shared" si="15"/>
        <v>2500000</v>
      </c>
      <c r="J91" s="304">
        <f t="shared" si="16"/>
        <v>0</v>
      </c>
      <c r="K91" s="304"/>
      <c r="L91" s="304"/>
      <c r="M91" s="304"/>
      <c r="N91" s="304"/>
      <c r="O91" s="304">
        <f t="shared" si="17"/>
        <v>2500000</v>
      </c>
      <c r="P91" s="304"/>
      <c r="Q91" s="304"/>
      <c r="R91" s="304">
        <v>2500000</v>
      </c>
      <c r="S91" s="304"/>
      <c r="T91" s="304">
        <f t="shared" si="18"/>
        <v>0</v>
      </c>
      <c r="U91" s="304"/>
      <c r="V91" s="304"/>
      <c r="W91" s="304"/>
      <c r="X91" s="304"/>
      <c r="Y91" s="304">
        <f t="shared" si="19"/>
        <v>0</v>
      </c>
      <c r="Z91" s="304"/>
      <c r="AA91" s="304"/>
      <c r="AB91" s="304"/>
      <c r="AC91" s="304"/>
      <c r="AD91" s="304"/>
      <c r="AE91" s="304"/>
      <c r="AF91" s="304">
        <v>1299300</v>
      </c>
      <c r="AG91" s="304">
        <f t="shared" si="20"/>
        <v>3614662.25</v>
      </c>
      <c r="AH91" s="304">
        <f t="shared" si="21"/>
        <v>2362711.75</v>
      </c>
      <c r="AI91" s="304">
        <f t="shared" si="22"/>
        <v>0</v>
      </c>
      <c r="AJ91" s="304"/>
      <c r="AK91" s="304"/>
      <c r="AL91" s="304"/>
      <c r="AM91" s="304"/>
      <c r="AN91" s="304">
        <f t="shared" si="23"/>
        <v>2362711.75</v>
      </c>
      <c r="AO91" s="304"/>
      <c r="AP91" s="304"/>
      <c r="AQ91" s="304">
        <v>2362711.75</v>
      </c>
      <c r="AR91" s="304"/>
      <c r="AS91" s="304">
        <f t="shared" si="24"/>
        <v>0</v>
      </c>
      <c r="AT91" s="304"/>
      <c r="AU91" s="304"/>
      <c r="AV91" s="304"/>
      <c r="AW91" s="304"/>
      <c r="AX91" s="304">
        <f t="shared" si="25"/>
        <v>0</v>
      </c>
      <c r="AY91" s="304"/>
      <c r="AZ91" s="304"/>
      <c r="BA91" s="304"/>
      <c r="BB91" s="304"/>
      <c r="BC91" s="304"/>
      <c r="BD91" s="304"/>
      <c r="BE91" s="305">
        <v>1251950.5</v>
      </c>
      <c r="BF91" s="238" t="s">
        <v>53</v>
      </c>
      <c r="BG91" s="263" t="s">
        <v>54</v>
      </c>
      <c r="BH91" s="306" t="s">
        <v>121</v>
      </c>
    </row>
    <row r="92" s="270" customFormat="1" ht="15" hidden="1" spans="1:60">
      <c r="A92" s="301">
        <v>85</v>
      </c>
      <c r="B92" s="302" t="s">
        <v>19</v>
      </c>
      <c r="C92" s="302" t="s">
        <v>20</v>
      </c>
      <c r="D92" s="301">
        <v>2018</v>
      </c>
      <c r="E92" s="303" t="s">
        <v>196</v>
      </c>
      <c r="F92" s="301" t="s">
        <v>53</v>
      </c>
      <c r="G92" s="238" t="s">
        <v>53</v>
      </c>
      <c r="H92" s="304">
        <f t="shared" si="14"/>
        <v>1801400</v>
      </c>
      <c r="I92" s="304">
        <f t="shared" si="15"/>
        <v>1801400</v>
      </c>
      <c r="J92" s="304">
        <f t="shared" si="16"/>
        <v>0</v>
      </c>
      <c r="K92" s="304"/>
      <c r="L92" s="304"/>
      <c r="M92" s="304"/>
      <c r="N92" s="304"/>
      <c r="O92" s="304">
        <f t="shared" si="17"/>
        <v>1801400</v>
      </c>
      <c r="P92" s="304">
        <v>1801400</v>
      </c>
      <c r="Q92" s="304"/>
      <c r="R92" s="304"/>
      <c r="S92" s="304"/>
      <c r="T92" s="304">
        <f t="shared" si="18"/>
        <v>0</v>
      </c>
      <c r="U92" s="304"/>
      <c r="V92" s="304"/>
      <c r="W92" s="304"/>
      <c r="X92" s="304"/>
      <c r="Y92" s="304">
        <f t="shared" si="19"/>
        <v>0</v>
      </c>
      <c r="Z92" s="304"/>
      <c r="AA92" s="304"/>
      <c r="AB92" s="304"/>
      <c r="AC92" s="304"/>
      <c r="AD92" s="304"/>
      <c r="AE92" s="304"/>
      <c r="AF92" s="304"/>
      <c r="AG92" s="304">
        <f t="shared" si="20"/>
        <v>1716590.74</v>
      </c>
      <c r="AH92" s="304">
        <f t="shared" si="21"/>
        <v>1716590.74</v>
      </c>
      <c r="AI92" s="304">
        <f t="shared" si="22"/>
        <v>0</v>
      </c>
      <c r="AJ92" s="304"/>
      <c r="AK92" s="304"/>
      <c r="AL92" s="304"/>
      <c r="AM92" s="304"/>
      <c r="AN92" s="304">
        <f t="shared" si="23"/>
        <v>1716590.74</v>
      </c>
      <c r="AO92" s="304">
        <v>1716590.74</v>
      </c>
      <c r="AP92" s="304"/>
      <c r="AQ92" s="304"/>
      <c r="AR92" s="304"/>
      <c r="AS92" s="304">
        <f t="shared" si="24"/>
        <v>0</v>
      </c>
      <c r="AT92" s="304"/>
      <c r="AU92" s="304"/>
      <c r="AV92" s="304"/>
      <c r="AW92" s="304"/>
      <c r="AX92" s="304">
        <f t="shared" si="25"/>
        <v>0</v>
      </c>
      <c r="AY92" s="304"/>
      <c r="AZ92" s="304"/>
      <c r="BA92" s="304"/>
      <c r="BB92" s="304"/>
      <c r="BC92" s="304"/>
      <c r="BD92" s="304"/>
      <c r="BE92" s="305">
        <v>0</v>
      </c>
      <c r="BF92" s="238" t="s">
        <v>53</v>
      </c>
      <c r="BG92" s="263" t="s">
        <v>54</v>
      </c>
      <c r="BH92" s="306"/>
    </row>
    <row r="93" s="270" customFormat="1" ht="28" hidden="1" spans="1:60">
      <c r="A93" s="301">
        <v>86</v>
      </c>
      <c r="B93" s="302" t="s">
        <v>19</v>
      </c>
      <c r="C93" s="302" t="s">
        <v>20</v>
      </c>
      <c r="D93" s="301">
        <v>2018</v>
      </c>
      <c r="E93" s="303" t="s">
        <v>197</v>
      </c>
      <c r="F93" s="301" t="s">
        <v>53</v>
      </c>
      <c r="G93" s="238" t="s">
        <v>53</v>
      </c>
      <c r="H93" s="304">
        <f t="shared" si="14"/>
        <v>1605200</v>
      </c>
      <c r="I93" s="304">
        <f t="shared" si="15"/>
        <v>1605200</v>
      </c>
      <c r="J93" s="304">
        <f t="shared" si="16"/>
        <v>0</v>
      </c>
      <c r="K93" s="304"/>
      <c r="L93" s="304"/>
      <c r="M93" s="304"/>
      <c r="N93" s="304"/>
      <c r="O93" s="304">
        <f t="shared" si="17"/>
        <v>1605200</v>
      </c>
      <c r="P93" s="304">
        <v>1605200</v>
      </c>
      <c r="Q93" s="304"/>
      <c r="R93" s="304"/>
      <c r="S93" s="304"/>
      <c r="T93" s="304">
        <f t="shared" si="18"/>
        <v>0</v>
      </c>
      <c r="U93" s="304"/>
      <c r="V93" s="304"/>
      <c r="W93" s="304"/>
      <c r="X93" s="304"/>
      <c r="Y93" s="304">
        <f t="shared" si="19"/>
        <v>0</v>
      </c>
      <c r="Z93" s="304"/>
      <c r="AA93" s="304"/>
      <c r="AB93" s="304"/>
      <c r="AC93" s="304"/>
      <c r="AD93" s="304"/>
      <c r="AE93" s="304"/>
      <c r="AF93" s="304"/>
      <c r="AG93" s="304">
        <f t="shared" si="20"/>
        <v>1605200</v>
      </c>
      <c r="AH93" s="304">
        <f t="shared" si="21"/>
        <v>1605200</v>
      </c>
      <c r="AI93" s="304">
        <f t="shared" si="22"/>
        <v>0</v>
      </c>
      <c r="AJ93" s="304"/>
      <c r="AK93" s="304"/>
      <c r="AL93" s="304"/>
      <c r="AM93" s="304"/>
      <c r="AN93" s="304">
        <f t="shared" si="23"/>
        <v>1605200</v>
      </c>
      <c r="AO93" s="304">
        <v>1605200</v>
      </c>
      <c r="AP93" s="304"/>
      <c r="AQ93" s="304"/>
      <c r="AR93" s="304"/>
      <c r="AS93" s="304">
        <f t="shared" si="24"/>
        <v>0</v>
      </c>
      <c r="AT93" s="304"/>
      <c r="AU93" s="304"/>
      <c r="AV93" s="304"/>
      <c r="AW93" s="304"/>
      <c r="AX93" s="304">
        <f t="shared" si="25"/>
        <v>0</v>
      </c>
      <c r="AY93" s="304"/>
      <c r="AZ93" s="304"/>
      <c r="BA93" s="304"/>
      <c r="BB93" s="304"/>
      <c r="BC93" s="304"/>
      <c r="BD93" s="304"/>
      <c r="BE93" s="305">
        <v>0</v>
      </c>
      <c r="BF93" s="238" t="s">
        <v>53</v>
      </c>
      <c r="BG93" s="263" t="s">
        <v>54</v>
      </c>
      <c r="BH93" s="306" t="s">
        <v>198</v>
      </c>
    </row>
    <row r="94" s="270" customFormat="1" ht="15" hidden="1" spans="1:60">
      <c r="A94" s="301">
        <v>87</v>
      </c>
      <c r="B94" s="302" t="s">
        <v>19</v>
      </c>
      <c r="C94" s="302" t="s">
        <v>20</v>
      </c>
      <c r="D94" s="301">
        <v>2018</v>
      </c>
      <c r="E94" s="303" t="s">
        <v>199</v>
      </c>
      <c r="F94" s="301" t="s">
        <v>53</v>
      </c>
      <c r="G94" s="238" t="s">
        <v>53</v>
      </c>
      <c r="H94" s="304">
        <f t="shared" si="14"/>
        <v>1014500</v>
      </c>
      <c r="I94" s="304">
        <f t="shared" si="15"/>
        <v>1014500</v>
      </c>
      <c r="J94" s="304">
        <f t="shared" si="16"/>
        <v>0</v>
      </c>
      <c r="K94" s="304"/>
      <c r="L94" s="304"/>
      <c r="M94" s="304"/>
      <c r="N94" s="304"/>
      <c r="O94" s="304">
        <f t="shared" si="17"/>
        <v>1014500</v>
      </c>
      <c r="P94" s="304">
        <v>1014500</v>
      </c>
      <c r="Q94" s="304"/>
      <c r="R94" s="304"/>
      <c r="S94" s="304"/>
      <c r="T94" s="304">
        <f t="shared" si="18"/>
        <v>0</v>
      </c>
      <c r="U94" s="304"/>
      <c r="V94" s="304"/>
      <c r="W94" s="304"/>
      <c r="X94" s="304"/>
      <c r="Y94" s="304">
        <f t="shared" si="19"/>
        <v>0</v>
      </c>
      <c r="Z94" s="304"/>
      <c r="AA94" s="304"/>
      <c r="AB94" s="304"/>
      <c r="AC94" s="304"/>
      <c r="AD94" s="304"/>
      <c r="AE94" s="304"/>
      <c r="AF94" s="304"/>
      <c r="AG94" s="304">
        <f t="shared" si="20"/>
        <v>952844.57</v>
      </c>
      <c r="AH94" s="304">
        <f t="shared" si="21"/>
        <v>952844.57</v>
      </c>
      <c r="AI94" s="304">
        <f t="shared" si="22"/>
        <v>0</v>
      </c>
      <c r="AJ94" s="304"/>
      <c r="AK94" s="304"/>
      <c r="AL94" s="304"/>
      <c r="AM94" s="304"/>
      <c r="AN94" s="304">
        <f t="shared" si="23"/>
        <v>952844.57</v>
      </c>
      <c r="AO94" s="304">
        <v>952844.57</v>
      </c>
      <c r="AP94" s="304"/>
      <c r="AQ94" s="304"/>
      <c r="AR94" s="304"/>
      <c r="AS94" s="304">
        <f t="shared" si="24"/>
        <v>0</v>
      </c>
      <c r="AT94" s="304"/>
      <c r="AU94" s="304"/>
      <c r="AV94" s="304"/>
      <c r="AW94" s="304"/>
      <c r="AX94" s="304">
        <f t="shared" si="25"/>
        <v>0</v>
      </c>
      <c r="AY94" s="304"/>
      <c r="AZ94" s="304"/>
      <c r="BA94" s="304"/>
      <c r="BB94" s="304"/>
      <c r="BC94" s="304"/>
      <c r="BD94" s="304"/>
      <c r="BE94" s="305">
        <v>0</v>
      </c>
      <c r="BF94" s="238" t="s">
        <v>53</v>
      </c>
      <c r="BG94" s="263" t="s">
        <v>54</v>
      </c>
      <c r="BH94" s="306"/>
    </row>
    <row r="95" s="270" customFormat="1" ht="15" hidden="1" spans="1:60">
      <c r="A95" s="301">
        <v>88</v>
      </c>
      <c r="B95" s="302" t="s">
        <v>19</v>
      </c>
      <c r="C95" s="302" t="s">
        <v>20</v>
      </c>
      <c r="D95" s="301">
        <v>2018</v>
      </c>
      <c r="E95" s="303" t="s">
        <v>200</v>
      </c>
      <c r="F95" s="301" t="s">
        <v>53</v>
      </c>
      <c r="G95" s="238" t="s">
        <v>53</v>
      </c>
      <c r="H95" s="304">
        <f t="shared" si="14"/>
        <v>608700</v>
      </c>
      <c r="I95" s="304">
        <f t="shared" si="15"/>
        <v>608700</v>
      </c>
      <c r="J95" s="304">
        <f t="shared" si="16"/>
        <v>0</v>
      </c>
      <c r="K95" s="304"/>
      <c r="L95" s="304"/>
      <c r="M95" s="304"/>
      <c r="N95" s="304"/>
      <c r="O95" s="304">
        <f t="shared" si="17"/>
        <v>608700</v>
      </c>
      <c r="P95" s="304">
        <v>608700</v>
      </c>
      <c r="Q95" s="304"/>
      <c r="R95" s="304"/>
      <c r="S95" s="304"/>
      <c r="T95" s="304">
        <f t="shared" si="18"/>
        <v>0</v>
      </c>
      <c r="U95" s="304"/>
      <c r="V95" s="304"/>
      <c r="W95" s="304"/>
      <c r="X95" s="304"/>
      <c r="Y95" s="304">
        <f t="shared" si="19"/>
        <v>0</v>
      </c>
      <c r="Z95" s="304"/>
      <c r="AA95" s="304"/>
      <c r="AB95" s="304"/>
      <c r="AC95" s="304"/>
      <c r="AD95" s="304"/>
      <c r="AE95" s="304"/>
      <c r="AF95" s="304"/>
      <c r="AG95" s="304">
        <f t="shared" si="20"/>
        <v>576110.99</v>
      </c>
      <c r="AH95" s="304">
        <f t="shared" si="21"/>
        <v>576110.99</v>
      </c>
      <c r="AI95" s="304">
        <f t="shared" si="22"/>
        <v>0</v>
      </c>
      <c r="AJ95" s="304"/>
      <c r="AK95" s="304"/>
      <c r="AL95" s="304"/>
      <c r="AM95" s="304"/>
      <c r="AN95" s="304">
        <f t="shared" si="23"/>
        <v>576110.99</v>
      </c>
      <c r="AO95" s="304">
        <v>576110.99</v>
      </c>
      <c r="AP95" s="304"/>
      <c r="AQ95" s="304"/>
      <c r="AR95" s="304"/>
      <c r="AS95" s="304">
        <f t="shared" si="24"/>
        <v>0</v>
      </c>
      <c r="AT95" s="304"/>
      <c r="AU95" s="304"/>
      <c r="AV95" s="304"/>
      <c r="AW95" s="304"/>
      <c r="AX95" s="304">
        <f t="shared" si="25"/>
        <v>0</v>
      </c>
      <c r="AY95" s="304"/>
      <c r="AZ95" s="304"/>
      <c r="BA95" s="304"/>
      <c r="BB95" s="304"/>
      <c r="BC95" s="304"/>
      <c r="BD95" s="304"/>
      <c r="BE95" s="305">
        <v>0</v>
      </c>
      <c r="BF95" s="238" t="s">
        <v>53</v>
      </c>
      <c r="BG95" s="263" t="s">
        <v>54</v>
      </c>
      <c r="BH95" s="306"/>
    </row>
    <row r="96" s="270" customFormat="1" ht="15" hidden="1" spans="1:60">
      <c r="A96" s="301">
        <v>89</v>
      </c>
      <c r="B96" s="302" t="s">
        <v>19</v>
      </c>
      <c r="C96" s="302" t="s">
        <v>20</v>
      </c>
      <c r="D96" s="301">
        <v>2018</v>
      </c>
      <c r="E96" s="303" t="s">
        <v>201</v>
      </c>
      <c r="F96" s="301" t="s">
        <v>53</v>
      </c>
      <c r="G96" s="238" t="s">
        <v>53</v>
      </c>
      <c r="H96" s="304">
        <f t="shared" si="14"/>
        <v>1480700</v>
      </c>
      <c r="I96" s="304">
        <f t="shared" si="15"/>
        <v>1480700</v>
      </c>
      <c r="J96" s="304">
        <f t="shared" si="16"/>
        <v>0</v>
      </c>
      <c r="K96" s="304"/>
      <c r="L96" s="304"/>
      <c r="M96" s="304"/>
      <c r="N96" s="304"/>
      <c r="O96" s="304">
        <f t="shared" si="17"/>
        <v>1480700</v>
      </c>
      <c r="P96" s="304">
        <v>1480700</v>
      </c>
      <c r="Q96" s="304"/>
      <c r="R96" s="304"/>
      <c r="S96" s="304"/>
      <c r="T96" s="304">
        <f t="shared" si="18"/>
        <v>0</v>
      </c>
      <c r="U96" s="304"/>
      <c r="V96" s="304"/>
      <c r="W96" s="304"/>
      <c r="X96" s="304"/>
      <c r="Y96" s="304">
        <f t="shared" si="19"/>
        <v>0</v>
      </c>
      <c r="Z96" s="304"/>
      <c r="AA96" s="304"/>
      <c r="AB96" s="304"/>
      <c r="AC96" s="304"/>
      <c r="AD96" s="304"/>
      <c r="AE96" s="304"/>
      <c r="AF96" s="304"/>
      <c r="AG96" s="304">
        <f t="shared" si="20"/>
        <v>1384495.27</v>
      </c>
      <c r="AH96" s="304">
        <f t="shared" si="21"/>
        <v>1384495.27</v>
      </c>
      <c r="AI96" s="304">
        <f t="shared" si="22"/>
        <v>0</v>
      </c>
      <c r="AJ96" s="304"/>
      <c r="AK96" s="304"/>
      <c r="AL96" s="304"/>
      <c r="AM96" s="304"/>
      <c r="AN96" s="304">
        <f t="shared" si="23"/>
        <v>1384495.27</v>
      </c>
      <c r="AO96" s="304">
        <v>1384495.27</v>
      </c>
      <c r="AP96" s="304"/>
      <c r="AQ96" s="304"/>
      <c r="AR96" s="304"/>
      <c r="AS96" s="304">
        <f t="shared" si="24"/>
        <v>0</v>
      </c>
      <c r="AT96" s="304"/>
      <c r="AU96" s="304"/>
      <c r="AV96" s="304"/>
      <c r="AW96" s="304"/>
      <c r="AX96" s="304">
        <f t="shared" si="25"/>
        <v>0</v>
      </c>
      <c r="AY96" s="304"/>
      <c r="AZ96" s="304"/>
      <c r="BA96" s="304"/>
      <c r="BB96" s="304"/>
      <c r="BC96" s="304"/>
      <c r="BD96" s="304"/>
      <c r="BE96" s="305">
        <v>0</v>
      </c>
      <c r="BF96" s="238" t="s">
        <v>53</v>
      </c>
      <c r="BG96" s="263" t="s">
        <v>54</v>
      </c>
      <c r="BH96" s="306"/>
    </row>
    <row r="97" s="270" customFormat="1" ht="15" hidden="1" spans="1:60">
      <c r="A97" s="301">
        <v>90</v>
      </c>
      <c r="B97" s="302" t="s">
        <v>19</v>
      </c>
      <c r="C97" s="302" t="s">
        <v>20</v>
      </c>
      <c r="D97" s="301">
        <v>2018</v>
      </c>
      <c r="E97" s="331" t="s">
        <v>202</v>
      </c>
      <c r="F97" s="301" t="s">
        <v>53</v>
      </c>
      <c r="G97" s="238" t="s">
        <v>53</v>
      </c>
      <c r="H97" s="304">
        <f t="shared" si="14"/>
        <v>5213300</v>
      </c>
      <c r="I97" s="304">
        <f t="shared" si="15"/>
        <v>5213300</v>
      </c>
      <c r="J97" s="304">
        <f t="shared" si="16"/>
        <v>0</v>
      </c>
      <c r="K97" s="304"/>
      <c r="L97" s="304"/>
      <c r="M97" s="304"/>
      <c r="N97" s="304"/>
      <c r="O97" s="304">
        <f t="shared" si="17"/>
        <v>5213300</v>
      </c>
      <c r="P97" s="304">
        <v>5213300</v>
      </c>
      <c r="Q97" s="304"/>
      <c r="R97" s="304"/>
      <c r="S97" s="304"/>
      <c r="T97" s="304">
        <f t="shared" si="18"/>
        <v>0</v>
      </c>
      <c r="U97" s="304"/>
      <c r="V97" s="304"/>
      <c r="W97" s="304"/>
      <c r="X97" s="304"/>
      <c r="Y97" s="304">
        <f t="shared" si="19"/>
        <v>0</v>
      </c>
      <c r="Z97" s="304"/>
      <c r="AA97" s="304"/>
      <c r="AB97" s="304"/>
      <c r="AC97" s="304"/>
      <c r="AD97" s="304"/>
      <c r="AE97" s="304"/>
      <c r="AF97" s="304"/>
      <c r="AG97" s="304">
        <f t="shared" si="20"/>
        <v>4400959.15</v>
      </c>
      <c r="AH97" s="304">
        <f t="shared" si="21"/>
        <v>4400959.15</v>
      </c>
      <c r="AI97" s="304">
        <f t="shared" si="22"/>
        <v>0</v>
      </c>
      <c r="AJ97" s="304"/>
      <c r="AK97" s="304"/>
      <c r="AL97" s="304"/>
      <c r="AM97" s="304"/>
      <c r="AN97" s="304">
        <f t="shared" si="23"/>
        <v>4400959.15</v>
      </c>
      <c r="AO97" s="304">
        <v>4400959.15</v>
      </c>
      <c r="AP97" s="304"/>
      <c r="AQ97" s="304"/>
      <c r="AR97" s="304"/>
      <c r="AS97" s="304">
        <f t="shared" si="24"/>
        <v>0</v>
      </c>
      <c r="AT97" s="304"/>
      <c r="AU97" s="304"/>
      <c r="AV97" s="304"/>
      <c r="AW97" s="304"/>
      <c r="AX97" s="304">
        <f t="shared" si="25"/>
        <v>0</v>
      </c>
      <c r="AY97" s="304"/>
      <c r="AZ97" s="304"/>
      <c r="BA97" s="304"/>
      <c r="BB97" s="304"/>
      <c r="BC97" s="304"/>
      <c r="BD97" s="304"/>
      <c r="BE97" s="305">
        <v>0</v>
      </c>
      <c r="BF97" s="238" t="s">
        <v>53</v>
      </c>
      <c r="BG97" s="263" t="s">
        <v>70</v>
      </c>
      <c r="BH97" s="306"/>
    </row>
    <row r="98" s="270" customFormat="1" ht="15" hidden="1" spans="1:60">
      <c r="A98" s="301">
        <v>91</v>
      </c>
      <c r="B98" s="302" t="s">
        <v>19</v>
      </c>
      <c r="C98" s="302" t="s">
        <v>20</v>
      </c>
      <c r="D98" s="333">
        <v>2017</v>
      </c>
      <c r="E98" s="303" t="s">
        <v>203</v>
      </c>
      <c r="F98" s="301" t="s">
        <v>53</v>
      </c>
      <c r="G98" s="238" t="s">
        <v>53</v>
      </c>
      <c r="H98" s="304">
        <f t="shared" si="14"/>
        <v>7719500</v>
      </c>
      <c r="I98" s="304">
        <f t="shared" si="15"/>
        <v>5000000</v>
      </c>
      <c r="J98" s="304">
        <f t="shared" si="16"/>
        <v>5000000</v>
      </c>
      <c r="K98" s="304"/>
      <c r="L98" s="304"/>
      <c r="M98" s="304">
        <v>5000000</v>
      </c>
      <c r="N98" s="304"/>
      <c r="O98" s="304">
        <f t="shared" si="17"/>
        <v>0</v>
      </c>
      <c r="P98" s="304"/>
      <c r="Q98" s="304"/>
      <c r="R98" s="304"/>
      <c r="S98" s="304"/>
      <c r="T98" s="304">
        <f t="shared" si="18"/>
        <v>0</v>
      </c>
      <c r="U98" s="304"/>
      <c r="V98" s="304"/>
      <c r="W98" s="304"/>
      <c r="X98" s="304"/>
      <c r="Y98" s="304">
        <f t="shared" si="19"/>
        <v>0</v>
      </c>
      <c r="Z98" s="304"/>
      <c r="AA98" s="304"/>
      <c r="AB98" s="304"/>
      <c r="AC98" s="304"/>
      <c r="AD98" s="304"/>
      <c r="AE98" s="304"/>
      <c r="AF98" s="304">
        <v>2719500</v>
      </c>
      <c r="AG98" s="304">
        <f t="shared" si="20"/>
        <v>6936855.57</v>
      </c>
      <c r="AH98" s="304">
        <f t="shared" si="21"/>
        <v>4748632.31</v>
      </c>
      <c r="AI98" s="304">
        <f t="shared" si="22"/>
        <v>4748632.31</v>
      </c>
      <c r="AJ98" s="304"/>
      <c r="AK98" s="304"/>
      <c r="AL98" s="304">
        <v>4748632.31</v>
      </c>
      <c r="AM98" s="304"/>
      <c r="AN98" s="304">
        <f t="shared" si="23"/>
        <v>0</v>
      </c>
      <c r="AO98" s="304"/>
      <c r="AP98" s="304"/>
      <c r="AQ98" s="304"/>
      <c r="AR98" s="304"/>
      <c r="AS98" s="304">
        <f t="shared" si="24"/>
        <v>0</v>
      </c>
      <c r="AT98" s="304"/>
      <c r="AU98" s="304"/>
      <c r="AV98" s="304"/>
      <c r="AW98" s="304"/>
      <c r="AX98" s="304">
        <f t="shared" si="25"/>
        <v>0</v>
      </c>
      <c r="AY98" s="304"/>
      <c r="AZ98" s="304"/>
      <c r="BA98" s="304"/>
      <c r="BB98" s="304"/>
      <c r="BC98" s="304"/>
      <c r="BD98" s="304"/>
      <c r="BE98" s="305">
        <v>2188223.26</v>
      </c>
      <c r="BF98" s="238" t="s">
        <v>53</v>
      </c>
      <c r="BG98" s="263" t="s">
        <v>204</v>
      </c>
      <c r="BH98" s="306" t="s">
        <v>205</v>
      </c>
    </row>
    <row r="99" s="270" customFormat="1" ht="15" hidden="1" spans="1:60">
      <c r="A99" s="301">
        <v>92</v>
      </c>
      <c r="B99" s="302" t="s">
        <v>19</v>
      </c>
      <c r="C99" s="302" t="s">
        <v>20</v>
      </c>
      <c r="D99" s="301">
        <v>2018</v>
      </c>
      <c r="E99" s="303" t="s">
        <v>206</v>
      </c>
      <c r="F99" s="301" t="s">
        <v>53</v>
      </c>
      <c r="G99" s="238" t="s">
        <v>56</v>
      </c>
      <c r="H99" s="304">
        <f t="shared" si="14"/>
        <v>555900</v>
      </c>
      <c r="I99" s="304">
        <f t="shared" si="15"/>
        <v>555900</v>
      </c>
      <c r="J99" s="304">
        <f t="shared" si="16"/>
        <v>0</v>
      </c>
      <c r="K99" s="304"/>
      <c r="L99" s="304"/>
      <c r="M99" s="304"/>
      <c r="N99" s="304"/>
      <c r="O99" s="304">
        <f t="shared" si="17"/>
        <v>555900</v>
      </c>
      <c r="P99" s="304">
        <v>555900</v>
      </c>
      <c r="Q99" s="304"/>
      <c r="R99" s="304"/>
      <c r="S99" s="304"/>
      <c r="T99" s="304">
        <f t="shared" si="18"/>
        <v>0</v>
      </c>
      <c r="U99" s="304"/>
      <c r="V99" s="304"/>
      <c r="W99" s="304"/>
      <c r="X99" s="304"/>
      <c r="Y99" s="304">
        <f t="shared" si="19"/>
        <v>0</v>
      </c>
      <c r="Z99" s="304"/>
      <c r="AA99" s="304"/>
      <c r="AB99" s="304"/>
      <c r="AC99" s="304"/>
      <c r="AD99" s="304"/>
      <c r="AE99" s="304"/>
      <c r="AF99" s="304"/>
      <c r="AG99" s="304">
        <f t="shared" si="20"/>
        <v>555900</v>
      </c>
      <c r="AH99" s="304">
        <f t="shared" si="21"/>
        <v>555900</v>
      </c>
      <c r="AI99" s="304">
        <f t="shared" si="22"/>
        <v>0</v>
      </c>
      <c r="AJ99" s="304"/>
      <c r="AK99" s="304"/>
      <c r="AL99" s="304"/>
      <c r="AM99" s="304"/>
      <c r="AN99" s="304">
        <f t="shared" si="23"/>
        <v>555900</v>
      </c>
      <c r="AO99" s="304">
        <v>555900</v>
      </c>
      <c r="AP99" s="304"/>
      <c r="AQ99" s="304"/>
      <c r="AR99" s="304"/>
      <c r="AS99" s="304">
        <f t="shared" si="24"/>
        <v>0</v>
      </c>
      <c r="AT99" s="304"/>
      <c r="AU99" s="304"/>
      <c r="AV99" s="304"/>
      <c r="AW99" s="304"/>
      <c r="AX99" s="304">
        <f t="shared" si="25"/>
        <v>0</v>
      </c>
      <c r="AY99" s="304"/>
      <c r="AZ99" s="304"/>
      <c r="BA99" s="304"/>
      <c r="BB99" s="304"/>
      <c r="BC99" s="304"/>
      <c r="BD99" s="304"/>
      <c r="BE99" s="305"/>
      <c r="BF99" s="238" t="s">
        <v>53</v>
      </c>
      <c r="BG99" s="263" t="s">
        <v>207</v>
      </c>
      <c r="BH99" s="306" t="s">
        <v>76</v>
      </c>
    </row>
    <row r="100" s="78" customFormat="1" ht="15" hidden="1" spans="1:60">
      <c r="A100" s="301">
        <v>93</v>
      </c>
      <c r="B100" s="307" t="s">
        <v>19</v>
      </c>
      <c r="C100" s="307" t="s">
        <v>20</v>
      </c>
      <c r="D100" s="308">
        <v>2018</v>
      </c>
      <c r="E100" s="313" t="s">
        <v>208</v>
      </c>
      <c r="F100" s="308" t="s">
        <v>53</v>
      </c>
      <c r="G100" s="127" t="s">
        <v>53</v>
      </c>
      <c r="H100" s="310">
        <f t="shared" si="14"/>
        <v>772500</v>
      </c>
      <c r="I100" s="310">
        <f t="shared" si="15"/>
        <v>772500</v>
      </c>
      <c r="J100" s="310">
        <f t="shared" si="16"/>
        <v>0</v>
      </c>
      <c r="K100" s="310"/>
      <c r="L100" s="310"/>
      <c r="M100" s="310"/>
      <c r="N100" s="310"/>
      <c r="O100" s="310">
        <f t="shared" si="17"/>
        <v>772500</v>
      </c>
      <c r="P100" s="310">
        <v>772500</v>
      </c>
      <c r="Q100" s="310"/>
      <c r="R100" s="310"/>
      <c r="S100" s="310"/>
      <c r="T100" s="310">
        <f t="shared" si="18"/>
        <v>0</v>
      </c>
      <c r="U100" s="310"/>
      <c r="V100" s="310"/>
      <c r="W100" s="310"/>
      <c r="X100" s="310"/>
      <c r="Y100" s="310">
        <f t="shared" si="19"/>
        <v>0</v>
      </c>
      <c r="Z100" s="310"/>
      <c r="AA100" s="310"/>
      <c r="AB100" s="310"/>
      <c r="AC100" s="310"/>
      <c r="AD100" s="310"/>
      <c r="AE100" s="310"/>
      <c r="AF100" s="310"/>
      <c r="AG100" s="310">
        <f t="shared" si="20"/>
        <v>772500</v>
      </c>
      <c r="AH100" s="310">
        <f t="shared" si="21"/>
        <v>772500</v>
      </c>
      <c r="AI100" s="310">
        <f t="shared" si="22"/>
        <v>0</v>
      </c>
      <c r="AJ100" s="310"/>
      <c r="AK100" s="310"/>
      <c r="AL100" s="310"/>
      <c r="AM100" s="310"/>
      <c r="AN100" s="310">
        <f t="shared" si="23"/>
        <v>772500</v>
      </c>
      <c r="AO100" s="310">
        <v>772500</v>
      </c>
      <c r="AP100" s="310"/>
      <c r="AQ100" s="310"/>
      <c r="AR100" s="310"/>
      <c r="AS100" s="310">
        <f t="shared" si="24"/>
        <v>0</v>
      </c>
      <c r="AT100" s="310"/>
      <c r="AU100" s="310"/>
      <c r="AV100" s="310"/>
      <c r="AW100" s="310"/>
      <c r="AX100" s="310">
        <f t="shared" si="25"/>
        <v>0</v>
      </c>
      <c r="AY100" s="310"/>
      <c r="AZ100" s="310"/>
      <c r="BA100" s="310"/>
      <c r="BB100" s="310"/>
      <c r="BC100" s="310"/>
      <c r="BD100" s="310"/>
      <c r="BE100" s="312">
        <v>0</v>
      </c>
      <c r="BF100" s="134" t="s">
        <v>56</v>
      </c>
      <c r="BG100" s="315" t="s">
        <v>209</v>
      </c>
      <c r="BH100" s="137" t="s">
        <v>210</v>
      </c>
    </row>
    <row r="101" s="79" customFormat="1" ht="15" hidden="1" spans="1:60">
      <c r="A101" s="301">
        <v>94</v>
      </c>
      <c r="B101" s="334" t="s">
        <v>19</v>
      </c>
      <c r="C101" s="334" t="s">
        <v>20</v>
      </c>
      <c r="D101" s="335">
        <v>2019</v>
      </c>
      <c r="E101" s="336" t="s">
        <v>211</v>
      </c>
      <c r="F101" s="335" t="s">
        <v>53</v>
      </c>
      <c r="G101" s="146" t="s">
        <v>53</v>
      </c>
      <c r="H101" s="337">
        <f t="shared" ref="H101:H133" si="26">I101+AF101</f>
        <v>2383600</v>
      </c>
      <c r="I101" s="337">
        <f t="shared" ref="I101:I133" si="27">O101+J101+T101+Y101+AE101+AC101+AD101</f>
        <v>2383600</v>
      </c>
      <c r="J101" s="337">
        <f t="shared" ref="J101:J133" si="28">N101+M101+L101+K101</f>
        <v>0</v>
      </c>
      <c r="K101" s="337"/>
      <c r="L101" s="337"/>
      <c r="M101" s="337"/>
      <c r="N101" s="337"/>
      <c r="O101" s="337">
        <f t="shared" ref="O101:O133" si="29">S101+R101+Q101+P101</f>
        <v>2383600</v>
      </c>
      <c r="P101" s="337">
        <v>2383600</v>
      </c>
      <c r="Q101" s="337"/>
      <c r="R101" s="337"/>
      <c r="S101" s="337"/>
      <c r="T101" s="337">
        <f t="shared" ref="T101:T133" si="30">U101+V101+W101+X101</f>
        <v>0</v>
      </c>
      <c r="U101" s="337"/>
      <c r="V101" s="337"/>
      <c r="W101" s="337"/>
      <c r="X101" s="337"/>
      <c r="Y101" s="337">
        <f t="shared" ref="Y101:Y133" si="31">AA101+Z101+AB101</f>
        <v>0</v>
      </c>
      <c r="Z101" s="337"/>
      <c r="AA101" s="337"/>
      <c r="AB101" s="337"/>
      <c r="AC101" s="337"/>
      <c r="AD101" s="337"/>
      <c r="AE101" s="337"/>
      <c r="AF101" s="337"/>
      <c r="AG101" s="337">
        <f t="shared" ref="AG101:AG133" si="32">AH101+BE101</f>
        <v>2383600</v>
      </c>
      <c r="AH101" s="337">
        <f t="shared" ref="AH101:AH133" si="33">AN101+AI101+AS101+AX101+BD101+BB101+BC101</f>
        <v>2383600</v>
      </c>
      <c r="AI101" s="337">
        <f t="shared" ref="AI101:AI133" si="34">AM101+AL101+AK101+AJ101</f>
        <v>0</v>
      </c>
      <c r="AJ101" s="337"/>
      <c r="AK101" s="337"/>
      <c r="AL101" s="337"/>
      <c r="AM101" s="337"/>
      <c r="AN101" s="337">
        <f t="shared" ref="AN101:AN133" si="35">AR101+AQ101+AP101+AO101</f>
        <v>2383600</v>
      </c>
      <c r="AO101" s="337">
        <v>2383600</v>
      </c>
      <c r="AP101" s="337"/>
      <c r="AQ101" s="337"/>
      <c r="AR101" s="337"/>
      <c r="AS101" s="337">
        <f t="shared" ref="AS101:AS133" si="36">AW101+AV101+AU101+AT101</f>
        <v>0</v>
      </c>
      <c r="AT101" s="337"/>
      <c r="AU101" s="337"/>
      <c r="AV101" s="337"/>
      <c r="AW101" s="337"/>
      <c r="AX101" s="337">
        <f t="shared" ref="AX101:AX133" si="37">AZ101+AY101+BA101</f>
        <v>0</v>
      </c>
      <c r="AY101" s="337"/>
      <c r="AZ101" s="337"/>
      <c r="BA101" s="337"/>
      <c r="BB101" s="337"/>
      <c r="BC101" s="337"/>
      <c r="BD101" s="337"/>
      <c r="BE101" s="338">
        <v>0</v>
      </c>
      <c r="BF101" s="139" t="s">
        <v>56</v>
      </c>
      <c r="BG101" s="339" t="s">
        <v>209</v>
      </c>
      <c r="BH101" s="147" t="s">
        <v>210</v>
      </c>
    </row>
    <row r="102" s="270" customFormat="1" ht="15" hidden="1" spans="1:60">
      <c r="A102" s="301">
        <v>95</v>
      </c>
      <c r="B102" s="302" t="s">
        <v>19</v>
      </c>
      <c r="C102" s="302" t="s">
        <v>20</v>
      </c>
      <c r="D102" s="301">
        <v>2019</v>
      </c>
      <c r="E102" s="331" t="s">
        <v>212</v>
      </c>
      <c r="F102" s="301" t="s">
        <v>53</v>
      </c>
      <c r="G102" s="238" t="s">
        <v>53</v>
      </c>
      <c r="H102" s="304">
        <f t="shared" si="26"/>
        <v>621100</v>
      </c>
      <c r="I102" s="304">
        <f t="shared" si="27"/>
        <v>600000</v>
      </c>
      <c r="J102" s="304">
        <f t="shared" si="28"/>
        <v>0</v>
      </c>
      <c r="K102" s="304"/>
      <c r="L102" s="304"/>
      <c r="M102" s="304"/>
      <c r="N102" s="304"/>
      <c r="O102" s="304">
        <f t="shared" si="29"/>
        <v>600000</v>
      </c>
      <c r="P102" s="304"/>
      <c r="Q102" s="304">
        <v>500000</v>
      </c>
      <c r="R102" s="304"/>
      <c r="S102" s="304">
        <v>100000</v>
      </c>
      <c r="T102" s="304">
        <f t="shared" si="30"/>
        <v>0</v>
      </c>
      <c r="U102" s="304"/>
      <c r="V102" s="304"/>
      <c r="W102" s="304"/>
      <c r="X102" s="304"/>
      <c r="Y102" s="304">
        <f t="shared" si="31"/>
        <v>0</v>
      </c>
      <c r="Z102" s="304"/>
      <c r="AA102" s="304"/>
      <c r="AB102" s="304"/>
      <c r="AC102" s="304"/>
      <c r="AD102" s="304"/>
      <c r="AE102" s="304"/>
      <c r="AF102" s="304">
        <v>21100</v>
      </c>
      <c r="AG102" s="304">
        <f t="shared" si="32"/>
        <v>621100</v>
      </c>
      <c r="AH102" s="304">
        <f t="shared" si="33"/>
        <v>600000</v>
      </c>
      <c r="AI102" s="304">
        <f t="shared" si="34"/>
        <v>0</v>
      </c>
      <c r="AJ102" s="304"/>
      <c r="AK102" s="304"/>
      <c r="AL102" s="304"/>
      <c r="AM102" s="304"/>
      <c r="AN102" s="304">
        <f t="shared" si="35"/>
        <v>600000</v>
      </c>
      <c r="AO102" s="304"/>
      <c r="AP102" s="304">
        <v>500000</v>
      </c>
      <c r="AQ102" s="304"/>
      <c r="AR102" s="304">
        <v>100000</v>
      </c>
      <c r="AS102" s="304">
        <f t="shared" si="36"/>
        <v>0</v>
      </c>
      <c r="AT102" s="304"/>
      <c r="AU102" s="304"/>
      <c r="AV102" s="304"/>
      <c r="AW102" s="304"/>
      <c r="AX102" s="304">
        <f t="shared" si="37"/>
        <v>0</v>
      </c>
      <c r="AY102" s="304"/>
      <c r="AZ102" s="304"/>
      <c r="BA102" s="304"/>
      <c r="BB102" s="304"/>
      <c r="BC102" s="304"/>
      <c r="BD102" s="304"/>
      <c r="BE102" s="305">
        <v>21100</v>
      </c>
      <c r="BF102" s="238" t="s">
        <v>53</v>
      </c>
      <c r="BG102" s="263" t="s">
        <v>213</v>
      </c>
      <c r="BH102" s="306"/>
    </row>
    <row r="103" s="270" customFormat="1" ht="15" hidden="1" spans="1:60">
      <c r="A103" s="301">
        <v>96</v>
      </c>
      <c r="B103" s="302" t="s">
        <v>19</v>
      </c>
      <c r="C103" s="302" t="s">
        <v>20</v>
      </c>
      <c r="D103" s="301">
        <v>2019</v>
      </c>
      <c r="E103" s="303" t="s">
        <v>214</v>
      </c>
      <c r="F103" s="301" t="s">
        <v>53</v>
      </c>
      <c r="G103" s="238" t="s">
        <v>53</v>
      </c>
      <c r="H103" s="304">
        <f t="shared" si="26"/>
        <v>536800</v>
      </c>
      <c r="I103" s="304">
        <f t="shared" si="27"/>
        <v>500000</v>
      </c>
      <c r="J103" s="304">
        <f t="shared" si="28"/>
        <v>0</v>
      </c>
      <c r="K103" s="304"/>
      <c r="L103" s="304"/>
      <c r="M103" s="304"/>
      <c r="N103" s="304"/>
      <c r="O103" s="304">
        <f t="shared" si="29"/>
        <v>500000</v>
      </c>
      <c r="P103" s="304"/>
      <c r="Q103" s="304">
        <v>500000</v>
      </c>
      <c r="R103" s="304"/>
      <c r="S103" s="304"/>
      <c r="T103" s="304">
        <f t="shared" si="30"/>
        <v>0</v>
      </c>
      <c r="U103" s="304"/>
      <c r="V103" s="304"/>
      <c r="W103" s="304"/>
      <c r="X103" s="304"/>
      <c r="Y103" s="304">
        <f t="shared" si="31"/>
        <v>0</v>
      </c>
      <c r="Z103" s="304"/>
      <c r="AA103" s="304"/>
      <c r="AB103" s="304"/>
      <c r="AC103" s="304"/>
      <c r="AD103" s="304"/>
      <c r="AE103" s="304"/>
      <c r="AF103" s="304">
        <v>36800</v>
      </c>
      <c r="AG103" s="304">
        <f t="shared" si="32"/>
        <v>536800</v>
      </c>
      <c r="AH103" s="304">
        <f t="shared" si="33"/>
        <v>500000</v>
      </c>
      <c r="AI103" s="304">
        <f t="shared" si="34"/>
        <v>0</v>
      </c>
      <c r="AJ103" s="304"/>
      <c r="AK103" s="304"/>
      <c r="AL103" s="304"/>
      <c r="AM103" s="304"/>
      <c r="AN103" s="304">
        <f t="shared" si="35"/>
        <v>500000</v>
      </c>
      <c r="AO103" s="304"/>
      <c r="AP103" s="304">
        <v>500000</v>
      </c>
      <c r="AQ103" s="304"/>
      <c r="AR103" s="304"/>
      <c r="AS103" s="304">
        <f t="shared" si="36"/>
        <v>0</v>
      </c>
      <c r="AT103" s="304"/>
      <c r="AU103" s="304"/>
      <c r="AV103" s="304"/>
      <c r="AW103" s="304"/>
      <c r="AX103" s="304">
        <f t="shared" si="37"/>
        <v>0</v>
      </c>
      <c r="AY103" s="304"/>
      <c r="AZ103" s="304"/>
      <c r="BA103" s="304"/>
      <c r="BB103" s="304"/>
      <c r="BC103" s="304"/>
      <c r="BD103" s="304"/>
      <c r="BE103" s="305">
        <v>36800</v>
      </c>
      <c r="BF103" s="238" t="s">
        <v>53</v>
      </c>
      <c r="BG103" s="263" t="s">
        <v>54</v>
      </c>
      <c r="BH103" s="306"/>
    </row>
    <row r="104" s="270" customFormat="1" ht="15" hidden="1" spans="1:60">
      <c r="A104" s="301">
        <v>97</v>
      </c>
      <c r="B104" s="302" t="s">
        <v>19</v>
      </c>
      <c r="C104" s="302" t="s">
        <v>20</v>
      </c>
      <c r="D104" s="301">
        <v>2019</v>
      </c>
      <c r="E104" s="303" t="s">
        <v>215</v>
      </c>
      <c r="F104" s="301" t="s">
        <v>53</v>
      </c>
      <c r="G104" s="238" t="s">
        <v>53</v>
      </c>
      <c r="H104" s="304">
        <f t="shared" si="26"/>
        <v>300000</v>
      </c>
      <c r="I104" s="304">
        <f t="shared" si="27"/>
        <v>300000</v>
      </c>
      <c r="J104" s="304">
        <f t="shared" si="28"/>
        <v>0</v>
      </c>
      <c r="K104" s="304"/>
      <c r="L104" s="304"/>
      <c r="M104" s="304"/>
      <c r="N104" s="304"/>
      <c r="O104" s="304">
        <f t="shared" si="29"/>
        <v>300000</v>
      </c>
      <c r="P104" s="304"/>
      <c r="Q104" s="304">
        <v>300000</v>
      </c>
      <c r="R104" s="304"/>
      <c r="S104" s="304"/>
      <c r="T104" s="304">
        <f t="shared" si="30"/>
        <v>0</v>
      </c>
      <c r="U104" s="304"/>
      <c r="V104" s="304"/>
      <c r="W104" s="304"/>
      <c r="X104" s="304"/>
      <c r="Y104" s="304">
        <f t="shared" si="31"/>
        <v>0</v>
      </c>
      <c r="Z104" s="304"/>
      <c r="AA104" s="304"/>
      <c r="AB104" s="304"/>
      <c r="AC104" s="304"/>
      <c r="AD104" s="304"/>
      <c r="AE104" s="304"/>
      <c r="AF104" s="304"/>
      <c r="AG104" s="304">
        <f t="shared" si="32"/>
        <v>300000</v>
      </c>
      <c r="AH104" s="304">
        <f t="shared" si="33"/>
        <v>300000</v>
      </c>
      <c r="AI104" s="304">
        <f t="shared" si="34"/>
        <v>0</v>
      </c>
      <c r="AJ104" s="304"/>
      <c r="AK104" s="304"/>
      <c r="AL104" s="304"/>
      <c r="AM104" s="304"/>
      <c r="AN104" s="304">
        <f t="shared" si="35"/>
        <v>300000</v>
      </c>
      <c r="AO104" s="304"/>
      <c r="AP104" s="304">
        <v>300000</v>
      </c>
      <c r="AQ104" s="304"/>
      <c r="AR104" s="304"/>
      <c r="AS104" s="304">
        <f t="shared" si="36"/>
        <v>0</v>
      </c>
      <c r="AT104" s="304"/>
      <c r="AU104" s="304"/>
      <c r="AV104" s="304"/>
      <c r="AW104" s="304"/>
      <c r="AX104" s="304">
        <f t="shared" si="37"/>
        <v>0</v>
      </c>
      <c r="AY104" s="304"/>
      <c r="AZ104" s="304"/>
      <c r="BA104" s="304"/>
      <c r="BB104" s="304"/>
      <c r="BC104" s="304"/>
      <c r="BD104" s="304"/>
      <c r="BE104" s="305">
        <v>0</v>
      </c>
      <c r="BF104" s="238" t="s">
        <v>53</v>
      </c>
      <c r="BG104" s="263" t="s">
        <v>54</v>
      </c>
      <c r="BH104" s="306" t="s">
        <v>216</v>
      </c>
    </row>
    <row r="105" s="270" customFormat="1" ht="15" hidden="1" spans="1:60">
      <c r="A105" s="301">
        <v>98</v>
      </c>
      <c r="B105" s="302" t="s">
        <v>19</v>
      </c>
      <c r="C105" s="302" t="s">
        <v>20</v>
      </c>
      <c r="D105" s="301">
        <v>2019</v>
      </c>
      <c r="E105" s="303" t="s">
        <v>217</v>
      </c>
      <c r="F105" s="301" t="s">
        <v>53</v>
      </c>
      <c r="G105" s="238" t="s">
        <v>53</v>
      </c>
      <c r="H105" s="304">
        <f t="shared" si="26"/>
        <v>200000</v>
      </c>
      <c r="I105" s="304">
        <f t="shared" si="27"/>
        <v>200000</v>
      </c>
      <c r="J105" s="304">
        <f t="shared" si="28"/>
        <v>0</v>
      </c>
      <c r="K105" s="304"/>
      <c r="L105" s="304"/>
      <c r="M105" s="304"/>
      <c r="N105" s="304"/>
      <c r="O105" s="304">
        <f t="shared" si="29"/>
        <v>200000</v>
      </c>
      <c r="P105" s="304"/>
      <c r="Q105" s="304">
        <v>200000</v>
      </c>
      <c r="R105" s="304"/>
      <c r="S105" s="304"/>
      <c r="T105" s="304">
        <f t="shared" si="30"/>
        <v>0</v>
      </c>
      <c r="U105" s="304"/>
      <c r="V105" s="304"/>
      <c r="W105" s="304"/>
      <c r="X105" s="304"/>
      <c r="Y105" s="304">
        <f t="shared" si="31"/>
        <v>0</v>
      </c>
      <c r="Z105" s="304"/>
      <c r="AA105" s="304"/>
      <c r="AB105" s="304"/>
      <c r="AC105" s="304"/>
      <c r="AD105" s="304"/>
      <c r="AE105" s="304"/>
      <c r="AF105" s="304"/>
      <c r="AG105" s="304">
        <f t="shared" si="32"/>
        <v>200000</v>
      </c>
      <c r="AH105" s="304">
        <f t="shared" si="33"/>
        <v>200000</v>
      </c>
      <c r="AI105" s="304">
        <f t="shared" si="34"/>
        <v>0</v>
      </c>
      <c r="AJ105" s="304"/>
      <c r="AK105" s="304"/>
      <c r="AL105" s="304"/>
      <c r="AM105" s="304"/>
      <c r="AN105" s="304">
        <f t="shared" si="35"/>
        <v>200000</v>
      </c>
      <c r="AO105" s="304"/>
      <c r="AP105" s="304">
        <v>200000</v>
      </c>
      <c r="AQ105" s="304"/>
      <c r="AR105" s="304"/>
      <c r="AS105" s="304">
        <f t="shared" si="36"/>
        <v>0</v>
      </c>
      <c r="AT105" s="304"/>
      <c r="AU105" s="304"/>
      <c r="AV105" s="304"/>
      <c r="AW105" s="304"/>
      <c r="AX105" s="304">
        <f t="shared" si="37"/>
        <v>0</v>
      </c>
      <c r="AY105" s="304"/>
      <c r="AZ105" s="304"/>
      <c r="BA105" s="304"/>
      <c r="BB105" s="304"/>
      <c r="BC105" s="304"/>
      <c r="BD105" s="304"/>
      <c r="BE105" s="305">
        <v>0</v>
      </c>
      <c r="BF105" s="238" t="s">
        <v>53</v>
      </c>
      <c r="BG105" s="263" t="s">
        <v>54</v>
      </c>
      <c r="BH105" s="306"/>
    </row>
    <row r="106" s="270" customFormat="1" ht="15" hidden="1" spans="1:60">
      <c r="A106" s="301">
        <v>99</v>
      </c>
      <c r="B106" s="302" t="s">
        <v>19</v>
      </c>
      <c r="C106" s="302" t="s">
        <v>20</v>
      </c>
      <c r="D106" s="301">
        <v>2019</v>
      </c>
      <c r="E106" s="331" t="s">
        <v>218</v>
      </c>
      <c r="F106" s="301" t="s">
        <v>53</v>
      </c>
      <c r="G106" s="238" t="s">
        <v>53</v>
      </c>
      <c r="H106" s="304">
        <f t="shared" si="26"/>
        <v>200000</v>
      </c>
      <c r="I106" s="304">
        <f t="shared" si="27"/>
        <v>200000</v>
      </c>
      <c r="J106" s="304">
        <f t="shared" si="28"/>
        <v>0</v>
      </c>
      <c r="K106" s="304"/>
      <c r="L106" s="304"/>
      <c r="M106" s="304"/>
      <c r="N106" s="304"/>
      <c r="O106" s="304">
        <f t="shared" si="29"/>
        <v>200000</v>
      </c>
      <c r="P106" s="304"/>
      <c r="Q106" s="304">
        <v>200000</v>
      </c>
      <c r="R106" s="304"/>
      <c r="S106" s="304"/>
      <c r="T106" s="304">
        <f t="shared" si="30"/>
        <v>0</v>
      </c>
      <c r="U106" s="304"/>
      <c r="V106" s="304"/>
      <c r="W106" s="304"/>
      <c r="X106" s="304"/>
      <c r="Y106" s="304">
        <f t="shared" si="31"/>
        <v>0</v>
      </c>
      <c r="Z106" s="304"/>
      <c r="AA106" s="304"/>
      <c r="AB106" s="304"/>
      <c r="AC106" s="304"/>
      <c r="AD106" s="304"/>
      <c r="AE106" s="304"/>
      <c r="AF106" s="304"/>
      <c r="AG106" s="304">
        <f t="shared" si="32"/>
        <v>200000</v>
      </c>
      <c r="AH106" s="304">
        <f t="shared" si="33"/>
        <v>200000</v>
      </c>
      <c r="AI106" s="304">
        <f t="shared" si="34"/>
        <v>0</v>
      </c>
      <c r="AJ106" s="304"/>
      <c r="AK106" s="304"/>
      <c r="AL106" s="304"/>
      <c r="AM106" s="304"/>
      <c r="AN106" s="304">
        <f t="shared" si="35"/>
        <v>200000</v>
      </c>
      <c r="AO106" s="304"/>
      <c r="AP106" s="304">
        <v>200000</v>
      </c>
      <c r="AQ106" s="304"/>
      <c r="AR106" s="304"/>
      <c r="AS106" s="304">
        <f t="shared" si="36"/>
        <v>0</v>
      </c>
      <c r="AT106" s="304"/>
      <c r="AU106" s="304"/>
      <c r="AV106" s="304"/>
      <c r="AW106" s="304"/>
      <c r="AX106" s="304">
        <f t="shared" si="37"/>
        <v>0</v>
      </c>
      <c r="AY106" s="304"/>
      <c r="AZ106" s="304"/>
      <c r="BA106" s="304"/>
      <c r="BB106" s="304"/>
      <c r="BC106" s="304"/>
      <c r="BD106" s="304"/>
      <c r="BE106" s="305">
        <v>0</v>
      </c>
      <c r="BF106" s="238" t="s">
        <v>53</v>
      </c>
      <c r="BG106" s="263" t="s">
        <v>54</v>
      </c>
      <c r="BH106" s="306" t="s">
        <v>101</v>
      </c>
    </row>
    <row r="107" s="270" customFormat="1" ht="15" hidden="1" spans="1:60">
      <c r="A107" s="301">
        <v>100</v>
      </c>
      <c r="B107" s="302" t="s">
        <v>19</v>
      </c>
      <c r="C107" s="302" t="s">
        <v>20</v>
      </c>
      <c r="D107" s="301">
        <v>2019</v>
      </c>
      <c r="E107" s="303" t="s">
        <v>219</v>
      </c>
      <c r="F107" s="301" t="s">
        <v>53</v>
      </c>
      <c r="G107" s="238" t="s">
        <v>53</v>
      </c>
      <c r="H107" s="304">
        <f t="shared" si="26"/>
        <v>410300</v>
      </c>
      <c r="I107" s="304">
        <f t="shared" si="27"/>
        <v>300000</v>
      </c>
      <c r="J107" s="304">
        <f t="shared" si="28"/>
        <v>0</v>
      </c>
      <c r="K107" s="304"/>
      <c r="L107" s="304"/>
      <c r="M107" s="304"/>
      <c r="N107" s="304"/>
      <c r="O107" s="304">
        <f t="shared" si="29"/>
        <v>300000</v>
      </c>
      <c r="P107" s="304"/>
      <c r="Q107" s="304">
        <v>300000</v>
      </c>
      <c r="R107" s="304"/>
      <c r="S107" s="304"/>
      <c r="T107" s="304">
        <f t="shared" si="30"/>
        <v>0</v>
      </c>
      <c r="U107" s="304"/>
      <c r="V107" s="304"/>
      <c r="W107" s="304"/>
      <c r="X107" s="304"/>
      <c r="Y107" s="304">
        <f t="shared" si="31"/>
        <v>0</v>
      </c>
      <c r="Z107" s="304"/>
      <c r="AA107" s="304"/>
      <c r="AB107" s="304"/>
      <c r="AC107" s="304"/>
      <c r="AD107" s="304"/>
      <c r="AE107" s="304"/>
      <c r="AF107" s="304">
        <v>110300</v>
      </c>
      <c r="AG107" s="304">
        <f t="shared" si="32"/>
        <v>410300</v>
      </c>
      <c r="AH107" s="304">
        <f t="shared" si="33"/>
        <v>300000</v>
      </c>
      <c r="AI107" s="304">
        <f t="shared" si="34"/>
        <v>0</v>
      </c>
      <c r="AJ107" s="304"/>
      <c r="AK107" s="304"/>
      <c r="AL107" s="304"/>
      <c r="AM107" s="304"/>
      <c r="AN107" s="304">
        <f t="shared" si="35"/>
        <v>300000</v>
      </c>
      <c r="AO107" s="304"/>
      <c r="AP107" s="304">
        <v>300000</v>
      </c>
      <c r="AQ107" s="304"/>
      <c r="AR107" s="304"/>
      <c r="AS107" s="304">
        <f t="shared" si="36"/>
        <v>0</v>
      </c>
      <c r="AT107" s="304"/>
      <c r="AU107" s="304"/>
      <c r="AV107" s="304"/>
      <c r="AW107" s="304"/>
      <c r="AX107" s="304">
        <f t="shared" si="37"/>
        <v>0</v>
      </c>
      <c r="AY107" s="304"/>
      <c r="AZ107" s="304"/>
      <c r="BA107" s="304"/>
      <c r="BB107" s="304"/>
      <c r="BC107" s="304"/>
      <c r="BD107" s="304"/>
      <c r="BE107" s="305">
        <v>110300</v>
      </c>
      <c r="BF107" s="238" t="s">
        <v>53</v>
      </c>
      <c r="BG107" s="263" t="s">
        <v>54</v>
      </c>
      <c r="BH107" s="306"/>
    </row>
    <row r="108" s="79" customFormat="1" ht="15" hidden="1" spans="1:60">
      <c r="A108" s="301">
        <v>101</v>
      </c>
      <c r="B108" s="334" t="s">
        <v>19</v>
      </c>
      <c r="C108" s="334" t="s">
        <v>20</v>
      </c>
      <c r="D108" s="335">
        <v>2019</v>
      </c>
      <c r="E108" s="340" t="s">
        <v>220</v>
      </c>
      <c r="F108" s="335" t="s">
        <v>53</v>
      </c>
      <c r="G108" s="146" t="s">
        <v>53</v>
      </c>
      <c r="H108" s="337">
        <f t="shared" si="26"/>
        <v>1500000</v>
      </c>
      <c r="I108" s="337">
        <f t="shared" si="27"/>
        <v>1500000</v>
      </c>
      <c r="J108" s="337">
        <f t="shared" si="28"/>
        <v>0</v>
      </c>
      <c r="K108" s="337"/>
      <c r="L108" s="337"/>
      <c r="M108" s="337"/>
      <c r="N108" s="337"/>
      <c r="O108" s="337">
        <f t="shared" si="29"/>
        <v>1500000</v>
      </c>
      <c r="P108" s="337"/>
      <c r="Q108" s="337"/>
      <c r="R108" s="337">
        <v>1500000</v>
      </c>
      <c r="S108" s="337"/>
      <c r="T108" s="337">
        <f t="shared" si="30"/>
        <v>0</v>
      </c>
      <c r="U108" s="337"/>
      <c r="V108" s="337"/>
      <c r="W108" s="337"/>
      <c r="X108" s="337"/>
      <c r="Y108" s="337">
        <f t="shared" si="31"/>
        <v>0</v>
      </c>
      <c r="Z108" s="337"/>
      <c r="AA108" s="337"/>
      <c r="AB108" s="337"/>
      <c r="AC108" s="337"/>
      <c r="AD108" s="337"/>
      <c r="AE108" s="337"/>
      <c r="AF108" s="337"/>
      <c r="AG108" s="337">
        <f t="shared" si="32"/>
        <v>1500000</v>
      </c>
      <c r="AH108" s="337">
        <f t="shared" si="33"/>
        <v>1500000</v>
      </c>
      <c r="AI108" s="337">
        <f t="shared" si="34"/>
        <v>0</v>
      </c>
      <c r="AJ108" s="337"/>
      <c r="AK108" s="337"/>
      <c r="AL108" s="337"/>
      <c r="AM108" s="337"/>
      <c r="AN108" s="337">
        <f t="shared" si="35"/>
        <v>1500000</v>
      </c>
      <c r="AO108" s="337"/>
      <c r="AP108" s="337"/>
      <c r="AQ108" s="337">
        <v>1500000</v>
      </c>
      <c r="AR108" s="337"/>
      <c r="AS108" s="337">
        <f t="shared" si="36"/>
        <v>0</v>
      </c>
      <c r="AT108" s="337"/>
      <c r="AU108" s="337"/>
      <c r="AV108" s="337"/>
      <c r="AW108" s="337"/>
      <c r="AX108" s="337">
        <f t="shared" si="37"/>
        <v>0</v>
      </c>
      <c r="AY108" s="337"/>
      <c r="AZ108" s="337"/>
      <c r="BA108" s="337"/>
      <c r="BB108" s="337"/>
      <c r="BC108" s="337"/>
      <c r="BD108" s="337"/>
      <c r="BE108" s="338">
        <v>0</v>
      </c>
      <c r="BF108" s="139" t="s">
        <v>56</v>
      </c>
      <c r="BG108" s="339" t="s">
        <v>221</v>
      </c>
      <c r="BH108" s="147" t="s">
        <v>210</v>
      </c>
    </row>
    <row r="109" s="270" customFormat="1" ht="15" hidden="1" spans="1:60">
      <c r="A109" s="301">
        <v>102</v>
      </c>
      <c r="B109" s="302" t="s">
        <v>19</v>
      </c>
      <c r="C109" s="302" t="s">
        <v>20</v>
      </c>
      <c r="D109" s="301">
        <v>2019</v>
      </c>
      <c r="E109" s="303" t="s">
        <v>222</v>
      </c>
      <c r="F109" s="301" t="s">
        <v>53</v>
      </c>
      <c r="G109" s="238" t="s">
        <v>53</v>
      </c>
      <c r="H109" s="304">
        <f t="shared" si="26"/>
        <v>500000</v>
      </c>
      <c r="I109" s="304">
        <f t="shared" si="27"/>
        <v>500000</v>
      </c>
      <c r="J109" s="304">
        <f t="shared" si="28"/>
        <v>0</v>
      </c>
      <c r="K109" s="304"/>
      <c r="L109" s="304"/>
      <c r="M109" s="304"/>
      <c r="N109" s="304"/>
      <c r="O109" s="304">
        <f t="shared" si="29"/>
        <v>500000</v>
      </c>
      <c r="P109" s="304">
        <v>500000</v>
      </c>
      <c r="Q109" s="304"/>
      <c r="R109" s="304"/>
      <c r="S109" s="304"/>
      <c r="T109" s="304">
        <f t="shared" si="30"/>
        <v>0</v>
      </c>
      <c r="U109" s="304"/>
      <c r="V109" s="304"/>
      <c r="W109" s="304"/>
      <c r="X109" s="304"/>
      <c r="Y109" s="304">
        <f t="shared" si="31"/>
        <v>0</v>
      </c>
      <c r="Z109" s="304"/>
      <c r="AA109" s="304"/>
      <c r="AB109" s="304"/>
      <c r="AC109" s="304"/>
      <c r="AD109" s="304"/>
      <c r="AE109" s="304"/>
      <c r="AF109" s="304"/>
      <c r="AG109" s="304">
        <f t="shared" si="32"/>
        <v>500000</v>
      </c>
      <c r="AH109" s="304">
        <f t="shared" si="33"/>
        <v>500000</v>
      </c>
      <c r="AI109" s="304">
        <f t="shared" si="34"/>
        <v>0</v>
      </c>
      <c r="AJ109" s="304"/>
      <c r="AK109" s="304"/>
      <c r="AL109" s="304"/>
      <c r="AM109" s="304"/>
      <c r="AN109" s="304">
        <f t="shared" si="35"/>
        <v>500000</v>
      </c>
      <c r="AO109" s="304">
        <v>500000</v>
      </c>
      <c r="AP109" s="304"/>
      <c r="AQ109" s="304"/>
      <c r="AR109" s="304"/>
      <c r="AS109" s="304">
        <f t="shared" si="36"/>
        <v>0</v>
      </c>
      <c r="AT109" s="304"/>
      <c r="AU109" s="304"/>
      <c r="AV109" s="304"/>
      <c r="AW109" s="304"/>
      <c r="AX109" s="304">
        <f t="shared" si="37"/>
        <v>0</v>
      </c>
      <c r="AY109" s="304"/>
      <c r="AZ109" s="304"/>
      <c r="BA109" s="304"/>
      <c r="BB109" s="304"/>
      <c r="BC109" s="304"/>
      <c r="BD109" s="304"/>
      <c r="BE109" s="305">
        <v>0</v>
      </c>
      <c r="BF109" s="238" t="s">
        <v>53</v>
      </c>
      <c r="BG109" s="263" t="s">
        <v>54</v>
      </c>
      <c r="BH109" s="306" t="s">
        <v>67</v>
      </c>
    </row>
    <row r="110" s="270" customFormat="1" ht="15" hidden="1" spans="1:60">
      <c r="A110" s="301">
        <v>103</v>
      </c>
      <c r="B110" s="302" t="s">
        <v>19</v>
      </c>
      <c r="C110" s="302" t="s">
        <v>20</v>
      </c>
      <c r="D110" s="301">
        <v>2019</v>
      </c>
      <c r="E110" s="303" t="s">
        <v>223</v>
      </c>
      <c r="F110" s="301" t="s">
        <v>53</v>
      </c>
      <c r="G110" s="238" t="s">
        <v>53</v>
      </c>
      <c r="H110" s="304">
        <f t="shared" si="26"/>
        <v>2659300</v>
      </c>
      <c r="I110" s="304">
        <f t="shared" si="27"/>
        <v>2659300</v>
      </c>
      <c r="J110" s="304">
        <f t="shared" si="28"/>
        <v>0</v>
      </c>
      <c r="K110" s="304"/>
      <c r="L110" s="304"/>
      <c r="M110" s="304"/>
      <c r="N110" s="304"/>
      <c r="O110" s="304">
        <f t="shared" si="29"/>
        <v>2659300</v>
      </c>
      <c r="P110" s="304">
        <v>2659300</v>
      </c>
      <c r="Q110" s="304"/>
      <c r="R110" s="304"/>
      <c r="S110" s="304"/>
      <c r="T110" s="304">
        <f t="shared" si="30"/>
        <v>0</v>
      </c>
      <c r="U110" s="304"/>
      <c r="V110" s="304"/>
      <c r="W110" s="304"/>
      <c r="X110" s="304"/>
      <c r="Y110" s="304">
        <f t="shared" si="31"/>
        <v>0</v>
      </c>
      <c r="Z110" s="304"/>
      <c r="AA110" s="304"/>
      <c r="AB110" s="304"/>
      <c r="AC110" s="304"/>
      <c r="AD110" s="304"/>
      <c r="AE110" s="304"/>
      <c r="AF110" s="304"/>
      <c r="AG110" s="304">
        <f t="shared" si="32"/>
        <v>2518636.32</v>
      </c>
      <c r="AH110" s="304">
        <f t="shared" si="33"/>
        <v>2518636.32</v>
      </c>
      <c r="AI110" s="304">
        <f t="shared" si="34"/>
        <v>0</v>
      </c>
      <c r="AJ110" s="304"/>
      <c r="AK110" s="304"/>
      <c r="AL110" s="304"/>
      <c r="AM110" s="304"/>
      <c r="AN110" s="304">
        <f t="shared" si="35"/>
        <v>2518636.32</v>
      </c>
      <c r="AO110" s="304">
        <v>2518636.32</v>
      </c>
      <c r="AP110" s="304"/>
      <c r="AQ110" s="304"/>
      <c r="AR110" s="304"/>
      <c r="AS110" s="304">
        <f t="shared" si="36"/>
        <v>0</v>
      </c>
      <c r="AT110" s="304"/>
      <c r="AU110" s="304"/>
      <c r="AV110" s="304"/>
      <c r="AW110" s="304"/>
      <c r="AX110" s="304">
        <f t="shared" si="37"/>
        <v>0</v>
      </c>
      <c r="AY110" s="304"/>
      <c r="AZ110" s="304"/>
      <c r="BA110" s="304"/>
      <c r="BB110" s="304"/>
      <c r="BC110" s="304"/>
      <c r="BD110" s="304"/>
      <c r="BE110" s="305">
        <v>0</v>
      </c>
      <c r="BF110" s="238" t="s">
        <v>53</v>
      </c>
      <c r="BG110" s="263" t="s">
        <v>70</v>
      </c>
      <c r="BH110" s="306" t="s">
        <v>131</v>
      </c>
    </row>
    <row r="111" s="270" customFormat="1" ht="15" hidden="1" spans="1:60">
      <c r="A111" s="301">
        <v>104</v>
      </c>
      <c r="B111" s="302" t="s">
        <v>19</v>
      </c>
      <c r="C111" s="302" t="s">
        <v>20</v>
      </c>
      <c r="D111" s="301">
        <v>2019</v>
      </c>
      <c r="E111" s="303" t="s">
        <v>224</v>
      </c>
      <c r="F111" s="301" t="s">
        <v>53</v>
      </c>
      <c r="G111" s="238" t="s">
        <v>53</v>
      </c>
      <c r="H111" s="304">
        <f t="shared" si="26"/>
        <v>2059300</v>
      </c>
      <c r="I111" s="304">
        <f t="shared" si="27"/>
        <v>2059300</v>
      </c>
      <c r="J111" s="304">
        <f t="shared" si="28"/>
        <v>0</v>
      </c>
      <c r="K111" s="304"/>
      <c r="L111" s="304"/>
      <c r="M111" s="304"/>
      <c r="N111" s="304"/>
      <c r="O111" s="304">
        <f t="shared" si="29"/>
        <v>2059300</v>
      </c>
      <c r="P111" s="304">
        <v>2059300</v>
      </c>
      <c r="Q111" s="304"/>
      <c r="R111" s="304"/>
      <c r="S111" s="304"/>
      <c r="T111" s="304">
        <f t="shared" si="30"/>
        <v>0</v>
      </c>
      <c r="U111" s="304"/>
      <c r="V111" s="304"/>
      <c r="W111" s="304"/>
      <c r="X111" s="304"/>
      <c r="Y111" s="304">
        <f t="shared" si="31"/>
        <v>0</v>
      </c>
      <c r="Z111" s="304"/>
      <c r="AA111" s="304"/>
      <c r="AB111" s="304"/>
      <c r="AC111" s="304"/>
      <c r="AD111" s="304"/>
      <c r="AE111" s="304"/>
      <c r="AF111" s="304"/>
      <c r="AG111" s="304">
        <f t="shared" si="32"/>
        <v>1856942.16</v>
      </c>
      <c r="AH111" s="304">
        <f t="shared" si="33"/>
        <v>1856942.16</v>
      </c>
      <c r="AI111" s="304">
        <f t="shared" si="34"/>
        <v>0</v>
      </c>
      <c r="AJ111" s="304"/>
      <c r="AK111" s="304"/>
      <c r="AL111" s="304"/>
      <c r="AM111" s="304"/>
      <c r="AN111" s="304">
        <f t="shared" si="35"/>
        <v>1856942.16</v>
      </c>
      <c r="AO111" s="304">
        <v>1856942.16</v>
      </c>
      <c r="AP111" s="304"/>
      <c r="AQ111" s="304"/>
      <c r="AR111" s="304"/>
      <c r="AS111" s="304">
        <f t="shared" si="36"/>
        <v>0</v>
      </c>
      <c r="AT111" s="304"/>
      <c r="AU111" s="304"/>
      <c r="AV111" s="304"/>
      <c r="AW111" s="304"/>
      <c r="AX111" s="304">
        <f t="shared" si="37"/>
        <v>0</v>
      </c>
      <c r="AY111" s="304"/>
      <c r="AZ111" s="304"/>
      <c r="BA111" s="304"/>
      <c r="BB111" s="304"/>
      <c r="BC111" s="304"/>
      <c r="BD111" s="304"/>
      <c r="BE111" s="305">
        <v>0</v>
      </c>
      <c r="BF111" s="238" t="s">
        <v>53</v>
      </c>
      <c r="BG111" s="263" t="s">
        <v>70</v>
      </c>
      <c r="BH111" s="306" t="s">
        <v>82</v>
      </c>
    </row>
    <row r="112" s="77" customFormat="1" ht="15" hidden="1" spans="1:60">
      <c r="A112" s="301">
        <v>105</v>
      </c>
      <c r="B112" s="307" t="s">
        <v>19</v>
      </c>
      <c r="C112" s="307" t="s">
        <v>20</v>
      </c>
      <c r="D112" s="308">
        <v>2019</v>
      </c>
      <c r="E112" s="313" t="s">
        <v>225</v>
      </c>
      <c r="F112" s="308" t="s">
        <v>53</v>
      </c>
      <c r="G112" s="127" t="s">
        <v>53</v>
      </c>
      <c r="H112" s="310">
        <f t="shared" si="26"/>
        <v>850000</v>
      </c>
      <c r="I112" s="310">
        <f t="shared" si="27"/>
        <v>850000</v>
      </c>
      <c r="J112" s="310">
        <f t="shared" si="28"/>
        <v>0</v>
      </c>
      <c r="K112" s="310"/>
      <c r="L112" s="310"/>
      <c r="M112" s="310"/>
      <c r="N112" s="310"/>
      <c r="O112" s="310">
        <f t="shared" si="29"/>
        <v>850000</v>
      </c>
      <c r="P112" s="310"/>
      <c r="Q112" s="310"/>
      <c r="R112" s="310">
        <v>850000</v>
      </c>
      <c r="S112" s="310"/>
      <c r="T112" s="310">
        <f t="shared" si="30"/>
        <v>0</v>
      </c>
      <c r="U112" s="310"/>
      <c r="V112" s="310"/>
      <c r="W112" s="310"/>
      <c r="X112" s="310"/>
      <c r="Y112" s="310">
        <f t="shared" si="31"/>
        <v>0</v>
      </c>
      <c r="Z112" s="310"/>
      <c r="AA112" s="310"/>
      <c r="AB112" s="310"/>
      <c r="AC112" s="310"/>
      <c r="AD112" s="310"/>
      <c r="AE112" s="310"/>
      <c r="AF112" s="310"/>
      <c r="AG112" s="310">
        <f t="shared" si="32"/>
        <v>808182.07</v>
      </c>
      <c r="AH112" s="310">
        <f t="shared" si="33"/>
        <v>808182.07</v>
      </c>
      <c r="AI112" s="310">
        <f t="shared" si="34"/>
        <v>0</v>
      </c>
      <c r="AJ112" s="310"/>
      <c r="AK112" s="310"/>
      <c r="AL112" s="310"/>
      <c r="AM112" s="310"/>
      <c r="AN112" s="310">
        <f t="shared" si="35"/>
        <v>808182.07</v>
      </c>
      <c r="AO112" s="310"/>
      <c r="AP112" s="310"/>
      <c r="AQ112" s="310">
        <v>808182.07</v>
      </c>
      <c r="AR112" s="310"/>
      <c r="AS112" s="310">
        <f t="shared" si="36"/>
        <v>0</v>
      </c>
      <c r="AT112" s="310"/>
      <c r="AU112" s="310"/>
      <c r="AV112" s="310"/>
      <c r="AW112" s="310"/>
      <c r="AX112" s="310">
        <f t="shared" si="37"/>
        <v>0</v>
      </c>
      <c r="AY112" s="310"/>
      <c r="AZ112" s="310"/>
      <c r="BA112" s="310"/>
      <c r="BB112" s="310"/>
      <c r="BC112" s="310"/>
      <c r="BD112" s="310"/>
      <c r="BE112" s="312">
        <v>0</v>
      </c>
      <c r="BF112" s="127" t="s">
        <v>56</v>
      </c>
      <c r="BG112" s="128" t="s">
        <v>162</v>
      </c>
      <c r="BH112" s="133" t="s">
        <v>124</v>
      </c>
    </row>
    <row r="113" s="78" customFormat="1" ht="15" hidden="1" spans="1:60">
      <c r="A113" s="301">
        <v>106</v>
      </c>
      <c r="B113" s="307" t="s">
        <v>19</v>
      </c>
      <c r="C113" s="307" t="s">
        <v>20</v>
      </c>
      <c r="D113" s="308">
        <v>2020</v>
      </c>
      <c r="E113" s="313" t="s">
        <v>226</v>
      </c>
      <c r="F113" s="308" t="s">
        <v>53</v>
      </c>
      <c r="G113" s="127" t="s">
        <v>53</v>
      </c>
      <c r="H113" s="310">
        <f t="shared" si="26"/>
        <v>600000</v>
      </c>
      <c r="I113" s="310">
        <f t="shared" si="27"/>
        <v>600000</v>
      </c>
      <c r="J113" s="310">
        <f t="shared" si="28"/>
        <v>0</v>
      </c>
      <c r="K113" s="310"/>
      <c r="L113" s="310"/>
      <c r="M113" s="310"/>
      <c r="N113" s="310"/>
      <c r="O113" s="310">
        <f t="shared" si="29"/>
        <v>600000</v>
      </c>
      <c r="P113" s="310"/>
      <c r="Q113" s="310"/>
      <c r="R113" s="310">
        <v>600000</v>
      </c>
      <c r="S113" s="310"/>
      <c r="T113" s="310">
        <f t="shared" si="30"/>
        <v>0</v>
      </c>
      <c r="U113" s="310"/>
      <c r="V113" s="310"/>
      <c r="W113" s="310"/>
      <c r="X113" s="310"/>
      <c r="Y113" s="310">
        <f t="shared" si="31"/>
        <v>0</v>
      </c>
      <c r="Z113" s="310"/>
      <c r="AA113" s="310"/>
      <c r="AB113" s="310"/>
      <c r="AC113" s="310"/>
      <c r="AD113" s="310"/>
      <c r="AE113" s="310"/>
      <c r="AF113" s="310"/>
      <c r="AG113" s="310">
        <f t="shared" si="32"/>
        <v>552418.53</v>
      </c>
      <c r="AH113" s="310">
        <f t="shared" si="33"/>
        <v>552418.53</v>
      </c>
      <c r="AI113" s="310">
        <f t="shared" si="34"/>
        <v>0</v>
      </c>
      <c r="AJ113" s="310"/>
      <c r="AK113" s="310"/>
      <c r="AL113" s="310"/>
      <c r="AM113" s="310"/>
      <c r="AN113" s="310">
        <f t="shared" si="35"/>
        <v>552418.53</v>
      </c>
      <c r="AO113" s="310"/>
      <c r="AP113" s="310"/>
      <c r="AQ113" s="310">
        <v>552418.53</v>
      </c>
      <c r="AR113" s="310"/>
      <c r="AS113" s="310">
        <f t="shared" si="36"/>
        <v>0</v>
      </c>
      <c r="AT113" s="310"/>
      <c r="AU113" s="310"/>
      <c r="AV113" s="310"/>
      <c r="AW113" s="310"/>
      <c r="AX113" s="310">
        <f t="shared" si="37"/>
        <v>0</v>
      </c>
      <c r="AY113" s="310"/>
      <c r="AZ113" s="310"/>
      <c r="BA113" s="310"/>
      <c r="BB113" s="310"/>
      <c r="BC113" s="310"/>
      <c r="BD113" s="310"/>
      <c r="BE113" s="312">
        <v>0</v>
      </c>
      <c r="BF113" s="134" t="s">
        <v>56</v>
      </c>
      <c r="BG113" s="315" t="s">
        <v>162</v>
      </c>
      <c r="BH113" s="137" t="s">
        <v>124</v>
      </c>
    </row>
    <row r="114" s="270" customFormat="1" ht="15" hidden="1" spans="1:60">
      <c r="A114" s="301">
        <v>107</v>
      </c>
      <c r="B114" s="302" t="s">
        <v>19</v>
      </c>
      <c r="C114" s="302" t="s">
        <v>20</v>
      </c>
      <c r="D114" s="301">
        <v>2020</v>
      </c>
      <c r="E114" s="303" t="s">
        <v>227</v>
      </c>
      <c r="F114" s="301" t="s">
        <v>53</v>
      </c>
      <c r="G114" s="238" t="s">
        <v>53</v>
      </c>
      <c r="H114" s="304">
        <f t="shared" si="26"/>
        <v>1500000</v>
      </c>
      <c r="I114" s="304">
        <f t="shared" si="27"/>
        <v>1500000</v>
      </c>
      <c r="J114" s="304">
        <f t="shared" si="28"/>
        <v>0</v>
      </c>
      <c r="K114" s="304"/>
      <c r="L114" s="304"/>
      <c r="M114" s="304"/>
      <c r="N114" s="304"/>
      <c r="O114" s="304">
        <f t="shared" si="29"/>
        <v>1500000</v>
      </c>
      <c r="P114" s="304">
        <v>1500000</v>
      </c>
      <c r="Q114" s="304"/>
      <c r="R114" s="304"/>
      <c r="S114" s="304"/>
      <c r="T114" s="304">
        <f t="shared" si="30"/>
        <v>0</v>
      </c>
      <c r="U114" s="304"/>
      <c r="V114" s="304"/>
      <c r="W114" s="304"/>
      <c r="X114" s="304"/>
      <c r="Y114" s="304">
        <f t="shared" si="31"/>
        <v>0</v>
      </c>
      <c r="Z114" s="304"/>
      <c r="AA114" s="304"/>
      <c r="AB114" s="304"/>
      <c r="AC114" s="304"/>
      <c r="AD114" s="304"/>
      <c r="AE114" s="304"/>
      <c r="AF114" s="304"/>
      <c r="AG114" s="304">
        <f t="shared" si="32"/>
        <v>1416105.93</v>
      </c>
      <c r="AH114" s="304">
        <f t="shared" si="33"/>
        <v>1416105.93</v>
      </c>
      <c r="AI114" s="304">
        <f t="shared" si="34"/>
        <v>0</v>
      </c>
      <c r="AJ114" s="304"/>
      <c r="AK114" s="304"/>
      <c r="AL114" s="304"/>
      <c r="AM114" s="304"/>
      <c r="AN114" s="304">
        <f t="shared" si="35"/>
        <v>1416105.93</v>
      </c>
      <c r="AO114" s="304">
        <v>1416105.93</v>
      </c>
      <c r="AP114" s="304"/>
      <c r="AQ114" s="304"/>
      <c r="AR114" s="304"/>
      <c r="AS114" s="304">
        <f t="shared" si="36"/>
        <v>0</v>
      </c>
      <c r="AT114" s="304"/>
      <c r="AU114" s="304"/>
      <c r="AV114" s="304"/>
      <c r="AW114" s="304"/>
      <c r="AX114" s="304">
        <f t="shared" si="37"/>
        <v>0</v>
      </c>
      <c r="AY114" s="304"/>
      <c r="AZ114" s="304"/>
      <c r="BA114" s="304"/>
      <c r="BB114" s="304"/>
      <c r="BC114" s="304"/>
      <c r="BD114" s="304"/>
      <c r="BE114" s="305">
        <v>0</v>
      </c>
      <c r="BF114" s="238" t="s">
        <v>53</v>
      </c>
      <c r="BG114" s="263" t="s">
        <v>70</v>
      </c>
      <c r="BH114" s="306"/>
    </row>
    <row r="115" s="270" customFormat="1" ht="15" hidden="1" spans="1:60">
      <c r="A115" s="301">
        <v>108</v>
      </c>
      <c r="B115" s="302" t="s">
        <v>19</v>
      </c>
      <c r="C115" s="302" t="s">
        <v>20</v>
      </c>
      <c r="D115" s="301">
        <v>2020</v>
      </c>
      <c r="E115" s="303" t="s">
        <v>228</v>
      </c>
      <c r="F115" s="301" t="s">
        <v>53</v>
      </c>
      <c r="G115" s="238" t="s">
        <v>53</v>
      </c>
      <c r="H115" s="304">
        <f t="shared" si="26"/>
        <v>430000</v>
      </c>
      <c r="I115" s="304">
        <f t="shared" si="27"/>
        <v>430000</v>
      </c>
      <c r="J115" s="304">
        <f t="shared" si="28"/>
        <v>0</v>
      </c>
      <c r="K115" s="304"/>
      <c r="L115" s="304"/>
      <c r="M115" s="304"/>
      <c r="N115" s="304"/>
      <c r="O115" s="304">
        <f t="shared" si="29"/>
        <v>430000</v>
      </c>
      <c r="P115" s="304"/>
      <c r="Q115" s="304">
        <v>430000</v>
      </c>
      <c r="R115" s="304"/>
      <c r="S115" s="304"/>
      <c r="T115" s="304">
        <f t="shared" si="30"/>
        <v>0</v>
      </c>
      <c r="U115" s="304"/>
      <c r="V115" s="304"/>
      <c r="W115" s="304"/>
      <c r="X115" s="304"/>
      <c r="Y115" s="304">
        <f t="shared" si="31"/>
        <v>0</v>
      </c>
      <c r="Z115" s="304"/>
      <c r="AA115" s="304"/>
      <c r="AB115" s="304"/>
      <c r="AC115" s="304"/>
      <c r="AD115" s="304"/>
      <c r="AE115" s="304"/>
      <c r="AF115" s="304"/>
      <c r="AG115" s="304">
        <f t="shared" si="32"/>
        <v>430000</v>
      </c>
      <c r="AH115" s="304">
        <f t="shared" si="33"/>
        <v>430000</v>
      </c>
      <c r="AI115" s="304">
        <f t="shared" si="34"/>
        <v>0</v>
      </c>
      <c r="AJ115" s="304"/>
      <c r="AK115" s="304"/>
      <c r="AL115" s="304"/>
      <c r="AM115" s="304"/>
      <c r="AN115" s="304">
        <f t="shared" si="35"/>
        <v>430000</v>
      </c>
      <c r="AO115" s="304"/>
      <c r="AP115" s="304">
        <v>430000</v>
      </c>
      <c r="AQ115" s="304"/>
      <c r="AR115" s="304"/>
      <c r="AS115" s="304">
        <f t="shared" si="36"/>
        <v>0</v>
      </c>
      <c r="AT115" s="304"/>
      <c r="AU115" s="304"/>
      <c r="AV115" s="304"/>
      <c r="AW115" s="304"/>
      <c r="AX115" s="304">
        <f t="shared" si="37"/>
        <v>0</v>
      </c>
      <c r="AY115" s="304"/>
      <c r="AZ115" s="304"/>
      <c r="BA115" s="304"/>
      <c r="BB115" s="304"/>
      <c r="BC115" s="304"/>
      <c r="BD115" s="304"/>
      <c r="BE115" s="305">
        <v>0</v>
      </c>
      <c r="BF115" s="238" t="s">
        <v>53</v>
      </c>
      <c r="BG115" s="263" t="s">
        <v>54</v>
      </c>
      <c r="BH115" s="306"/>
    </row>
    <row r="116" s="270" customFormat="1" ht="15" hidden="1" spans="1:60">
      <c r="A116" s="301">
        <v>109</v>
      </c>
      <c r="B116" s="302" t="s">
        <v>19</v>
      </c>
      <c r="C116" s="302" t="s">
        <v>20</v>
      </c>
      <c r="D116" s="301">
        <v>2020</v>
      </c>
      <c r="E116" s="303" t="s">
        <v>229</v>
      </c>
      <c r="F116" s="301" t="s">
        <v>53</v>
      </c>
      <c r="G116" s="238" t="s">
        <v>53</v>
      </c>
      <c r="H116" s="304">
        <f t="shared" si="26"/>
        <v>1630000</v>
      </c>
      <c r="I116" s="304">
        <f t="shared" si="27"/>
        <v>1630000</v>
      </c>
      <c r="J116" s="304">
        <f t="shared" si="28"/>
        <v>0</v>
      </c>
      <c r="K116" s="304"/>
      <c r="L116" s="304"/>
      <c r="M116" s="304"/>
      <c r="N116" s="304"/>
      <c r="O116" s="304">
        <f t="shared" si="29"/>
        <v>1630000</v>
      </c>
      <c r="P116" s="304"/>
      <c r="Q116" s="304">
        <v>1630000</v>
      </c>
      <c r="R116" s="304"/>
      <c r="S116" s="304"/>
      <c r="T116" s="304">
        <f t="shared" si="30"/>
        <v>0</v>
      </c>
      <c r="U116" s="304"/>
      <c r="V116" s="304"/>
      <c r="W116" s="304"/>
      <c r="X116" s="304"/>
      <c r="Y116" s="304">
        <f t="shared" si="31"/>
        <v>0</v>
      </c>
      <c r="Z116" s="304"/>
      <c r="AA116" s="304"/>
      <c r="AB116" s="304"/>
      <c r="AC116" s="304"/>
      <c r="AD116" s="304"/>
      <c r="AE116" s="304"/>
      <c r="AF116" s="304"/>
      <c r="AG116" s="304">
        <f t="shared" si="32"/>
        <v>1630000</v>
      </c>
      <c r="AH116" s="304">
        <f t="shared" si="33"/>
        <v>1630000</v>
      </c>
      <c r="AI116" s="304">
        <f t="shared" si="34"/>
        <v>0</v>
      </c>
      <c r="AJ116" s="304"/>
      <c r="AK116" s="304"/>
      <c r="AL116" s="304"/>
      <c r="AM116" s="304"/>
      <c r="AN116" s="304">
        <f t="shared" si="35"/>
        <v>1630000</v>
      </c>
      <c r="AO116" s="304"/>
      <c r="AP116" s="304">
        <v>1630000</v>
      </c>
      <c r="AQ116" s="304"/>
      <c r="AR116" s="304"/>
      <c r="AS116" s="304">
        <f t="shared" si="36"/>
        <v>0</v>
      </c>
      <c r="AT116" s="304"/>
      <c r="AU116" s="304"/>
      <c r="AV116" s="304"/>
      <c r="AW116" s="304"/>
      <c r="AX116" s="304">
        <f t="shared" si="37"/>
        <v>0</v>
      </c>
      <c r="AY116" s="304"/>
      <c r="AZ116" s="304"/>
      <c r="BA116" s="304"/>
      <c r="BB116" s="304"/>
      <c r="BC116" s="304"/>
      <c r="BD116" s="304"/>
      <c r="BE116" s="305">
        <v>0</v>
      </c>
      <c r="BF116" s="238" t="s">
        <v>53</v>
      </c>
      <c r="BG116" s="263" t="s">
        <v>54</v>
      </c>
      <c r="BH116" s="306" t="s">
        <v>230</v>
      </c>
    </row>
    <row r="117" s="270" customFormat="1" ht="15" hidden="1" spans="1:60">
      <c r="A117" s="301">
        <v>110</v>
      </c>
      <c r="B117" s="302" t="s">
        <v>19</v>
      </c>
      <c r="C117" s="302" t="s">
        <v>20</v>
      </c>
      <c r="D117" s="301">
        <v>2020</v>
      </c>
      <c r="E117" s="303" t="s">
        <v>231</v>
      </c>
      <c r="F117" s="301" t="s">
        <v>53</v>
      </c>
      <c r="G117" s="238" t="s">
        <v>53</v>
      </c>
      <c r="H117" s="304">
        <f t="shared" si="26"/>
        <v>3120000</v>
      </c>
      <c r="I117" s="304">
        <f t="shared" si="27"/>
        <v>3120000</v>
      </c>
      <c r="J117" s="304">
        <f t="shared" si="28"/>
        <v>0</v>
      </c>
      <c r="K117" s="304"/>
      <c r="L117" s="304"/>
      <c r="M117" s="304"/>
      <c r="N117" s="304"/>
      <c r="O117" s="304">
        <f t="shared" si="29"/>
        <v>3120000</v>
      </c>
      <c r="P117" s="304"/>
      <c r="Q117" s="304">
        <v>3120000</v>
      </c>
      <c r="R117" s="304"/>
      <c r="S117" s="304"/>
      <c r="T117" s="304">
        <f t="shared" si="30"/>
        <v>0</v>
      </c>
      <c r="U117" s="304"/>
      <c r="V117" s="304"/>
      <c r="W117" s="304"/>
      <c r="X117" s="304"/>
      <c r="Y117" s="304">
        <f t="shared" si="31"/>
        <v>0</v>
      </c>
      <c r="Z117" s="304"/>
      <c r="AA117" s="304"/>
      <c r="AB117" s="304"/>
      <c r="AC117" s="304"/>
      <c r="AD117" s="304"/>
      <c r="AE117" s="304"/>
      <c r="AF117" s="304"/>
      <c r="AG117" s="304">
        <f t="shared" si="32"/>
        <v>3120000</v>
      </c>
      <c r="AH117" s="304">
        <f t="shared" si="33"/>
        <v>3120000</v>
      </c>
      <c r="AI117" s="304">
        <f t="shared" si="34"/>
        <v>0</v>
      </c>
      <c r="AJ117" s="304"/>
      <c r="AK117" s="304"/>
      <c r="AL117" s="304"/>
      <c r="AM117" s="304"/>
      <c r="AN117" s="304">
        <f t="shared" si="35"/>
        <v>3120000</v>
      </c>
      <c r="AO117" s="304"/>
      <c r="AP117" s="304">
        <v>3120000</v>
      </c>
      <c r="AQ117" s="304"/>
      <c r="AR117" s="304"/>
      <c r="AS117" s="304">
        <f t="shared" si="36"/>
        <v>0</v>
      </c>
      <c r="AT117" s="304"/>
      <c r="AU117" s="304"/>
      <c r="AV117" s="304"/>
      <c r="AW117" s="304"/>
      <c r="AX117" s="304">
        <f t="shared" si="37"/>
        <v>0</v>
      </c>
      <c r="AY117" s="304"/>
      <c r="AZ117" s="304"/>
      <c r="BA117" s="304"/>
      <c r="BB117" s="304"/>
      <c r="BC117" s="304"/>
      <c r="BD117" s="304"/>
      <c r="BE117" s="305">
        <v>0</v>
      </c>
      <c r="BF117" s="238" t="s">
        <v>53</v>
      </c>
      <c r="BG117" s="263" t="s">
        <v>54</v>
      </c>
      <c r="BH117" s="306"/>
    </row>
    <row r="118" s="270" customFormat="1" ht="15" hidden="1" spans="1:60">
      <c r="A118" s="301">
        <v>111</v>
      </c>
      <c r="B118" s="302" t="s">
        <v>19</v>
      </c>
      <c r="C118" s="302" t="s">
        <v>20</v>
      </c>
      <c r="D118" s="301">
        <v>2021</v>
      </c>
      <c r="E118" s="303" t="s">
        <v>232</v>
      </c>
      <c r="F118" s="301" t="s">
        <v>53</v>
      </c>
      <c r="G118" s="238" t="s">
        <v>56</v>
      </c>
      <c r="H118" s="304">
        <f t="shared" si="26"/>
        <v>12414900</v>
      </c>
      <c r="I118" s="304">
        <f t="shared" si="27"/>
        <v>12414900</v>
      </c>
      <c r="J118" s="304">
        <f t="shared" si="28"/>
        <v>0</v>
      </c>
      <c r="K118" s="304"/>
      <c r="L118" s="304"/>
      <c r="M118" s="304"/>
      <c r="N118" s="304"/>
      <c r="O118" s="304">
        <f t="shared" si="29"/>
        <v>9914900</v>
      </c>
      <c r="P118" s="304"/>
      <c r="Q118" s="304">
        <v>9914900</v>
      </c>
      <c r="R118" s="304"/>
      <c r="S118" s="304"/>
      <c r="T118" s="304">
        <f t="shared" si="30"/>
        <v>2500000</v>
      </c>
      <c r="U118" s="304"/>
      <c r="V118" s="304">
        <v>2500000</v>
      </c>
      <c r="W118" s="304"/>
      <c r="X118" s="304"/>
      <c r="Y118" s="304">
        <f t="shared" si="31"/>
        <v>0</v>
      </c>
      <c r="Z118" s="304"/>
      <c r="AA118" s="304"/>
      <c r="AB118" s="304"/>
      <c r="AC118" s="304"/>
      <c r="AD118" s="304"/>
      <c r="AE118" s="304"/>
      <c r="AF118" s="304"/>
      <c r="AG118" s="304">
        <f t="shared" si="32"/>
        <v>12414900</v>
      </c>
      <c r="AH118" s="304">
        <f t="shared" si="33"/>
        <v>12414900</v>
      </c>
      <c r="AI118" s="304">
        <f t="shared" si="34"/>
        <v>0</v>
      </c>
      <c r="AJ118" s="304"/>
      <c r="AK118" s="304"/>
      <c r="AL118" s="304"/>
      <c r="AM118" s="304"/>
      <c r="AN118" s="304">
        <f t="shared" si="35"/>
        <v>9914900</v>
      </c>
      <c r="AO118" s="304"/>
      <c r="AP118" s="304">
        <v>9914900</v>
      </c>
      <c r="AQ118" s="304"/>
      <c r="AR118" s="304"/>
      <c r="AS118" s="304">
        <f t="shared" si="36"/>
        <v>2500000</v>
      </c>
      <c r="AT118" s="304"/>
      <c r="AU118" s="304">
        <v>2500000</v>
      </c>
      <c r="AV118" s="304"/>
      <c r="AW118" s="304"/>
      <c r="AX118" s="304">
        <f t="shared" si="37"/>
        <v>0</v>
      </c>
      <c r="AY118" s="304"/>
      <c r="AZ118" s="304"/>
      <c r="BA118" s="304"/>
      <c r="BB118" s="304"/>
      <c r="BC118" s="304"/>
      <c r="BD118" s="304"/>
      <c r="BE118" s="305"/>
      <c r="BF118" s="238" t="s">
        <v>53</v>
      </c>
      <c r="BG118" s="263" t="s">
        <v>233</v>
      </c>
      <c r="BH118" s="306"/>
    </row>
    <row r="119" s="78" customFormat="1" ht="15" hidden="1" spans="1:60">
      <c r="A119" s="301">
        <v>112</v>
      </c>
      <c r="B119" s="307" t="s">
        <v>19</v>
      </c>
      <c r="C119" s="307" t="s">
        <v>20</v>
      </c>
      <c r="D119" s="308">
        <v>2022</v>
      </c>
      <c r="E119" s="313" t="s">
        <v>234</v>
      </c>
      <c r="F119" s="308" t="s">
        <v>53</v>
      </c>
      <c r="G119" s="127" t="s">
        <v>53</v>
      </c>
      <c r="H119" s="310">
        <f t="shared" si="26"/>
        <v>29005300</v>
      </c>
      <c r="I119" s="310">
        <f t="shared" si="27"/>
        <v>29005300</v>
      </c>
      <c r="J119" s="310">
        <f t="shared" si="28"/>
        <v>0</v>
      </c>
      <c r="K119" s="310"/>
      <c r="L119" s="310"/>
      <c r="M119" s="310"/>
      <c r="N119" s="310"/>
      <c r="O119" s="310">
        <f t="shared" si="29"/>
        <v>0</v>
      </c>
      <c r="P119" s="310"/>
      <c r="Q119" s="310"/>
      <c r="R119" s="310"/>
      <c r="S119" s="310"/>
      <c r="T119" s="310">
        <f t="shared" si="30"/>
        <v>29005300</v>
      </c>
      <c r="U119" s="310">
        <v>29005300</v>
      </c>
      <c r="V119" s="310"/>
      <c r="W119" s="310"/>
      <c r="X119" s="310"/>
      <c r="Y119" s="310">
        <f t="shared" si="31"/>
        <v>0</v>
      </c>
      <c r="Z119" s="310"/>
      <c r="AA119" s="310"/>
      <c r="AB119" s="310"/>
      <c r="AC119" s="310"/>
      <c r="AD119" s="310"/>
      <c r="AE119" s="310"/>
      <c r="AF119" s="310"/>
      <c r="AG119" s="310">
        <f t="shared" si="32"/>
        <v>25911394.39</v>
      </c>
      <c r="AH119" s="310">
        <f t="shared" si="33"/>
        <v>25911394.39</v>
      </c>
      <c r="AI119" s="310">
        <f t="shared" si="34"/>
        <v>0</v>
      </c>
      <c r="AJ119" s="310"/>
      <c r="AK119" s="310"/>
      <c r="AL119" s="310"/>
      <c r="AM119" s="310"/>
      <c r="AN119" s="310">
        <f t="shared" si="35"/>
        <v>0</v>
      </c>
      <c r="AO119" s="310"/>
      <c r="AP119" s="310"/>
      <c r="AQ119" s="310"/>
      <c r="AR119" s="310"/>
      <c r="AS119" s="310">
        <f t="shared" si="36"/>
        <v>25911394.39</v>
      </c>
      <c r="AT119" s="310">
        <v>25911394.39</v>
      </c>
      <c r="AU119" s="310"/>
      <c r="AV119" s="310"/>
      <c r="AW119" s="310"/>
      <c r="AX119" s="310">
        <f t="shared" si="37"/>
        <v>0</v>
      </c>
      <c r="AY119" s="310"/>
      <c r="AZ119" s="310"/>
      <c r="BA119" s="310"/>
      <c r="BB119" s="310"/>
      <c r="BC119" s="310"/>
      <c r="BD119" s="310"/>
      <c r="BE119" s="312">
        <v>0</v>
      </c>
      <c r="BF119" s="134" t="s">
        <v>56</v>
      </c>
      <c r="BG119" s="315" t="s">
        <v>235</v>
      </c>
      <c r="BH119" s="137" t="s">
        <v>131</v>
      </c>
    </row>
    <row r="120" s="79" customFormat="1" ht="15" hidden="1" spans="1:60">
      <c r="A120" s="301">
        <v>113</v>
      </c>
      <c r="B120" s="334" t="s">
        <v>19</v>
      </c>
      <c r="C120" s="334" t="s">
        <v>20</v>
      </c>
      <c r="D120" s="335">
        <v>2016</v>
      </c>
      <c r="E120" s="336" t="s">
        <v>236</v>
      </c>
      <c r="F120" s="335" t="s">
        <v>53</v>
      </c>
      <c r="G120" s="146" t="s">
        <v>56</v>
      </c>
      <c r="H120" s="337">
        <f t="shared" si="26"/>
        <v>326300</v>
      </c>
      <c r="I120" s="337">
        <f t="shared" si="27"/>
        <v>326300</v>
      </c>
      <c r="J120" s="337">
        <f t="shared" si="28"/>
        <v>0</v>
      </c>
      <c r="K120" s="337"/>
      <c r="L120" s="337"/>
      <c r="M120" s="337"/>
      <c r="N120" s="337"/>
      <c r="O120" s="337">
        <f t="shared" si="29"/>
        <v>326300</v>
      </c>
      <c r="P120" s="337">
        <v>150000</v>
      </c>
      <c r="Q120" s="337"/>
      <c r="R120" s="337"/>
      <c r="S120" s="337">
        <v>176300</v>
      </c>
      <c r="T120" s="337">
        <f t="shared" si="30"/>
        <v>0</v>
      </c>
      <c r="U120" s="337"/>
      <c r="V120" s="337"/>
      <c r="W120" s="337"/>
      <c r="X120" s="337"/>
      <c r="Y120" s="337">
        <f t="shared" si="31"/>
        <v>0</v>
      </c>
      <c r="Z120" s="337"/>
      <c r="AA120" s="337"/>
      <c r="AB120" s="337"/>
      <c r="AC120" s="337"/>
      <c r="AD120" s="337"/>
      <c r="AE120" s="337"/>
      <c r="AF120" s="337"/>
      <c r="AG120" s="337">
        <f t="shared" si="32"/>
        <v>326300</v>
      </c>
      <c r="AH120" s="337">
        <f t="shared" si="33"/>
        <v>326300</v>
      </c>
      <c r="AI120" s="337">
        <f t="shared" si="34"/>
        <v>0</v>
      </c>
      <c r="AJ120" s="337"/>
      <c r="AK120" s="337"/>
      <c r="AL120" s="337"/>
      <c r="AM120" s="337"/>
      <c r="AN120" s="337">
        <f t="shared" si="35"/>
        <v>326300</v>
      </c>
      <c r="AO120" s="337">
        <v>150000</v>
      </c>
      <c r="AP120" s="337"/>
      <c r="AQ120" s="337"/>
      <c r="AR120" s="337">
        <v>176300</v>
      </c>
      <c r="AS120" s="337">
        <f t="shared" si="36"/>
        <v>0</v>
      </c>
      <c r="AT120" s="337"/>
      <c r="AU120" s="337"/>
      <c r="AV120" s="337"/>
      <c r="AW120" s="337"/>
      <c r="AX120" s="337">
        <f t="shared" si="37"/>
        <v>0</v>
      </c>
      <c r="AY120" s="337"/>
      <c r="AZ120" s="337"/>
      <c r="BA120" s="337"/>
      <c r="BB120" s="337"/>
      <c r="BC120" s="337"/>
      <c r="BD120" s="337"/>
      <c r="BE120" s="338"/>
      <c r="BF120" s="139" t="s">
        <v>56</v>
      </c>
      <c r="BG120" s="339" t="s">
        <v>237</v>
      </c>
      <c r="BH120" s="147" t="s">
        <v>157</v>
      </c>
    </row>
    <row r="121" s="270" customFormat="1" ht="15" hidden="1" spans="1:60">
      <c r="A121" s="301">
        <v>114</v>
      </c>
      <c r="B121" s="302" t="s">
        <v>19</v>
      </c>
      <c r="C121" s="302" t="s">
        <v>20</v>
      </c>
      <c r="D121" s="301">
        <v>2016</v>
      </c>
      <c r="E121" s="331" t="s">
        <v>238</v>
      </c>
      <c r="F121" s="301" t="s">
        <v>53</v>
      </c>
      <c r="G121" s="238" t="s">
        <v>53</v>
      </c>
      <c r="H121" s="304">
        <f t="shared" si="26"/>
        <v>4903940</v>
      </c>
      <c r="I121" s="304">
        <f t="shared" si="27"/>
        <v>4742525</v>
      </c>
      <c r="J121" s="304">
        <f t="shared" si="28"/>
        <v>0</v>
      </c>
      <c r="K121" s="304"/>
      <c r="L121" s="304"/>
      <c r="M121" s="304"/>
      <c r="N121" s="304"/>
      <c r="O121" s="304">
        <f t="shared" si="29"/>
        <v>4742525</v>
      </c>
      <c r="P121" s="304">
        <v>4742525</v>
      </c>
      <c r="Q121" s="304"/>
      <c r="R121" s="304"/>
      <c r="S121" s="304"/>
      <c r="T121" s="304">
        <f t="shared" si="30"/>
        <v>0</v>
      </c>
      <c r="U121" s="304"/>
      <c r="V121" s="304"/>
      <c r="W121" s="304"/>
      <c r="X121" s="304"/>
      <c r="Y121" s="304">
        <f t="shared" si="31"/>
        <v>0</v>
      </c>
      <c r="Z121" s="304"/>
      <c r="AA121" s="304"/>
      <c r="AB121" s="304"/>
      <c r="AC121" s="304"/>
      <c r="AD121" s="304"/>
      <c r="AE121" s="304"/>
      <c r="AF121" s="304">
        <v>161415</v>
      </c>
      <c r="AG121" s="304">
        <f t="shared" si="32"/>
        <v>4742525</v>
      </c>
      <c r="AH121" s="304">
        <f t="shared" si="33"/>
        <v>4742525</v>
      </c>
      <c r="AI121" s="304">
        <f t="shared" si="34"/>
        <v>0</v>
      </c>
      <c r="AJ121" s="304"/>
      <c r="AK121" s="304"/>
      <c r="AL121" s="304"/>
      <c r="AM121" s="304"/>
      <c r="AN121" s="304">
        <f t="shared" si="35"/>
        <v>4742525</v>
      </c>
      <c r="AO121" s="304">
        <v>4742525</v>
      </c>
      <c r="AP121" s="304"/>
      <c r="AQ121" s="304"/>
      <c r="AR121" s="304"/>
      <c r="AS121" s="304">
        <f t="shared" si="36"/>
        <v>0</v>
      </c>
      <c r="AT121" s="304"/>
      <c r="AU121" s="304"/>
      <c r="AV121" s="304"/>
      <c r="AW121" s="304"/>
      <c r="AX121" s="304">
        <f t="shared" si="37"/>
        <v>0</v>
      </c>
      <c r="AY121" s="304"/>
      <c r="AZ121" s="304"/>
      <c r="BA121" s="304"/>
      <c r="BB121" s="304"/>
      <c r="BC121" s="304"/>
      <c r="BD121" s="304"/>
      <c r="BE121" s="305"/>
      <c r="BF121" s="238" t="s">
        <v>53</v>
      </c>
      <c r="BG121" s="263" t="s">
        <v>239</v>
      </c>
      <c r="BH121" s="306" t="s">
        <v>240</v>
      </c>
    </row>
    <row r="122" s="270" customFormat="1" ht="15" hidden="1" spans="1:60">
      <c r="A122" s="301">
        <v>115</v>
      </c>
      <c r="B122" s="302" t="s">
        <v>19</v>
      </c>
      <c r="C122" s="302" t="s">
        <v>20</v>
      </c>
      <c r="D122" s="301">
        <v>2016</v>
      </c>
      <c r="E122" s="331" t="s">
        <v>241</v>
      </c>
      <c r="F122" s="301" t="s">
        <v>53</v>
      </c>
      <c r="G122" s="238" t="s">
        <v>53</v>
      </c>
      <c r="H122" s="304">
        <f t="shared" si="26"/>
        <v>2186050</v>
      </c>
      <c r="I122" s="304">
        <f t="shared" si="27"/>
        <v>2086050</v>
      </c>
      <c r="J122" s="304">
        <f t="shared" si="28"/>
        <v>0</v>
      </c>
      <c r="K122" s="304"/>
      <c r="L122" s="304"/>
      <c r="M122" s="304"/>
      <c r="N122" s="304"/>
      <c r="O122" s="304">
        <f t="shared" si="29"/>
        <v>2086050</v>
      </c>
      <c r="P122" s="304">
        <v>2086050</v>
      </c>
      <c r="Q122" s="304"/>
      <c r="R122" s="304"/>
      <c r="S122" s="304"/>
      <c r="T122" s="304">
        <f t="shared" si="30"/>
        <v>0</v>
      </c>
      <c r="U122" s="304"/>
      <c r="V122" s="304"/>
      <c r="W122" s="304"/>
      <c r="X122" s="304"/>
      <c r="Y122" s="304">
        <f t="shared" si="31"/>
        <v>0</v>
      </c>
      <c r="Z122" s="304"/>
      <c r="AA122" s="304"/>
      <c r="AB122" s="304"/>
      <c r="AC122" s="304"/>
      <c r="AD122" s="304"/>
      <c r="AE122" s="304"/>
      <c r="AF122" s="304">
        <v>100000</v>
      </c>
      <c r="AG122" s="304">
        <f t="shared" si="32"/>
        <v>1629600</v>
      </c>
      <c r="AH122" s="304">
        <f t="shared" si="33"/>
        <v>1629600</v>
      </c>
      <c r="AI122" s="304">
        <f t="shared" si="34"/>
        <v>0</v>
      </c>
      <c r="AJ122" s="304"/>
      <c r="AK122" s="304"/>
      <c r="AL122" s="304"/>
      <c r="AM122" s="304"/>
      <c r="AN122" s="304">
        <f t="shared" si="35"/>
        <v>1629600</v>
      </c>
      <c r="AO122" s="304">
        <v>1629600</v>
      </c>
      <c r="AP122" s="304"/>
      <c r="AQ122" s="304"/>
      <c r="AR122" s="304"/>
      <c r="AS122" s="304">
        <f t="shared" si="36"/>
        <v>0</v>
      </c>
      <c r="AT122" s="304"/>
      <c r="AU122" s="304"/>
      <c r="AV122" s="304"/>
      <c r="AW122" s="304"/>
      <c r="AX122" s="304">
        <f t="shared" si="37"/>
        <v>0</v>
      </c>
      <c r="AY122" s="304"/>
      <c r="AZ122" s="304"/>
      <c r="BA122" s="304"/>
      <c r="BB122" s="304"/>
      <c r="BC122" s="304"/>
      <c r="BD122" s="304"/>
      <c r="BE122" s="305"/>
      <c r="BF122" s="238" t="s">
        <v>53</v>
      </c>
      <c r="BG122" s="263" t="s">
        <v>242</v>
      </c>
      <c r="BH122" s="306" t="s">
        <v>240</v>
      </c>
    </row>
    <row r="123" s="271" customFormat="1" ht="15" hidden="1" spans="1:60">
      <c r="A123" s="301">
        <v>116</v>
      </c>
      <c r="B123" s="316" t="s">
        <v>19</v>
      </c>
      <c r="C123" s="316" t="s">
        <v>20</v>
      </c>
      <c r="D123" s="317">
        <v>2018</v>
      </c>
      <c r="E123" s="341" t="s">
        <v>243</v>
      </c>
      <c r="F123" s="317" t="s">
        <v>53</v>
      </c>
      <c r="G123" s="319" t="s">
        <v>56</v>
      </c>
      <c r="H123" s="320">
        <f t="shared" si="26"/>
        <v>350000</v>
      </c>
      <c r="I123" s="320">
        <f t="shared" si="27"/>
        <v>350000</v>
      </c>
      <c r="J123" s="320">
        <f t="shared" si="28"/>
        <v>0</v>
      </c>
      <c r="K123" s="320"/>
      <c r="L123" s="320"/>
      <c r="M123" s="320"/>
      <c r="N123" s="320"/>
      <c r="O123" s="320">
        <f t="shared" si="29"/>
        <v>0</v>
      </c>
      <c r="P123" s="320"/>
      <c r="Q123" s="320"/>
      <c r="R123" s="320"/>
      <c r="S123" s="320"/>
      <c r="T123" s="320">
        <f t="shared" si="30"/>
        <v>0</v>
      </c>
      <c r="U123" s="320"/>
      <c r="V123" s="320"/>
      <c r="W123" s="320"/>
      <c r="X123" s="320"/>
      <c r="Y123" s="320">
        <f t="shared" si="31"/>
        <v>350000</v>
      </c>
      <c r="Z123" s="320"/>
      <c r="AA123" s="320">
        <v>350000</v>
      </c>
      <c r="AB123" s="320"/>
      <c r="AC123" s="320"/>
      <c r="AD123" s="320"/>
      <c r="AE123" s="320"/>
      <c r="AF123" s="320"/>
      <c r="AG123" s="320">
        <f t="shared" si="32"/>
        <v>350000</v>
      </c>
      <c r="AH123" s="320">
        <f t="shared" si="33"/>
        <v>350000</v>
      </c>
      <c r="AI123" s="320">
        <f t="shared" si="34"/>
        <v>0</v>
      </c>
      <c r="AJ123" s="320"/>
      <c r="AK123" s="320"/>
      <c r="AL123" s="320"/>
      <c r="AM123" s="320"/>
      <c r="AN123" s="320">
        <f t="shared" si="35"/>
        <v>0</v>
      </c>
      <c r="AO123" s="320"/>
      <c r="AP123" s="320"/>
      <c r="AQ123" s="320"/>
      <c r="AR123" s="320"/>
      <c r="AS123" s="320">
        <f t="shared" si="36"/>
        <v>0</v>
      </c>
      <c r="AT123" s="320"/>
      <c r="AU123" s="320"/>
      <c r="AV123" s="320"/>
      <c r="AW123" s="320"/>
      <c r="AX123" s="320">
        <f t="shared" si="37"/>
        <v>350000</v>
      </c>
      <c r="AY123" s="320"/>
      <c r="AZ123" s="320">
        <v>350000</v>
      </c>
      <c r="BA123" s="320"/>
      <c r="BB123" s="320"/>
      <c r="BC123" s="320"/>
      <c r="BD123" s="320"/>
      <c r="BE123" s="321"/>
      <c r="BF123" s="319" t="s">
        <v>56</v>
      </c>
      <c r="BG123" s="322" t="s">
        <v>154</v>
      </c>
      <c r="BH123" s="323"/>
    </row>
    <row r="124" s="79" customFormat="1" ht="15" hidden="1" spans="1:60">
      <c r="A124" s="301">
        <v>117</v>
      </c>
      <c r="B124" s="334" t="s">
        <v>19</v>
      </c>
      <c r="C124" s="334" t="s">
        <v>20</v>
      </c>
      <c r="D124" s="335">
        <v>2018</v>
      </c>
      <c r="E124" s="340" t="s">
        <v>244</v>
      </c>
      <c r="F124" s="335" t="s">
        <v>53</v>
      </c>
      <c r="G124" s="146" t="s">
        <v>56</v>
      </c>
      <c r="H124" s="337">
        <f t="shared" si="26"/>
        <v>2000000</v>
      </c>
      <c r="I124" s="337">
        <f t="shared" si="27"/>
        <v>2000000</v>
      </c>
      <c r="J124" s="337">
        <f t="shared" si="28"/>
        <v>0</v>
      </c>
      <c r="K124" s="337"/>
      <c r="L124" s="337"/>
      <c r="M124" s="337"/>
      <c r="N124" s="337"/>
      <c r="O124" s="337">
        <f t="shared" si="29"/>
        <v>0</v>
      </c>
      <c r="P124" s="337"/>
      <c r="Q124" s="337"/>
      <c r="R124" s="337"/>
      <c r="S124" s="337"/>
      <c r="T124" s="337">
        <f t="shared" si="30"/>
        <v>0</v>
      </c>
      <c r="U124" s="337"/>
      <c r="V124" s="337"/>
      <c r="W124" s="337"/>
      <c r="X124" s="337"/>
      <c r="Y124" s="337">
        <f t="shared" si="31"/>
        <v>2000000</v>
      </c>
      <c r="Z124" s="337"/>
      <c r="AA124" s="337">
        <v>2000000</v>
      </c>
      <c r="AB124" s="337"/>
      <c r="AC124" s="337"/>
      <c r="AD124" s="337"/>
      <c r="AE124" s="337"/>
      <c r="AF124" s="337"/>
      <c r="AG124" s="337">
        <f t="shared" si="32"/>
        <v>2000000</v>
      </c>
      <c r="AH124" s="337">
        <f t="shared" si="33"/>
        <v>2000000</v>
      </c>
      <c r="AI124" s="337">
        <f t="shared" si="34"/>
        <v>0</v>
      </c>
      <c r="AJ124" s="337"/>
      <c r="AK124" s="337"/>
      <c r="AL124" s="337"/>
      <c r="AM124" s="337"/>
      <c r="AN124" s="337">
        <f t="shared" si="35"/>
        <v>0</v>
      </c>
      <c r="AO124" s="337"/>
      <c r="AP124" s="337"/>
      <c r="AQ124" s="337"/>
      <c r="AR124" s="337"/>
      <c r="AS124" s="337">
        <f t="shared" si="36"/>
        <v>0</v>
      </c>
      <c r="AT124" s="337"/>
      <c r="AU124" s="337"/>
      <c r="AV124" s="337"/>
      <c r="AW124" s="337"/>
      <c r="AX124" s="337">
        <f t="shared" si="37"/>
        <v>2000000</v>
      </c>
      <c r="AY124" s="337"/>
      <c r="AZ124" s="337">
        <v>2000000</v>
      </c>
      <c r="BA124" s="337"/>
      <c r="BB124" s="337"/>
      <c r="BC124" s="337"/>
      <c r="BD124" s="337"/>
      <c r="BE124" s="338"/>
      <c r="BF124" s="139" t="s">
        <v>56</v>
      </c>
      <c r="BG124" s="339" t="s">
        <v>245</v>
      </c>
      <c r="BH124" s="147" t="s">
        <v>184</v>
      </c>
    </row>
    <row r="125" s="78" customFormat="1" ht="15" hidden="1" spans="1:60">
      <c r="A125" s="301">
        <v>118</v>
      </c>
      <c r="B125" s="307" t="s">
        <v>19</v>
      </c>
      <c r="C125" s="307" t="s">
        <v>20</v>
      </c>
      <c r="D125" s="308">
        <v>2018</v>
      </c>
      <c r="E125" s="313" t="s">
        <v>246</v>
      </c>
      <c r="F125" s="308" t="s">
        <v>53</v>
      </c>
      <c r="G125" s="127" t="s">
        <v>56</v>
      </c>
      <c r="H125" s="310">
        <f t="shared" si="26"/>
        <v>1780000</v>
      </c>
      <c r="I125" s="310">
        <f t="shared" si="27"/>
        <v>1780000</v>
      </c>
      <c r="J125" s="310">
        <f t="shared" si="28"/>
        <v>0</v>
      </c>
      <c r="K125" s="310"/>
      <c r="L125" s="310"/>
      <c r="M125" s="310"/>
      <c r="N125" s="310"/>
      <c r="O125" s="310">
        <f t="shared" si="29"/>
        <v>1780000</v>
      </c>
      <c r="P125" s="310">
        <v>1780000</v>
      </c>
      <c r="Q125" s="310"/>
      <c r="R125" s="310"/>
      <c r="S125" s="310"/>
      <c r="T125" s="310">
        <f t="shared" si="30"/>
        <v>0</v>
      </c>
      <c r="U125" s="310"/>
      <c r="V125" s="310"/>
      <c r="W125" s="310"/>
      <c r="X125" s="310"/>
      <c r="Y125" s="310">
        <f t="shared" si="31"/>
        <v>0</v>
      </c>
      <c r="Z125" s="310"/>
      <c r="AA125" s="310"/>
      <c r="AB125" s="310"/>
      <c r="AC125" s="310"/>
      <c r="AD125" s="310"/>
      <c r="AE125" s="310"/>
      <c r="AF125" s="310"/>
      <c r="AG125" s="310">
        <f t="shared" si="32"/>
        <v>1640814.28714972</v>
      </c>
      <c r="AH125" s="310">
        <f t="shared" si="33"/>
        <v>1640814.28714972</v>
      </c>
      <c r="AI125" s="310">
        <f t="shared" si="34"/>
        <v>0</v>
      </c>
      <c r="AJ125" s="310"/>
      <c r="AK125" s="310"/>
      <c r="AL125" s="310"/>
      <c r="AM125" s="310"/>
      <c r="AN125" s="310">
        <f t="shared" si="35"/>
        <v>1640814.28714972</v>
      </c>
      <c r="AO125" s="310">
        <v>1640814.28714972</v>
      </c>
      <c r="AP125" s="310"/>
      <c r="AQ125" s="310"/>
      <c r="AR125" s="310"/>
      <c r="AS125" s="310">
        <f t="shared" si="36"/>
        <v>0</v>
      </c>
      <c r="AT125" s="310"/>
      <c r="AU125" s="310"/>
      <c r="AV125" s="310"/>
      <c r="AW125" s="310"/>
      <c r="AX125" s="310">
        <f t="shared" si="37"/>
        <v>0</v>
      </c>
      <c r="AY125" s="310"/>
      <c r="AZ125" s="310"/>
      <c r="BA125" s="310"/>
      <c r="BB125" s="310"/>
      <c r="BC125" s="310"/>
      <c r="BD125" s="310"/>
      <c r="BE125" s="312"/>
      <c r="BF125" s="134" t="s">
        <v>56</v>
      </c>
      <c r="BG125" s="315" t="s">
        <v>162</v>
      </c>
      <c r="BH125" s="137" t="s">
        <v>247</v>
      </c>
    </row>
    <row r="126" s="270" customFormat="1" ht="15" hidden="1" spans="1:60">
      <c r="A126" s="301">
        <v>119</v>
      </c>
      <c r="B126" s="302" t="s">
        <v>19</v>
      </c>
      <c r="C126" s="302" t="s">
        <v>20</v>
      </c>
      <c r="D126" s="301">
        <v>2018</v>
      </c>
      <c r="E126" s="303" t="s">
        <v>248</v>
      </c>
      <c r="F126" s="301" t="s">
        <v>53</v>
      </c>
      <c r="G126" s="238" t="s">
        <v>56</v>
      </c>
      <c r="H126" s="304">
        <f t="shared" si="26"/>
        <v>1806500</v>
      </c>
      <c r="I126" s="304">
        <f t="shared" si="27"/>
        <v>1806500</v>
      </c>
      <c r="J126" s="304">
        <f t="shared" si="28"/>
        <v>0</v>
      </c>
      <c r="K126" s="304"/>
      <c r="L126" s="304"/>
      <c r="M126" s="304"/>
      <c r="N126" s="304"/>
      <c r="O126" s="304">
        <f t="shared" si="29"/>
        <v>1806500</v>
      </c>
      <c r="P126" s="304">
        <v>1806500</v>
      </c>
      <c r="Q126" s="304"/>
      <c r="R126" s="304"/>
      <c r="S126" s="304"/>
      <c r="T126" s="304">
        <f t="shared" si="30"/>
        <v>0</v>
      </c>
      <c r="U126" s="304"/>
      <c r="V126" s="304"/>
      <c r="W126" s="304"/>
      <c r="X126" s="304"/>
      <c r="Y126" s="304">
        <f t="shared" si="31"/>
        <v>0</v>
      </c>
      <c r="Z126" s="304"/>
      <c r="AA126" s="304"/>
      <c r="AB126" s="304"/>
      <c r="AC126" s="304"/>
      <c r="AD126" s="304"/>
      <c r="AE126" s="304"/>
      <c r="AF126" s="304"/>
      <c r="AG126" s="304">
        <f t="shared" si="32"/>
        <v>1722200</v>
      </c>
      <c r="AH126" s="304">
        <f t="shared" si="33"/>
        <v>1722200</v>
      </c>
      <c r="AI126" s="304">
        <f t="shared" si="34"/>
        <v>0</v>
      </c>
      <c r="AJ126" s="304"/>
      <c r="AK126" s="304"/>
      <c r="AL126" s="304"/>
      <c r="AM126" s="304"/>
      <c r="AN126" s="304">
        <f t="shared" si="35"/>
        <v>1722200</v>
      </c>
      <c r="AO126" s="304">
        <v>1722200</v>
      </c>
      <c r="AP126" s="304"/>
      <c r="AQ126" s="304"/>
      <c r="AR126" s="304"/>
      <c r="AS126" s="304">
        <f t="shared" si="36"/>
        <v>0</v>
      </c>
      <c r="AT126" s="304"/>
      <c r="AU126" s="304"/>
      <c r="AV126" s="304"/>
      <c r="AW126" s="304"/>
      <c r="AX126" s="304">
        <f t="shared" si="37"/>
        <v>0</v>
      </c>
      <c r="AY126" s="304"/>
      <c r="AZ126" s="304"/>
      <c r="BA126" s="304"/>
      <c r="BB126" s="304"/>
      <c r="BC126" s="304"/>
      <c r="BD126" s="304"/>
      <c r="BE126" s="305"/>
      <c r="BF126" s="238" t="s">
        <v>53</v>
      </c>
      <c r="BG126" s="263" t="s">
        <v>249</v>
      </c>
      <c r="BH126" s="306" t="s">
        <v>124</v>
      </c>
    </row>
    <row r="127" s="78" customFormat="1" ht="15" hidden="1" spans="1:60">
      <c r="A127" s="301">
        <v>120</v>
      </c>
      <c r="B127" s="307" t="s">
        <v>19</v>
      </c>
      <c r="C127" s="307" t="s">
        <v>20</v>
      </c>
      <c r="D127" s="308">
        <v>2019</v>
      </c>
      <c r="E127" s="313" t="s">
        <v>250</v>
      </c>
      <c r="F127" s="308" t="s">
        <v>53</v>
      </c>
      <c r="G127" s="127" t="s">
        <v>56</v>
      </c>
      <c r="H127" s="310">
        <f t="shared" si="26"/>
        <v>2500000</v>
      </c>
      <c r="I127" s="310">
        <f t="shared" si="27"/>
        <v>2500000</v>
      </c>
      <c r="J127" s="310">
        <f t="shared" si="28"/>
        <v>0</v>
      </c>
      <c r="K127" s="310"/>
      <c r="L127" s="310"/>
      <c r="M127" s="310"/>
      <c r="N127" s="310"/>
      <c r="O127" s="310">
        <f t="shared" si="29"/>
        <v>2500000</v>
      </c>
      <c r="P127" s="310">
        <v>2500000</v>
      </c>
      <c r="Q127" s="310"/>
      <c r="R127" s="310"/>
      <c r="S127" s="310"/>
      <c r="T127" s="310">
        <f t="shared" si="30"/>
        <v>0</v>
      </c>
      <c r="U127" s="310"/>
      <c r="V127" s="310"/>
      <c r="W127" s="310"/>
      <c r="X127" s="310"/>
      <c r="Y127" s="310">
        <f t="shared" si="31"/>
        <v>0</v>
      </c>
      <c r="Z127" s="310"/>
      <c r="AA127" s="310"/>
      <c r="AB127" s="310"/>
      <c r="AC127" s="310"/>
      <c r="AD127" s="310"/>
      <c r="AE127" s="310"/>
      <c r="AF127" s="310"/>
      <c r="AG127" s="310">
        <f t="shared" si="32"/>
        <v>2299506.52</v>
      </c>
      <c r="AH127" s="310">
        <f t="shared" si="33"/>
        <v>2299506.52</v>
      </c>
      <c r="AI127" s="310">
        <f t="shared" si="34"/>
        <v>0</v>
      </c>
      <c r="AJ127" s="310"/>
      <c r="AK127" s="310"/>
      <c r="AL127" s="310"/>
      <c r="AM127" s="310"/>
      <c r="AN127" s="310">
        <f t="shared" si="35"/>
        <v>2299506.52</v>
      </c>
      <c r="AO127" s="310">
        <v>2299506.52</v>
      </c>
      <c r="AP127" s="310"/>
      <c r="AQ127" s="310"/>
      <c r="AR127" s="310"/>
      <c r="AS127" s="310">
        <f t="shared" si="36"/>
        <v>0</v>
      </c>
      <c r="AT127" s="310"/>
      <c r="AU127" s="310"/>
      <c r="AV127" s="310"/>
      <c r="AW127" s="310"/>
      <c r="AX127" s="310">
        <f t="shared" si="37"/>
        <v>0</v>
      </c>
      <c r="AY127" s="310"/>
      <c r="AZ127" s="310"/>
      <c r="BA127" s="310"/>
      <c r="BB127" s="310"/>
      <c r="BC127" s="310"/>
      <c r="BD127" s="310"/>
      <c r="BE127" s="312"/>
      <c r="BF127" s="134" t="s">
        <v>56</v>
      </c>
      <c r="BG127" s="315" t="s">
        <v>162</v>
      </c>
      <c r="BH127" s="137" t="s">
        <v>251</v>
      </c>
    </row>
    <row r="128" s="270" customFormat="1" ht="15" hidden="1" spans="1:60">
      <c r="A128" s="301">
        <v>121</v>
      </c>
      <c r="B128" s="302" t="s">
        <v>19</v>
      </c>
      <c r="C128" s="302" t="s">
        <v>20</v>
      </c>
      <c r="D128" s="301">
        <v>2019</v>
      </c>
      <c r="E128" s="303" t="s">
        <v>252</v>
      </c>
      <c r="F128" s="301" t="s">
        <v>53</v>
      </c>
      <c r="G128" s="238" t="s">
        <v>56</v>
      </c>
      <c r="H128" s="304">
        <f t="shared" si="26"/>
        <v>13900000</v>
      </c>
      <c r="I128" s="304">
        <f t="shared" si="27"/>
        <v>13900000</v>
      </c>
      <c r="J128" s="304">
        <f t="shared" si="28"/>
        <v>0</v>
      </c>
      <c r="K128" s="304"/>
      <c r="L128" s="304"/>
      <c r="M128" s="304"/>
      <c r="N128" s="304"/>
      <c r="O128" s="304">
        <f t="shared" si="29"/>
        <v>13900000</v>
      </c>
      <c r="P128" s="304"/>
      <c r="Q128" s="304"/>
      <c r="R128" s="304">
        <v>13900000</v>
      </c>
      <c r="S128" s="304"/>
      <c r="T128" s="304">
        <f t="shared" si="30"/>
        <v>0</v>
      </c>
      <c r="U128" s="304"/>
      <c r="V128" s="304"/>
      <c r="W128" s="304"/>
      <c r="X128" s="304"/>
      <c r="Y128" s="304">
        <f t="shared" si="31"/>
        <v>0</v>
      </c>
      <c r="Z128" s="304"/>
      <c r="AA128" s="304"/>
      <c r="AB128" s="304"/>
      <c r="AC128" s="304"/>
      <c r="AD128" s="304"/>
      <c r="AE128" s="304"/>
      <c r="AF128" s="304"/>
      <c r="AG128" s="304">
        <f t="shared" si="32"/>
        <v>13900000</v>
      </c>
      <c r="AH128" s="304">
        <f t="shared" si="33"/>
        <v>13900000</v>
      </c>
      <c r="AI128" s="304">
        <f t="shared" si="34"/>
        <v>0</v>
      </c>
      <c r="AJ128" s="304"/>
      <c r="AK128" s="304"/>
      <c r="AL128" s="304"/>
      <c r="AM128" s="304"/>
      <c r="AN128" s="304">
        <f t="shared" si="35"/>
        <v>13900000</v>
      </c>
      <c r="AO128" s="304"/>
      <c r="AP128" s="304"/>
      <c r="AQ128" s="304">
        <v>13900000</v>
      </c>
      <c r="AR128" s="304"/>
      <c r="AS128" s="304">
        <f t="shared" si="36"/>
        <v>0</v>
      </c>
      <c r="AT128" s="304"/>
      <c r="AU128" s="304"/>
      <c r="AV128" s="304"/>
      <c r="AW128" s="304"/>
      <c r="AX128" s="304">
        <f t="shared" si="37"/>
        <v>0</v>
      </c>
      <c r="AY128" s="304"/>
      <c r="AZ128" s="304"/>
      <c r="BA128" s="304"/>
      <c r="BB128" s="304"/>
      <c r="BC128" s="304"/>
      <c r="BD128" s="304"/>
      <c r="BE128" s="305"/>
      <c r="BF128" s="238" t="s">
        <v>53</v>
      </c>
      <c r="BG128" s="263" t="s">
        <v>253</v>
      </c>
      <c r="BH128" s="306" t="s">
        <v>101</v>
      </c>
    </row>
    <row r="129" s="270" customFormat="1" ht="15" hidden="1" spans="1:60">
      <c r="A129" s="301">
        <v>122</v>
      </c>
      <c r="B129" s="302" t="s">
        <v>19</v>
      </c>
      <c r="C129" s="302" t="s">
        <v>20</v>
      </c>
      <c r="D129" s="301">
        <v>2020</v>
      </c>
      <c r="E129" s="303" t="s">
        <v>254</v>
      </c>
      <c r="F129" s="301" t="s">
        <v>53</v>
      </c>
      <c r="G129" s="238" t="s">
        <v>56</v>
      </c>
      <c r="H129" s="304">
        <f t="shared" si="26"/>
        <v>9000000</v>
      </c>
      <c r="I129" s="304">
        <f t="shared" si="27"/>
        <v>9000000</v>
      </c>
      <c r="J129" s="304">
        <f t="shared" si="28"/>
        <v>0</v>
      </c>
      <c r="K129" s="304"/>
      <c r="L129" s="304"/>
      <c r="M129" s="304"/>
      <c r="N129" s="304"/>
      <c r="O129" s="304">
        <f t="shared" si="29"/>
        <v>9000000</v>
      </c>
      <c r="P129" s="304">
        <v>6285400</v>
      </c>
      <c r="Q129" s="304">
        <v>2714600</v>
      </c>
      <c r="R129" s="304"/>
      <c r="S129" s="304"/>
      <c r="T129" s="304">
        <f t="shared" si="30"/>
        <v>0</v>
      </c>
      <c r="U129" s="304"/>
      <c r="V129" s="304"/>
      <c r="W129" s="304"/>
      <c r="X129" s="304"/>
      <c r="Y129" s="304">
        <f t="shared" si="31"/>
        <v>0</v>
      </c>
      <c r="Z129" s="304"/>
      <c r="AA129" s="304"/>
      <c r="AB129" s="304"/>
      <c r="AC129" s="304"/>
      <c r="AD129" s="304"/>
      <c r="AE129" s="304"/>
      <c r="AF129" s="304"/>
      <c r="AG129" s="304">
        <f t="shared" si="32"/>
        <v>8395506.21</v>
      </c>
      <c r="AH129" s="304">
        <f t="shared" si="33"/>
        <v>8395506.21</v>
      </c>
      <c r="AI129" s="304">
        <f t="shared" si="34"/>
        <v>0</v>
      </c>
      <c r="AJ129" s="304"/>
      <c r="AK129" s="304"/>
      <c r="AL129" s="304"/>
      <c r="AM129" s="304"/>
      <c r="AN129" s="304">
        <f t="shared" si="35"/>
        <v>8395506.21</v>
      </c>
      <c r="AO129" s="304">
        <v>6285400</v>
      </c>
      <c r="AP129" s="304">
        <v>2110106.21</v>
      </c>
      <c r="AQ129" s="304"/>
      <c r="AR129" s="304"/>
      <c r="AS129" s="304">
        <f t="shared" si="36"/>
        <v>0</v>
      </c>
      <c r="AT129" s="304"/>
      <c r="AU129" s="304"/>
      <c r="AV129" s="304"/>
      <c r="AW129" s="304"/>
      <c r="AX129" s="304">
        <f t="shared" si="37"/>
        <v>0</v>
      </c>
      <c r="AY129" s="304"/>
      <c r="AZ129" s="304"/>
      <c r="BA129" s="304"/>
      <c r="BB129" s="304"/>
      <c r="BC129" s="304"/>
      <c r="BD129" s="304"/>
      <c r="BE129" s="305"/>
      <c r="BF129" s="238" t="s">
        <v>53</v>
      </c>
      <c r="BG129" s="263" t="s">
        <v>70</v>
      </c>
      <c r="BH129" s="306" t="s">
        <v>82</v>
      </c>
    </row>
    <row r="130" s="270" customFormat="1" ht="15" hidden="1" spans="1:60">
      <c r="A130" s="301">
        <v>123</v>
      </c>
      <c r="B130" s="302" t="s">
        <v>19</v>
      </c>
      <c r="C130" s="302" t="s">
        <v>20</v>
      </c>
      <c r="D130" s="301">
        <v>2020</v>
      </c>
      <c r="E130" s="303" t="s">
        <v>255</v>
      </c>
      <c r="F130" s="301" t="s">
        <v>53</v>
      </c>
      <c r="G130" s="238" t="s">
        <v>53</v>
      </c>
      <c r="H130" s="304">
        <f t="shared" si="26"/>
        <v>24039100</v>
      </c>
      <c r="I130" s="304">
        <f t="shared" si="27"/>
        <v>24039100</v>
      </c>
      <c r="J130" s="304">
        <f t="shared" si="28"/>
        <v>0</v>
      </c>
      <c r="K130" s="304"/>
      <c r="L130" s="304"/>
      <c r="M130" s="304"/>
      <c r="N130" s="304"/>
      <c r="O130" s="304">
        <f t="shared" si="29"/>
        <v>24039100</v>
      </c>
      <c r="P130" s="304">
        <v>24039100</v>
      </c>
      <c r="Q130" s="304"/>
      <c r="R130" s="304"/>
      <c r="S130" s="304"/>
      <c r="T130" s="304">
        <f t="shared" si="30"/>
        <v>0</v>
      </c>
      <c r="U130" s="304"/>
      <c r="V130" s="304"/>
      <c r="W130" s="304"/>
      <c r="X130" s="304"/>
      <c r="Y130" s="304">
        <f t="shared" si="31"/>
        <v>0</v>
      </c>
      <c r="Z130" s="304"/>
      <c r="AA130" s="304"/>
      <c r="AB130" s="304"/>
      <c r="AC130" s="304"/>
      <c r="AD130" s="304"/>
      <c r="AE130" s="304"/>
      <c r="AF130" s="304"/>
      <c r="AG130" s="304">
        <f t="shared" si="32"/>
        <v>22863846.07</v>
      </c>
      <c r="AH130" s="304">
        <f t="shared" si="33"/>
        <v>22863846.07</v>
      </c>
      <c r="AI130" s="304">
        <f t="shared" si="34"/>
        <v>0</v>
      </c>
      <c r="AJ130" s="304"/>
      <c r="AK130" s="304"/>
      <c r="AL130" s="304"/>
      <c r="AM130" s="304"/>
      <c r="AN130" s="304">
        <f t="shared" si="35"/>
        <v>22863846.07</v>
      </c>
      <c r="AO130" s="304">
        <v>22863846.07</v>
      </c>
      <c r="AP130" s="304"/>
      <c r="AQ130" s="304"/>
      <c r="AR130" s="304"/>
      <c r="AS130" s="304">
        <f t="shared" si="36"/>
        <v>0</v>
      </c>
      <c r="AT130" s="304"/>
      <c r="AU130" s="304"/>
      <c r="AV130" s="304"/>
      <c r="AW130" s="304"/>
      <c r="AX130" s="304">
        <f t="shared" si="37"/>
        <v>0</v>
      </c>
      <c r="AY130" s="304"/>
      <c r="AZ130" s="304"/>
      <c r="BA130" s="304"/>
      <c r="BB130" s="304"/>
      <c r="BC130" s="304"/>
      <c r="BD130" s="304"/>
      <c r="BE130" s="305">
        <v>0</v>
      </c>
      <c r="BF130" s="238" t="s">
        <v>53</v>
      </c>
      <c r="BG130" s="263" t="s">
        <v>256</v>
      </c>
      <c r="BH130" s="306" t="s">
        <v>131</v>
      </c>
    </row>
    <row r="131" s="270" customFormat="1" ht="15" hidden="1" spans="1:60">
      <c r="A131" s="301">
        <v>124</v>
      </c>
      <c r="B131" s="302" t="s">
        <v>19</v>
      </c>
      <c r="C131" s="302" t="s">
        <v>20</v>
      </c>
      <c r="D131" s="301">
        <v>2020</v>
      </c>
      <c r="E131" s="303" t="s">
        <v>257</v>
      </c>
      <c r="F131" s="301" t="s">
        <v>53</v>
      </c>
      <c r="G131" s="238" t="s">
        <v>53</v>
      </c>
      <c r="H131" s="304">
        <f t="shared" si="26"/>
        <v>14310000</v>
      </c>
      <c r="I131" s="304">
        <f t="shared" si="27"/>
        <v>14310000</v>
      </c>
      <c r="J131" s="304">
        <f t="shared" si="28"/>
        <v>0</v>
      </c>
      <c r="K131" s="304"/>
      <c r="L131" s="304"/>
      <c r="M131" s="304"/>
      <c r="N131" s="304"/>
      <c r="O131" s="304">
        <f t="shared" si="29"/>
        <v>10417600</v>
      </c>
      <c r="P131" s="304">
        <v>10417600</v>
      </c>
      <c r="Q131" s="304"/>
      <c r="R131" s="304"/>
      <c r="S131" s="304"/>
      <c r="T131" s="304">
        <f t="shared" si="30"/>
        <v>3892400</v>
      </c>
      <c r="U131" s="304">
        <v>3892400</v>
      </c>
      <c r="V131" s="304"/>
      <c r="W131" s="304"/>
      <c r="X131" s="304"/>
      <c r="Y131" s="304">
        <f t="shared" si="31"/>
        <v>0</v>
      </c>
      <c r="Z131" s="304"/>
      <c r="AA131" s="304"/>
      <c r="AB131" s="304"/>
      <c r="AC131" s="304"/>
      <c r="AD131" s="304"/>
      <c r="AE131" s="304"/>
      <c r="AF131" s="304"/>
      <c r="AG131" s="304">
        <f t="shared" si="32"/>
        <v>14310000</v>
      </c>
      <c r="AH131" s="304">
        <f t="shared" si="33"/>
        <v>14310000</v>
      </c>
      <c r="AI131" s="304">
        <f t="shared" si="34"/>
        <v>0</v>
      </c>
      <c r="AJ131" s="304"/>
      <c r="AK131" s="304"/>
      <c r="AL131" s="304"/>
      <c r="AM131" s="304"/>
      <c r="AN131" s="304">
        <f t="shared" si="35"/>
        <v>10417600</v>
      </c>
      <c r="AO131" s="304">
        <v>10417600</v>
      </c>
      <c r="AP131" s="304"/>
      <c r="AQ131" s="304"/>
      <c r="AR131" s="304"/>
      <c r="AS131" s="304">
        <f t="shared" si="36"/>
        <v>3892400</v>
      </c>
      <c r="AT131" s="304">
        <v>3892400</v>
      </c>
      <c r="AU131" s="304"/>
      <c r="AV131" s="304"/>
      <c r="AW131" s="304"/>
      <c r="AX131" s="304">
        <f t="shared" si="37"/>
        <v>0</v>
      </c>
      <c r="AY131" s="304"/>
      <c r="AZ131" s="304"/>
      <c r="BA131" s="304"/>
      <c r="BB131" s="304"/>
      <c r="BC131" s="304"/>
      <c r="BD131" s="304"/>
      <c r="BE131" s="305">
        <v>0</v>
      </c>
      <c r="BF131" s="238" t="s">
        <v>53</v>
      </c>
      <c r="BG131" s="263" t="s">
        <v>258</v>
      </c>
      <c r="BH131" s="306"/>
    </row>
    <row r="132" s="270" customFormat="1" ht="15" hidden="1" spans="1:60">
      <c r="A132" s="301">
        <v>125</v>
      </c>
      <c r="B132" s="302" t="s">
        <v>19</v>
      </c>
      <c r="C132" s="302" t="s">
        <v>20</v>
      </c>
      <c r="D132" s="301">
        <v>2020</v>
      </c>
      <c r="E132" s="303" t="s">
        <v>259</v>
      </c>
      <c r="F132" s="301" t="s">
        <v>53</v>
      </c>
      <c r="G132" s="238" t="s">
        <v>53</v>
      </c>
      <c r="H132" s="304">
        <f t="shared" si="26"/>
        <v>5690000</v>
      </c>
      <c r="I132" s="304">
        <f t="shared" si="27"/>
        <v>5690000</v>
      </c>
      <c r="J132" s="304">
        <f t="shared" si="28"/>
        <v>0</v>
      </c>
      <c r="K132" s="304"/>
      <c r="L132" s="304"/>
      <c r="M132" s="304"/>
      <c r="N132" s="304"/>
      <c r="O132" s="304">
        <f t="shared" si="29"/>
        <v>4373300</v>
      </c>
      <c r="P132" s="304">
        <v>4373300</v>
      </c>
      <c r="Q132" s="304"/>
      <c r="R132" s="304"/>
      <c r="S132" s="304"/>
      <c r="T132" s="304">
        <f t="shared" si="30"/>
        <v>1316700</v>
      </c>
      <c r="U132" s="304">
        <v>1316700</v>
      </c>
      <c r="V132" s="304"/>
      <c r="W132" s="304"/>
      <c r="X132" s="304"/>
      <c r="Y132" s="304">
        <f t="shared" si="31"/>
        <v>0</v>
      </c>
      <c r="Z132" s="304"/>
      <c r="AA132" s="304"/>
      <c r="AB132" s="304"/>
      <c r="AC132" s="304"/>
      <c r="AD132" s="304"/>
      <c r="AE132" s="304"/>
      <c r="AF132" s="304"/>
      <c r="AG132" s="304">
        <f t="shared" si="32"/>
        <v>5620214.72</v>
      </c>
      <c r="AH132" s="304">
        <f t="shared" si="33"/>
        <v>5620214.72</v>
      </c>
      <c r="AI132" s="304">
        <f t="shared" si="34"/>
        <v>0</v>
      </c>
      <c r="AJ132" s="304"/>
      <c r="AK132" s="304"/>
      <c r="AL132" s="304"/>
      <c r="AM132" s="304"/>
      <c r="AN132" s="304">
        <f t="shared" si="35"/>
        <v>4373300</v>
      </c>
      <c r="AO132" s="304">
        <v>4373300</v>
      </c>
      <c r="AP132" s="304"/>
      <c r="AQ132" s="304"/>
      <c r="AR132" s="304"/>
      <c r="AS132" s="304">
        <f t="shared" si="36"/>
        <v>1246914.72</v>
      </c>
      <c r="AT132" s="304">
        <v>1246914.72</v>
      </c>
      <c r="AU132" s="304"/>
      <c r="AV132" s="304"/>
      <c r="AW132" s="304"/>
      <c r="AX132" s="304">
        <f t="shared" si="37"/>
        <v>0</v>
      </c>
      <c r="AY132" s="304"/>
      <c r="AZ132" s="304"/>
      <c r="BA132" s="304"/>
      <c r="BB132" s="304"/>
      <c r="BC132" s="304"/>
      <c r="BD132" s="304"/>
      <c r="BE132" s="305">
        <v>0</v>
      </c>
      <c r="BF132" s="238" t="s">
        <v>53</v>
      </c>
      <c r="BG132" s="263" t="s">
        <v>260</v>
      </c>
      <c r="BH132" s="306"/>
    </row>
    <row r="133" s="270" customFormat="1" ht="15" hidden="1" spans="1:60">
      <c r="A133" s="301">
        <v>126</v>
      </c>
      <c r="B133" s="302" t="s">
        <v>19</v>
      </c>
      <c r="C133" s="302" t="s">
        <v>20</v>
      </c>
      <c r="D133" s="301">
        <v>2020</v>
      </c>
      <c r="E133" s="303" t="s">
        <v>261</v>
      </c>
      <c r="F133" s="301" t="s">
        <v>53</v>
      </c>
      <c r="G133" s="238" t="s">
        <v>56</v>
      </c>
      <c r="H133" s="304">
        <f t="shared" si="26"/>
        <v>423100</v>
      </c>
      <c r="I133" s="304">
        <f t="shared" si="27"/>
        <v>423100</v>
      </c>
      <c r="J133" s="304">
        <f t="shared" si="28"/>
        <v>0</v>
      </c>
      <c r="K133" s="304"/>
      <c r="L133" s="304"/>
      <c r="M133" s="304"/>
      <c r="N133" s="304"/>
      <c r="O133" s="304">
        <f t="shared" si="29"/>
        <v>423100</v>
      </c>
      <c r="P133" s="304">
        <v>423100</v>
      </c>
      <c r="Q133" s="304"/>
      <c r="R133" s="304"/>
      <c r="S133" s="304"/>
      <c r="T133" s="304">
        <f t="shared" si="30"/>
        <v>0</v>
      </c>
      <c r="U133" s="304"/>
      <c r="V133" s="304"/>
      <c r="W133" s="304"/>
      <c r="X133" s="304"/>
      <c r="Y133" s="304">
        <f t="shared" si="31"/>
        <v>0</v>
      </c>
      <c r="Z133" s="304"/>
      <c r="AA133" s="304"/>
      <c r="AB133" s="304"/>
      <c r="AC133" s="304"/>
      <c r="AD133" s="304"/>
      <c r="AE133" s="304"/>
      <c r="AF133" s="304"/>
      <c r="AG133" s="304">
        <f t="shared" si="32"/>
        <v>423100</v>
      </c>
      <c r="AH133" s="304">
        <f t="shared" si="33"/>
        <v>423100</v>
      </c>
      <c r="AI133" s="304">
        <f t="shared" si="34"/>
        <v>0</v>
      </c>
      <c r="AJ133" s="304"/>
      <c r="AK133" s="304"/>
      <c r="AL133" s="304"/>
      <c r="AM133" s="304"/>
      <c r="AN133" s="304">
        <f t="shared" si="35"/>
        <v>423100</v>
      </c>
      <c r="AO133" s="304">
        <v>423100</v>
      </c>
      <c r="AP133" s="304"/>
      <c r="AQ133" s="304"/>
      <c r="AR133" s="304"/>
      <c r="AS133" s="304">
        <f t="shared" si="36"/>
        <v>0</v>
      </c>
      <c r="AT133" s="304"/>
      <c r="AU133" s="304"/>
      <c r="AV133" s="304"/>
      <c r="AW133" s="304"/>
      <c r="AX133" s="304">
        <f t="shared" si="37"/>
        <v>0</v>
      </c>
      <c r="AY133" s="304"/>
      <c r="AZ133" s="304"/>
      <c r="BA133" s="304"/>
      <c r="BB133" s="304"/>
      <c r="BC133" s="304"/>
      <c r="BD133" s="304"/>
      <c r="BE133" s="305"/>
      <c r="BF133" s="238" t="s">
        <v>53</v>
      </c>
      <c r="BG133" s="263" t="s">
        <v>262</v>
      </c>
      <c r="BH133" s="306"/>
    </row>
    <row r="134" s="270" customFormat="1" ht="15" hidden="1" spans="1:60">
      <c r="A134" s="301">
        <v>127</v>
      </c>
      <c r="B134" s="302" t="s">
        <v>19</v>
      </c>
      <c r="C134" s="302" t="s">
        <v>20</v>
      </c>
      <c r="D134" s="301">
        <v>2021</v>
      </c>
      <c r="E134" s="303" t="s">
        <v>263</v>
      </c>
      <c r="F134" s="301" t="s">
        <v>53</v>
      </c>
      <c r="G134" s="238" t="s">
        <v>53</v>
      </c>
      <c r="H134" s="304">
        <f t="shared" ref="H134:H197" si="38">I134+AF134</f>
        <v>2544600</v>
      </c>
      <c r="I134" s="304">
        <f t="shared" ref="I134:I197" si="39">O134+J134+T134+Y134+AE134+AC134+AD134</f>
        <v>2544600</v>
      </c>
      <c r="J134" s="304">
        <f t="shared" ref="J134:J197" si="40">N134+M134+L134+K134</f>
        <v>0</v>
      </c>
      <c r="K134" s="304"/>
      <c r="L134" s="304"/>
      <c r="M134" s="304"/>
      <c r="N134" s="304"/>
      <c r="O134" s="304">
        <f t="shared" ref="O134:O197" si="41">S134+R134+Q134+P134</f>
        <v>2544600</v>
      </c>
      <c r="P134" s="304">
        <v>2544600</v>
      </c>
      <c r="Q134" s="304"/>
      <c r="R134" s="304"/>
      <c r="S134" s="304"/>
      <c r="T134" s="304">
        <f t="shared" ref="T134:T197" si="42">U134+V134+W134+X134</f>
        <v>0</v>
      </c>
      <c r="U134" s="304"/>
      <c r="V134" s="304"/>
      <c r="W134" s="304"/>
      <c r="X134" s="304"/>
      <c r="Y134" s="304">
        <f t="shared" ref="Y134:Y197" si="43">AA134+Z134+AB134</f>
        <v>0</v>
      </c>
      <c r="Z134" s="304"/>
      <c r="AA134" s="304"/>
      <c r="AB134" s="304"/>
      <c r="AC134" s="304"/>
      <c r="AD134" s="304"/>
      <c r="AE134" s="304"/>
      <c r="AF134" s="304"/>
      <c r="AG134" s="304">
        <f t="shared" ref="AG134:AG197" si="44">AH134+BE134</f>
        <v>2479294.84</v>
      </c>
      <c r="AH134" s="304">
        <f t="shared" ref="AH134:AH197" si="45">AN134+AI134+AS134+AX134+BD134+BB134+BC134</f>
        <v>2479294.84</v>
      </c>
      <c r="AI134" s="304">
        <f t="shared" ref="AI134:AI197" si="46">AM134+AL134+AK134+AJ134</f>
        <v>0</v>
      </c>
      <c r="AJ134" s="304"/>
      <c r="AK134" s="304"/>
      <c r="AL134" s="304"/>
      <c r="AM134" s="304"/>
      <c r="AN134" s="304">
        <f t="shared" ref="AN134:AN197" si="47">AR134+AQ134+AP134+AO134</f>
        <v>2479294.84</v>
      </c>
      <c r="AO134" s="342">
        <v>2479294.84</v>
      </c>
      <c r="AP134" s="304"/>
      <c r="AQ134" s="304"/>
      <c r="AR134" s="304"/>
      <c r="AS134" s="304">
        <f t="shared" ref="AS134:AS197" si="48">AW134+AV134+AU134+AT134</f>
        <v>0</v>
      </c>
      <c r="AT134" s="304"/>
      <c r="AU134" s="304"/>
      <c r="AV134" s="304"/>
      <c r="AW134" s="304"/>
      <c r="AX134" s="304">
        <f t="shared" ref="AX134:AX197" si="49">AZ134+AY134+BA134</f>
        <v>0</v>
      </c>
      <c r="AY134" s="304"/>
      <c r="AZ134" s="304"/>
      <c r="BA134" s="304"/>
      <c r="BB134" s="304"/>
      <c r="BC134" s="304"/>
      <c r="BD134" s="304"/>
      <c r="BE134" s="305">
        <v>0</v>
      </c>
      <c r="BF134" s="238" t="s">
        <v>53</v>
      </c>
      <c r="BG134" s="263" t="s">
        <v>70</v>
      </c>
      <c r="BH134" s="306" t="s">
        <v>98</v>
      </c>
    </row>
    <row r="135" s="270" customFormat="1" ht="15" hidden="1" spans="1:60">
      <c r="A135" s="301">
        <v>128</v>
      </c>
      <c r="B135" s="302" t="s">
        <v>19</v>
      </c>
      <c r="C135" s="302" t="s">
        <v>20</v>
      </c>
      <c r="D135" s="301">
        <v>2021</v>
      </c>
      <c r="E135" s="303" t="s">
        <v>264</v>
      </c>
      <c r="F135" s="301" t="s">
        <v>53</v>
      </c>
      <c r="G135" s="238" t="s">
        <v>53</v>
      </c>
      <c r="H135" s="304">
        <f t="shared" si="38"/>
        <v>3000000</v>
      </c>
      <c r="I135" s="304">
        <f t="shared" si="39"/>
        <v>3000000</v>
      </c>
      <c r="J135" s="304">
        <f t="shared" si="40"/>
        <v>0</v>
      </c>
      <c r="K135" s="304"/>
      <c r="L135" s="304"/>
      <c r="M135" s="304"/>
      <c r="N135" s="304"/>
      <c r="O135" s="304">
        <f t="shared" si="41"/>
        <v>1200000</v>
      </c>
      <c r="P135" s="304"/>
      <c r="Q135" s="304">
        <v>1200000</v>
      </c>
      <c r="R135" s="304"/>
      <c r="S135" s="304"/>
      <c r="T135" s="304">
        <f t="shared" si="42"/>
        <v>1800000</v>
      </c>
      <c r="U135" s="304">
        <v>1800000</v>
      </c>
      <c r="V135" s="304"/>
      <c r="W135" s="304"/>
      <c r="X135" s="304"/>
      <c r="Y135" s="304">
        <f t="shared" si="43"/>
        <v>0</v>
      </c>
      <c r="Z135" s="304"/>
      <c r="AA135" s="304"/>
      <c r="AB135" s="304"/>
      <c r="AC135" s="304"/>
      <c r="AD135" s="304"/>
      <c r="AE135" s="304"/>
      <c r="AF135" s="304"/>
      <c r="AG135" s="304">
        <f t="shared" si="44"/>
        <v>2632401.56</v>
      </c>
      <c r="AH135" s="304">
        <f t="shared" si="45"/>
        <v>2632401.56</v>
      </c>
      <c r="AI135" s="304">
        <f t="shared" si="46"/>
        <v>0</v>
      </c>
      <c r="AJ135" s="304"/>
      <c r="AK135" s="304"/>
      <c r="AL135" s="304"/>
      <c r="AM135" s="304"/>
      <c r="AN135" s="304">
        <f t="shared" si="47"/>
        <v>832401.56</v>
      </c>
      <c r="AO135" s="304"/>
      <c r="AP135" s="304">
        <v>832401.56</v>
      </c>
      <c r="AQ135" s="304"/>
      <c r="AR135" s="304"/>
      <c r="AS135" s="304">
        <f t="shared" si="48"/>
        <v>1800000</v>
      </c>
      <c r="AT135" s="304">
        <v>1800000</v>
      </c>
      <c r="AU135" s="304"/>
      <c r="AV135" s="304"/>
      <c r="AW135" s="304"/>
      <c r="AX135" s="304">
        <f t="shared" si="49"/>
        <v>0</v>
      </c>
      <c r="AY135" s="304"/>
      <c r="AZ135" s="304"/>
      <c r="BA135" s="304"/>
      <c r="BB135" s="304"/>
      <c r="BC135" s="304"/>
      <c r="BD135" s="304"/>
      <c r="BE135" s="305">
        <v>0</v>
      </c>
      <c r="BF135" s="238" t="s">
        <v>53</v>
      </c>
      <c r="BG135" s="263" t="s">
        <v>70</v>
      </c>
      <c r="BH135" s="306"/>
    </row>
    <row r="136" s="270" customFormat="1" ht="15" hidden="1" spans="1:60">
      <c r="A136" s="301">
        <v>129</v>
      </c>
      <c r="B136" s="302" t="s">
        <v>19</v>
      </c>
      <c r="C136" s="302" t="s">
        <v>20</v>
      </c>
      <c r="D136" s="301">
        <v>2021</v>
      </c>
      <c r="E136" s="303" t="s">
        <v>265</v>
      </c>
      <c r="F136" s="301" t="s">
        <v>53</v>
      </c>
      <c r="G136" s="238" t="s">
        <v>53</v>
      </c>
      <c r="H136" s="304">
        <f t="shared" si="38"/>
        <v>3000000</v>
      </c>
      <c r="I136" s="304">
        <f t="shared" si="39"/>
        <v>3000000</v>
      </c>
      <c r="J136" s="304">
        <f t="shared" si="40"/>
        <v>0</v>
      </c>
      <c r="K136" s="304"/>
      <c r="L136" s="304"/>
      <c r="M136" s="304"/>
      <c r="N136" s="304"/>
      <c r="O136" s="304">
        <f t="shared" si="41"/>
        <v>1200000</v>
      </c>
      <c r="P136" s="304">
        <v>1200000</v>
      </c>
      <c r="Q136" s="304"/>
      <c r="R136" s="304"/>
      <c r="S136" s="304"/>
      <c r="T136" s="304">
        <f t="shared" si="42"/>
        <v>1800000</v>
      </c>
      <c r="U136" s="304">
        <v>1800000</v>
      </c>
      <c r="V136" s="304"/>
      <c r="W136" s="304"/>
      <c r="X136" s="304"/>
      <c r="Y136" s="304">
        <f t="shared" si="43"/>
        <v>0</v>
      </c>
      <c r="Z136" s="304"/>
      <c r="AA136" s="304"/>
      <c r="AB136" s="304"/>
      <c r="AC136" s="304"/>
      <c r="AD136" s="304"/>
      <c r="AE136" s="304"/>
      <c r="AF136" s="304"/>
      <c r="AG136" s="304">
        <f t="shared" si="44"/>
        <v>2897956.88</v>
      </c>
      <c r="AH136" s="304">
        <f t="shared" si="45"/>
        <v>2897956.88</v>
      </c>
      <c r="AI136" s="304">
        <f t="shared" si="46"/>
        <v>0</v>
      </c>
      <c r="AJ136" s="304"/>
      <c r="AK136" s="304"/>
      <c r="AL136" s="304"/>
      <c r="AM136" s="304"/>
      <c r="AN136" s="304">
        <f t="shared" si="47"/>
        <v>1200000</v>
      </c>
      <c r="AO136" s="342">
        <v>1200000</v>
      </c>
      <c r="AP136" s="304"/>
      <c r="AQ136" s="304"/>
      <c r="AR136" s="304"/>
      <c r="AS136" s="304">
        <f t="shared" si="48"/>
        <v>1697956.88</v>
      </c>
      <c r="AT136" s="304">
        <v>1697956.88</v>
      </c>
      <c r="AU136" s="304"/>
      <c r="AV136" s="304"/>
      <c r="AW136" s="304"/>
      <c r="AX136" s="304">
        <f t="shared" si="49"/>
        <v>0</v>
      </c>
      <c r="AY136" s="304"/>
      <c r="AZ136" s="304"/>
      <c r="BA136" s="304"/>
      <c r="BB136" s="304"/>
      <c r="BC136" s="304"/>
      <c r="BD136" s="304"/>
      <c r="BE136" s="305">
        <v>0</v>
      </c>
      <c r="BF136" s="238" t="s">
        <v>53</v>
      </c>
      <c r="BG136" s="263" t="s">
        <v>54</v>
      </c>
      <c r="BH136" s="306"/>
    </row>
    <row r="137" s="270" customFormat="1" ht="15" hidden="1" spans="1:60">
      <c r="A137" s="301">
        <v>130</v>
      </c>
      <c r="B137" s="302" t="s">
        <v>19</v>
      </c>
      <c r="C137" s="302" t="s">
        <v>20</v>
      </c>
      <c r="D137" s="301">
        <v>2021</v>
      </c>
      <c r="E137" s="303" t="s">
        <v>266</v>
      </c>
      <c r="F137" s="301" t="s">
        <v>53</v>
      </c>
      <c r="G137" s="238" t="s">
        <v>53</v>
      </c>
      <c r="H137" s="304">
        <f t="shared" si="38"/>
        <v>3600000</v>
      </c>
      <c r="I137" s="304">
        <f t="shared" si="39"/>
        <v>3600000</v>
      </c>
      <c r="J137" s="304">
        <f t="shared" si="40"/>
        <v>0</v>
      </c>
      <c r="K137" s="304"/>
      <c r="L137" s="304"/>
      <c r="M137" s="304"/>
      <c r="N137" s="304"/>
      <c r="O137" s="304">
        <f t="shared" si="41"/>
        <v>1530000</v>
      </c>
      <c r="P137" s="304">
        <v>1530000</v>
      </c>
      <c r="Q137" s="304"/>
      <c r="R137" s="304"/>
      <c r="S137" s="304"/>
      <c r="T137" s="304">
        <f t="shared" si="42"/>
        <v>2070000</v>
      </c>
      <c r="U137" s="304">
        <v>2070000</v>
      </c>
      <c r="V137" s="304"/>
      <c r="W137" s="304"/>
      <c r="X137" s="304"/>
      <c r="Y137" s="304">
        <f t="shared" si="43"/>
        <v>0</v>
      </c>
      <c r="Z137" s="304"/>
      <c r="AA137" s="304"/>
      <c r="AB137" s="304"/>
      <c r="AC137" s="304"/>
      <c r="AD137" s="304"/>
      <c r="AE137" s="304"/>
      <c r="AF137" s="304"/>
      <c r="AG137" s="304">
        <f t="shared" si="44"/>
        <v>3332592.24</v>
      </c>
      <c r="AH137" s="304">
        <f t="shared" si="45"/>
        <v>3332592.24</v>
      </c>
      <c r="AI137" s="304">
        <f t="shared" si="46"/>
        <v>0</v>
      </c>
      <c r="AJ137" s="304"/>
      <c r="AK137" s="304"/>
      <c r="AL137" s="304"/>
      <c r="AM137" s="304"/>
      <c r="AN137" s="304">
        <f t="shared" si="47"/>
        <v>1530000</v>
      </c>
      <c r="AO137" s="342">
        <v>1530000</v>
      </c>
      <c r="AP137" s="304"/>
      <c r="AQ137" s="304"/>
      <c r="AR137" s="304"/>
      <c r="AS137" s="304">
        <f t="shared" si="48"/>
        <v>1802592.24</v>
      </c>
      <c r="AT137" s="304">
        <v>1802592.24</v>
      </c>
      <c r="AU137" s="304"/>
      <c r="AV137" s="304"/>
      <c r="AW137" s="304"/>
      <c r="AX137" s="304">
        <f t="shared" si="49"/>
        <v>0</v>
      </c>
      <c r="AY137" s="304"/>
      <c r="AZ137" s="304"/>
      <c r="BA137" s="304"/>
      <c r="BB137" s="304"/>
      <c r="BC137" s="304"/>
      <c r="BD137" s="304"/>
      <c r="BE137" s="305">
        <v>0</v>
      </c>
      <c r="BF137" s="238" t="s">
        <v>53</v>
      </c>
      <c r="BG137" s="263" t="s">
        <v>54</v>
      </c>
      <c r="BH137" s="306"/>
    </row>
    <row r="138" s="78" customFormat="1" ht="15" hidden="1" spans="1:60">
      <c r="A138" s="301">
        <v>131</v>
      </c>
      <c r="B138" s="307" t="s">
        <v>19</v>
      </c>
      <c r="C138" s="307" t="s">
        <v>20</v>
      </c>
      <c r="D138" s="308">
        <v>2021</v>
      </c>
      <c r="E138" s="313" t="s">
        <v>267</v>
      </c>
      <c r="F138" s="308" t="s">
        <v>53</v>
      </c>
      <c r="G138" s="127" t="s">
        <v>53</v>
      </c>
      <c r="H138" s="310">
        <f t="shared" si="38"/>
        <v>1100800</v>
      </c>
      <c r="I138" s="310">
        <f t="shared" si="39"/>
        <v>1100800</v>
      </c>
      <c r="J138" s="310">
        <f t="shared" si="40"/>
        <v>0</v>
      </c>
      <c r="K138" s="310"/>
      <c r="L138" s="310"/>
      <c r="M138" s="310"/>
      <c r="N138" s="310"/>
      <c r="O138" s="310">
        <f t="shared" si="41"/>
        <v>0</v>
      </c>
      <c r="P138" s="310"/>
      <c r="Q138" s="310"/>
      <c r="R138" s="310"/>
      <c r="S138" s="310"/>
      <c r="T138" s="310">
        <f t="shared" si="42"/>
        <v>1100800</v>
      </c>
      <c r="U138" s="310">
        <v>1100800</v>
      </c>
      <c r="V138" s="310"/>
      <c r="W138" s="310"/>
      <c r="X138" s="310"/>
      <c r="Y138" s="310">
        <f t="shared" si="43"/>
        <v>0</v>
      </c>
      <c r="Z138" s="310"/>
      <c r="AA138" s="310"/>
      <c r="AB138" s="310"/>
      <c r="AC138" s="310"/>
      <c r="AD138" s="310"/>
      <c r="AE138" s="310"/>
      <c r="AF138" s="310"/>
      <c r="AG138" s="310">
        <f t="shared" si="44"/>
        <v>1026758.76</v>
      </c>
      <c r="AH138" s="310">
        <f t="shared" si="45"/>
        <v>1026758.76</v>
      </c>
      <c r="AI138" s="310">
        <f t="shared" si="46"/>
        <v>0</v>
      </c>
      <c r="AJ138" s="310"/>
      <c r="AK138" s="310"/>
      <c r="AL138" s="310"/>
      <c r="AM138" s="310"/>
      <c r="AN138" s="310">
        <f t="shared" si="47"/>
        <v>0</v>
      </c>
      <c r="AO138" s="314"/>
      <c r="AP138" s="310"/>
      <c r="AQ138" s="310"/>
      <c r="AR138" s="310"/>
      <c r="AS138" s="310">
        <f t="shared" si="48"/>
        <v>1026758.76</v>
      </c>
      <c r="AT138" s="310">
        <v>1026758.76</v>
      </c>
      <c r="AU138" s="310"/>
      <c r="AV138" s="310"/>
      <c r="AW138" s="310"/>
      <c r="AX138" s="310">
        <f t="shared" si="49"/>
        <v>0</v>
      </c>
      <c r="AY138" s="310"/>
      <c r="AZ138" s="310"/>
      <c r="BA138" s="310"/>
      <c r="BB138" s="310"/>
      <c r="BC138" s="310"/>
      <c r="BD138" s="310"/>
      <c r="BE138" s="312">
        <v>0</v>
      </c>
      <c r="BF138" s="134" t="s">
        <v>56</v>
      </c>
      <c r="BG138" s="315" t="s">
        <v>162</v>
      </c>
      <c r="BH138" s="137" t="s">
        <v>157</v>
      </c>
    </row>
    <row r="139" s="78" customFormat="1" ht="15" hidden="1" spans="1:60">
      <c r="A139" s="301">
        <v>132</v>
      </c>
      <c r="B139" s="307" t="s">
        <v>19</v>
      </c>
      <c r="C139" s="307" t="s">
        <v>20</v>
      </c>
      <c r="D139" s="308">
        <v>2021</v>
      </c>
      <c r="E139" s="313" t="s">
        <v>268</v>
      </c>
      <c r="F139" s="308" t="s">
        <v>53</v>
      </c>
      <c r="G139" s="127" t="s">
        <v>53</v>
      </c>
      <c r="H139" s="310">
        <f t="shared" si="38"/>
        <v>1140000</v>
      </c>
      <c r="I139" s="310">
        <f t="shared" si="39"/>
        <v>1140000</v>
      </c>
      <c r="J139" s="310">
        <f t="shared" si="40"/>
        <v>0</v>
      </c>
      <c r="K139" s="310"/>
      <c r="L139" s="310"/>
      <c r="M139" s="310"/>
      <c r="N139" s="310"/>
      <c r="O139" s="310">
        <f t="shared" si="41"/>
        <v>0</v>
      </c>
      <c r="P139" s="310"/>
      <c r="Q139" s="310"/>
      <c r="R139" s="310"/>
      <c r="S139" s="310"/>
      <c r="T139" s="310">
        <f t="shared" si="42"/>
        <v>1140000</v>
      </c>
      <c r="U139" s="310">
        <v>1140000</v>
      </c>
      <c r="V139" s="310"/>
      <c r="W139" s="310"/>
      <c r="X139" s="310"/>
      <c r="Y139" s="310">
        <f t="shared" si="43"/>
        <v>0</v>
      </c>
      <c r="Z139" s="310"/>
      <c r="AA139" s="310"/>
      <c r="AB139" s="310"/>
      <c r="AC139" s="310"/>
      <c r="AD139" s="310"/>
      <c r="AE139" s="310"/>
      <c r="AF139" s="310"/>
      <c r="AG139" s="310">
        <f t="shared" si="44"/>
        <v>1089516.23</v>
      </c>
      <c r="AH139" s="310">
        <f t="shared" si="45"/>
        <v>1089516.23</v>
      </c>
      <c r="AI139" s="310">
        <f t="shared" si="46"/>
        <v>0</v>
      </c>
      <c r="AJ139" s="310"/>
      <c r="AK139" s="310"/>
      <c r="AL139" s="310"/>
      <c r="AM139" s="310"/>
      <c r="AN139" s="310">
        <f t="shared" si="47"/>
        <v>0</v>
      </c>
      <c r="AO139" s="314"/>
      <c r="AP139" s="310"/>
      <c r="AQ139" s="310"/>
      <c r="AR139" s="310"/>
      <c r="AS139" s="310">
        <f t="shared" si="48"/>
        <v>1089516.23</v>
      </c>
      <c r="AT139" s="310">
        <v>1089516.23</v>
      </c>
      <c r="AU139" s="310"/>
      <c r="AV139" s="310"/>
      <c r="AW139" s="310"/>
      <c r="AX139" s="310">
        <f t="shared" si="49"/>
        <v>0</v>
      </c>
      <c r="AY139" s="310"/>
      <c r="AZ139" s="310"/>
      <c r="BA139" s="310"/>
      <c r="BB139" s="310"/>
      <c r="BC139" s="310"/>
      <c r="BD139" s="310"/>
      <c r="BE139" s="312">
        <v>0</v>
      </c>
      <c r="BF139" s="134" t="s">
        <v>56</v>
      </c>
      <c r="BG139" s="315" t="s">
        <v>162</v>
      </c>
      <c r="BH139" s="137" t="s">
        <v>82</v>
      </c>
    </row>
    <row r="140" s="78" customFormat="1" ht="15" hidden="1" spans="1:60">
      <c r="A140" s="301">
        <v>133</v>
      </c>
      <c r="B140" s="307" t="s">
        <v>19</v>
      </c>
      <c r="C140" s="307" t="s">
        <v>20</v>
      </c>
      <c r="D140" s="308">
        <v>2021</v>
      </c>
      <c r="E140" s="313" t="s">
        <v>269</v>
      </c>
      <c r="F140" s="308" t="s">
        <v>53</v>
      </c>
      <c r="G140" s="127" t="s">
        <v>53</v>
      </c>
      <c r="H140" s="310">
        <f t="shared" si="38"/>
        <v>449800</v>
      </c>
      <c r="I140" s="310">
        <f t="shared" si="39"/>
        <v>449800</v>
      </c>
      <c r="J140" s="310">
        <f t="shared" si="40"/>
        <v>0</v>
      </c>
      <c r="K140" s="310"/>
      <c r="L140" s="310"/>
      <c r="M140" s="310"/>
      <c r="N140" s="310"/>
      <c r="O140" s="310">
        <f t="shared" si="41"/>
        <v>0</v>
      </c>
      <c r="P140" s="310"/>
      <c r="Q140" s="310"/>
      <c r="R140" s="310"/>
      <c r="S140" s="310"/>
      <c r="T140" s="310">
        <f t="shared" si="42"/>
        <v>449800</v>
      </c>
      <c r="U140" s="310">
        <v>449800</v>
      </c>
      <c r="V140" s="310"/>
      <c r="W140" s="310"/>
      <c r="X140" s="310"/>
      <c r="Y140" s="310">
        <f t="shared" si="43"/>
        <v>0</v>
      </c>
      <c r="Z140" s="310"/>
      <c r="AA140" s="310"/>
      <c r="AB140" s="310"/>
      <c r="AC140" s="310"/>
      <c r="AD140" s="310"/>
      <c r="AE140" s="310"/>
      <c r="AF140" s="310"/>
      <c r="AG140" s="310">
        <f t="shared" si="44"/>
        <v>449800</v>
      </c>
      <c r="AH140" s="310">
        <f t="shared" si="45"/>
        <v>449800</v>
      </c>
      <c r="AI140" s="310">
        <f t="shared" si="46"/>
        <v>0</v>
      </c>
      <c r="AJ140" s="310"/>
      <c r="AK140" s="310"/>
      <c r="AL140" s="310"/>
      <c r="AM140" s="310"/>
      <c r="AN140" s="310">
        <f t="shared" si="47"/>
        <v>0</v>
      </c>
      <c r="AO140" s="314"/>
      <c r="AP140" s="310"/>
      <c r="AQ140" s="310"/>
      <c r="AR140" s="310"/>
      <c r="AS140" s="310">
        <f t="shared" si="48"/>
        <v>449800</v>
      </c>
      <c r="AT140" s="310">
        <v>449800</v>
      </c>
      <c r="AU140" s="310"/>
      <c r="AV140" s="310"/>
      <c r="AW140" s="310"/>
      <c r="AX140" s="310">
        <f t="shared" si="49"/>
        <v>0</v>
      </c>
      <c r="AY140" s="310"/>
      <c r="AZ140" s="310"/>
      <c r="BA140" s="310"/>
      <c r="BB140" s="310"/>
      <c r="BC140" s="310"/>
      <c r="BD140" s="310"/>
      <c r="BE140" s="312">
        <v>0</v>
      </c>
      <c r="BF140" s="134" t="s">
        <v>56</v>
      </c>
      <c r="BG140" s="315" t="s">
        <v>239</v>
      </c>
      <c r="BH140" s="137" t="s">
        <v>157</v>
      </c>
    </row>
    <row r="141" s="78" customFormat="1" ht="15" hidden="1" spans="1:60">
      <c r="A141" s="301">
        <v>134</v>
      </c>
      <c r="B141" s="307" t="s">
        <v>19</v>
      </c>
      <c r="C141" s="307" t="s">
        <v>20</v>
      </c>
      <c r="D141" s="308">
        <v>2021</v>
      </c>
      <c r="E141" s="313" t="s">
        <v>270</v>
      </c>
      <c r="F141" s="308" t="s">
        <v>53</v>
      </c>
      <c r="G141" s="127" t="s">
        <v>53</v>
      </c>
      <c r="H141" s="310">
        <f t="shared" si="38"/>
        <v>3837800</v>
      </c>
      <c r="I141" s="310">
        <f t="shared" si="39"/>
        <v>3837800</v>
      </c>
      <c r="J141" s="310">
        <f t="shared" si="40"/>
        <v>0</v>
      </c>
      <c r="K141" s="310"/>
      <c r="L141" s="310"/>
      <c r="M141" s="310"/>
      <c r="N141" s="310"/>
      <c r="O141" s="310">
        <f t="shared" si="41"/>
        <v>3837800</v>
      </c>
      <c r="P141" s="310">
        <v>3837800</v>
      </c>
      <c r="Q141" s="310"/>
      <c r="R141" s="310"/>
      <c r="S141" s="310"/>
      <c r="T141" s="310">
        <f t="shared" si="42"/>
        <v>0</v>
      </c>
      <c r="U141" s="310"/>
      <c r="V141" s="310"/>
      <c r="W141" s="310"/>
      <c r="X141" s="310"/>
      <c r="Y141" s="310">
        <f t="shared" si="43"/>
        <v>0</v>
      </c>
      <c r="Z141" s="310"/>
      <c r="AA141" s="310"/>
      <c r="AB141" s="310"/>
      <c r="AC141" s="310"/>
      <c r="AD141" s="310"/>
      <c r="AE141" s="310"/>
      <c r="AF141" s="310"/>
      <c r="AG141" s="310">
        <f t="shared" si="44"/>
        <v>3715590.52</v>
      </c>
      <c r="AH141" s="310">
        <f t="shared" si="45"/>
        <v>3715590.52</v>
      </c>
      <c r="AI141" s="310">
        <f t="shared" si="46"/>
        <v>0</v>
      </c>
      <c r="AJ141" s="310"/>
      <c r="AK141" s="310"/>
      <c r="AL141" s="310"/>
      <c r="AM141" s="310"/>
      <c r="AN141" s="310">
        <f t="shared" si="47"/>
        <v>3715590.52</v>
      </c>
      <c r="AO141" s="310">
        <v>3715590.52</v>
      </c>
      <c r="AP141" s="310"/>
      <c r="AQ141" s="310"/>
      <c r="AR141" s="310"/>
      <c r="AS141" s="310">
        <f t="shared" si="48"/>
        <v>0</v>
      </c>
      <c r="AT141" s="310"/>
      <c r="AU141" s="310"/>
      <c r="AV141" s="310"/>
      <c r="AW141" s="310"/>
      <c r="AX141" s="310">
        <f t="shared" si="49"/>
        <v>0</v>
      </c>
      <c r="AY141" s="310"/>
      <c r="AZ141" s="310"/>
      <c r="BA141" s="310"/>
      <c r="BB141" s="310"/>
      <c r="BC141" s="310"/>
      <c r="BD141" s="310"/>
      <c r="BE141" s="312">
        <v>0</v>
      </c>
      <c r="BF141" s="134" t="s">
        <v>56</v>
      </c>
      <c r="BG141" s="315" t="s">
        <v>162</v>
      </c>
      <c r="BH141" s="137" t="s">
        <v>131</v>
      </c>
    </row>
    <row r="142" s="78" customFormat="1" ht="15" hidden="1" spans="1:60">
      <c r="A142" s="301">
        <v>135</v>
      </c>
      <c r="B142" s="307" t="s">
        <v>19</v>
      </c>
      <c r="C142" s="307" t="s">
        <v>20</v>
      </c>
      <c r="D142" s="308">
        <v>2021</v>
      </c>
      <c r="E142" s="313" t="s">
        <v>271</v>
      </c>
      <c r="F142" s="308" t="s">
        <v>53</v>
      </c>
      <c r="G142" s="127" t="s">
        <v>53</v>
      </c>
      <c r="H142" s="310">
        <f t="shared" si="38"/>
        <v>2120000</v>
      </c>
      <c r="I142" s="310">
        <f t="shared" si="39"/>
        <v>2120000</v>
      </c>
      <c r="J142" s="310">
        <f t="shared" si="40"/>
        <v>0</v>
      </c>
      <c r="K142" s="310"/>
      <c r="L142" s="310"/>
      <c r="M142" s="310"/>
      <c r="N142" s="310"/>
      <c r="O142" s="310">
        <f t="shared" si="41"/>
        <v>0</v>
      </c>
      <c r="P142" s="310"/>
      <c r="Q142" s="310"/>
      <c r="R142" s="310"/>
      <c r="S142" s="310"/>
      <c r="T142" s="310">
        <f t="shared" si="42"/>
        <v>2120000</v>
      </c>
      <c r="U142" s="310">
        <v>2120000</v>
      </c>
      <c r="V142" s="310"/>
      <c r="W142" s="310"/>
      <c r="X142" s="310"/>
      <c r="Y142" s="310">
        <f t="shared" si="43"/>
        <v>0</v>
      </c>
      <c r="Z142" s="310"/>
      <c r="AA142" s="310"/>
      <c r="AB142" s="310"/>
      <c r="AC142" s="310"/>
      <c r="AD142" s="310"/>
      <c r="AE142" s="310"/>
      <c r="AF142" s="310"/>
      <c r="AG142" s="310">
        <f t="shared" si="44"/>
        <v>2054625.61</v>
      </c>
      <c r="AH142" s="310">
        <f t="shared" si="45"/>
        <v>2054625.61</v>
      </c>
      <c r="AI142" s="310">
        <f t="shared" si="46"/>
        <v>0</v>
      </c>
      <c r="AJ142" s="310"/>
      <c r="AK142" s="310"/>
      <c r="AL142" s="310"/>
      <c r="AM142" s="310"/>
      <c r="AN142" s="310">
        <f t="shared" si="47"/>
        <v>0</v>
      </c>
      <c r="AO142" s="310"/>
      <c r="AP142" s="310"/>
      <c r="AQ142" s="310"/>
      <c r="AR142" s="310"/>
      <c r="AS142" s="310">
        <f t="shared" si="48"/>
        <v>2054625.61</v>
      </c>
      <c r="AT142" s="310">
        <v>2054625.61</v>
      </c>
      <c r="AU142" s="310"/>
      <c r="AV142" s="310"/>
      <c r="AW142" s="310"/>
      <c r="AX142" s="310">
        <f t="shared" si="49"/>
        <v>0</v>
      </c>
      <c r="AY142" s="310"/>
      <c r="AZ142" s="310"/>
      <c r="BA142" s="310"/>
      <c r="BB142" s="310"/>
      <c r="BC142" s="310"/>
      <c r="BD142" s="310"/>
      <c r="BE142" s="312">
        <v>0</v>
      </c>
      <c r="BF142" s="134" t="s">
        <v>56</v>
      </c>
      <c r="BG142" s="315" t="s">
        <v>162</v>
      </c>
      <c r="BH142" s="137" t="s">
        <v>157</v>
      </c>
    </row>
    <row r="143" s="78" customFormat="1" ht="15" hidden="1" spans="1:60">
      <c r="A143" s="301">
        <v>136</v>
      </c>
      <c r="B143" s="307" t="s">
        <v>19</v>
      </c>
      <c r="C143" s="307" t="s">
        <v>20</v>
      </c>
      <c r="D143" s="308">
        <v>2021</v>
      </c>
      <c r="E143" s="313" t="s">
        <v>272</v>
      </c>
      <c r="F143" s="308" t="s">
        <v>53</v>
      </c>
      <c r="G143" s="127" t="s">
        <v>53</v>
      </c>
      <c r="H143" s="310">
        <f t="shared" si="38"/>
        <v>450000</v>
      </c>
      <c r="I143" s="310">
        <f t="shared" si="39"/>
        <v>450000</v>
      </c>
      <c r="J143" s="310">
        <f t="shared" si="40"/>
        <v>0</v>
      </c>
      <c r="K143" s="310"/>
      <c r="L143" s="310"/>
      <c r="M143" s="310"/>
      <c r="N143" s="310"/>
      <c r="O143" s="310">
        <f t="shared" si="41"/>
        <v>0</v>
      </c>
      <c r="P143" s="310"/>
      <c r="Q143" s="310"/>
      <c r="R143" s="310"/>
      <c r="S143" s="310"/>
      <c r="T143" s="310">
        <f t="shared" si="42"/>
        <v>450000</v>
      </c>
      <c r="U143" s="310">
        <v>450000</v>
      </c>
      <c r="V143" s="310"/>
      <c r="W143" s="310"/>
      <c r="X143" s="310"/>
      <c r="Y143" s="310">
        <f t="shared" si="43"/>
        <v>0</v>
      </c>
      <c r="Z143" s="310"/>
      <c r="AA143" s="310"/>
      <c r="AB143" s="310"/>
      <c r="AC143" s="310"/>
      <c r="AD143" s="310"/>
      <c r="AE143" s="310"/>
      <c r="AF143" s="310"/>
      <c r="AG143" s="310">
        <f t="shared" si="44"/>
        <v>450000</v>
      </c>
      <c r="AH143" s="310">
        <f t="shared" si="45"/>
        <v>450000</v>
      </c>
      <c r="AI143" s="310">
        <f t="shared" si="46"/>
        <v>0</v>
      </c>
      <c r="AJ143" s="310"/>
      <c r="AK143" s="310"/>
      <c r="AL143" s="310"/>
      <c r="AM143" s="310"/>
      <c r="AN143" s="310">
        <f t="shared" si="47"/>
        <v>0</v>
      </c>
      <c r="AO143" s="314"/>
      <c r="AP143" s="310"/>
      <c r="AQ143" s="310"/>
      <c r="AR143" s="310"/>
      <c r="AS143" s="310">
        <f t="shared" si="48"/>
        <v>450000</v>
      </c>
      <c r="AT143" s="310">
        <v>450000</v>
      </c>
      <c r="AU143" s="310"/>
      <c r="AV143" s="310"/>
      <c r="AW143" s="310"/>
      <c r="AX143" s="310">
        <f t="shared" si="49"/>
        <v>0</v>
      </c>
      <c r="AY143" s="310"/>
      <c r="AZ143" s="310"/>
      <c r="BA143" s="310"/>
      <c r="BB143" s="310"/>
      <c r="BC143" s="310"/>
      <c r="BD143" s="310"/>
      <c r="BE143" s="312">
        <v>0</v>
      </c>
      <c r="BF143" s="134" t="s">
        <v>56</v>
      </c>
      <c r="BG143" s="315" t="s">
        <v>179</v>
      </c>
      <c r="BH143" s="137" t="s">
        <v>157</v>
      </c>
    </row>
    <row r="144" s="78" customFormat="1" ht="15" hidden="1" spans="1:60">
      <c r="A144" s="301">
        <v>137</v>
      </c>
      <c r="B144" s="307" t="s">
        <v>19</v>
      </c>
      <c r="C144" s="307" t="s">
        <v>20</v>
      </c>
      <c r="D144" s="308">
        <v>2022</v>
      </c>
      <c r="E144" s="313" t="s">
        <v>273</v>
      </c>
      <c r="F144" s="308" t="s">
        <v>53</v>
      </c>
      <c r="G144" s="127" t="s">
        <v>53</v>
      </c>
      <c r="H144" s="310">
        <f t="shared" si="38"/>
        <v>750000</v>
      </c>
      <c r="I144" s="310">
        <f t="shared" si="39"/>
        <v>750000</v>
      </c>
      <c r="J144" s="310">
        <f t="shared" si="40"/>
        <v>0</v>
      </c>
      <c r="K144" s="310"/>
      <c r="L144" s="310"/>
      <c r="M144" s="310"/>
      <c r="N144" s="310"/>
      <c r="O144" s="310">
        <f t="shared" si="41"/>
        <v>0</v>
      </c>
      <c r="P144" s="310"/>
      <c r="Q144" s="310"/>
      <c r="R144" s="310"/>
      <c r="S144" s="310"/>
      <c r="T144" s="310">
        <f t="shared" si="42"/>
        <v>750000</v>
      </c>
      <c r="U144" s="310">
        <v>750000</v>
      </c>
      <c r="V144" s="310"/>
      <c r="W144" s="310"/>
      <c r="X144" s="310"/>
      <c r="Y144" s="310">
        <f t="shared" si="43"/>
        <v>0</v>
      </c>
      <c r="Z144" s="310"/>
      <c r="AA144" s="310"/>
      <c r="AB144" s="310"/>
      <c r="AC144" s="310"/>
      <c r="AD144" s="310"/>
      <c r="AE144" s="310"/>
      <c r="AF144" s="310"/>
      <c r="AG144" s="310">
        <f t="shared" si="44"/>
        <v>717824.3</v>
      </c>
      <c r="AH144" s="310">
        <f t="shared" si="45"/>
        <v>717824.3</v>
      </c>
      <c r="AI144" s="310">
        <f t="shared" si="46"/>
        <v>0</v>
      </c>
      <c r="AJ144" s="310"/>
      <c r="AK144" s="310"/>
      <c r="AL144" s="310"/>
      <c r="AM144" s="310"/>
      <c r="AN144" s="310">
        <f t="shared" si="47"/>
        <v>0</v>
      </c>
      <c r="AO144" s="314"/>
      <c r="AP144" s="310"/>
      <c r="AQ144" s="310"/>
      <c r="AR144" s="310"/>
      <c r="AS144" s="310">
        <f t="shared" si="48"/>
        <v>717824.3</v>
      </c>
      <c r="AT144" s="310">
        <v>717824.3</v>
      </c>
      <c r="AU144" s="310"/>
      <c r="AV144" s="310"/>
      <c r="AW144" s="310"/>
      <c r="AX144" s="310">
        <f t="shared" si="49"/>
        <v>0</v>
      </c>
      <c r="AY144" s="310"/>
      <c r="AZ144" s="310"/>
      <c r="BA144" s="310"/>
      <c r="BB144" s="310"/>
      <c r="BC144" s="310"/>
      <c r="BD144" s="310"/>
      <c r="BE144" s="312">
        <v>0</v>
      </c>
      <c r="BF144" s="134" t="s">
        <v>56</v>
      </c>
      <c r="BG144" s="315" t="s">
        <v>162</v>
      </c>
      <c r="BH144" s="137" t="s">
        <v>157</v>
      </c>
    </row>
    <row r="145" s="78" customFormat="1" ht="15" hidden="1" spans="1:60">
      <c r="A145" s="301">
        <v>138</v>
      </c>
      <c r="B145" s="307" t="s">
        <v>19</v>
      </c>
      <c r="C145" s="307" t="s">
        <v>20</v>
      </c>
      <c r="D145" s="308">
        <v>2022</v>
      </c>
      <c r="E145" s="313" t="s">
        <v>274</v>
      </c>
      <c r="F145" s="308" t="s">
        <v>53</v>
      </c>
      <c r="G145" s="127" t="s">
        <v>53</v>
      </c>
      <c r="H145" s="310">
        <f t="shared" si="38"/>
        <v>1839000</v>
      </c>
      <c r="I145" s="310">
        <f t="shared" si="39"/>
        <v>1839000</v>
      </c>
      <c r="J145" s="310">
        <f t="shared" si="40"/>
        <v>0</v>
      </c>
      <c r="K145" s="310"/>
      <c r="L145" s="310"/>
      <c r="M145" s="310"/>
      <c r="N145" s="310"/>
      <c r="O145" s="310">
        <f t="shared" si="41"/>
        <v>0</v>
      </c>
      <c r="P145" s="310"/>
      <c r="Q145" s="310"/>
      <c r="R145" s="310"/>
      <c r="S145" s="310"/>
      <c r="T145" s="310">
        <f t="shared" si="42"/>
        <v>1839000</v>
      </c>
      <c r="U145" s="310">
        <v>1839000</v>
      </c>
      <c r="V145" s="310"/>
      <c r="W145" s="310"/>
      <c r="X145" s="310"/>
      <c r="Y145" s="310">
        <f t="shared" si="43"/>
        <v>0</v>
      </c>
      <c r="Z145" s="310"/>
      <c r="AA145" s="310"/>
      <c r="AB145" s="310"/>
      <c r="AC145" s="310"/>
      <c r="AD145" s="310"/>
      <c r="AE145" s="310"/>
      <c r="AF145" s="310"/>
      <c r="AG145" s="310">
        <f t="shared" si="44"/>
        <v>1788588.72</v>
      </c>
      <c r="AH145" s="310">
        <f t="shared" si="45"/>
        <v>1788588.72</v>
      </c>
      <c r="AI145" s="310">
        <f t="shared" si="46"/>
        <v>0</v>
      </c>
      <c r="AJ145" s="310"/>
      <c r="AK145" s="310"/>
      <c r="AL145" s="310"/>
      <c r="AM145" s="310"/>
      <c r="AN145" s="310">
        <f t="shared" si="47"/>
        <v>0</v>
      </c>
      <c r="AO145" s="314"/>
      <c r="AP145" s="310"/>
      <c r="AQ145" s="310"/>
      <c r="AR145" s="310"/>
      <c r="AS145" s="310">
        <f t="shared" si="48"/>
        <v>1788588.72</v>
      </c>
      <c r="AT145" s="310">
        <v>1788588.72</v>
      </c>
      <c r="AU145" s="310"/>
      <c r="AV145" s="310"/>
      <c r="AW145" s="310"/>
      <c r="AX145" s="310">
        <f t="shared" si="49"/>
        <v>0</v>
      </c>
      <c r="AY145" s="310"/>
      <c r="AZ145" s="310"/>
      <c r="BA145" s="310"/>
      <c r="BB145" s="310"/>
      <c r="BC145" s="310"/>
      <c r="BD145" s="310"/>
      <c r="BE145" s="312">
        <v>0</v>
      </c>
      <c r="BF145" s="134" t="s">
        <v>56</v>
      </c>
      <c r="BG145" s="315" t="s">
        <v>167</v>
      </c>
      <c r="BH145" s="137" t="s">
        <v>157</v>
      </c>
    </row>
    <row r="146" s="77" customFormat="1" ht="15" hidden="1" spans="1:60">
      <c r="A146" s="301">
        <v>139</v>
      </c>
      <c r="B146" s="307" t="s">
        <v>19</v>
      </c>
      <c r="C146" s="307" t="s">
        <v>20</v>
      </c>
      <c r="D146" s="308">
        <v>2022</v>
      </c>
      <c r="E146" s="313" t="s">
        <v>275</v>
      </c>
      <c r="F146" s="308" t="s">
        <v>53</v>
      </c>
      <c r="G146" s="127" t="s">
        <v>56</v>
      </c>
      <c r="H146" s="310">
        <f t="shared" si="38"/>
        <v>6000000</v>
      </c>
      <c r="I146" s="310">
        <f t="shared" si="39"/>
        <v>6000000</v>
      </c>
      <c r="J146" s="310">
        <f t="shared" si="40"/>
        <v>0</v>
      </c>
      <c r="K146" s="310"/>
      <c r="L146" s="310"/>
      <c r="M146" s="310"/>
      <c r="N146" s="310"/>
      <c r="O146" s="310">
        <f t="shared" si="41"/>
        <v>0</v>
      </c>
      <c r="P146" s="310"/>
      <c r="Q146" s="310"/>
      <c r="R146" s="310"/>
      <c r="S146" s="310"/>
      <c r="T146" s="310">
        <f t="shared" si="42"/>
        <v>6000000</v>
      </c>
      <c r="U146" s="310">
        <v>6000000</v>
      </c>
      <c r="V146" s="310"/>
      <c r="W146" s="310"/>
      <c r="X146" s="310"/>
      <c r="Y146" s="310">
        <f t="shared" si="43"/>
        <v>0</v>
      </c>
      <c r="Z146" s="310"/>
      <c r="AA146" s="310"/>
      <c r="AB146" s="310"/>
      <c r="AC146" s="310"/>
      <c r="AD146" s="310"/>
      <c r="AE146" s="310"/>
      <c r="AF146" s="310"/>
      <c r="AG146" s="310">
        <f t="shared" si="44"/>
        <v>5521214.22</v>
      </c>
      <c r="AH146" s="310">
        <f t="shared" si="45"/>
        <v>5521214.22</v>
      </c>
      <c r="AI146" s="310">
        <f t="shared" si="46"/>
        <v>0</v>
      </c>
      <c r="AJ146" s="310"/>
      <c r="AK146" s="310"/>
      <c r="AL146" s="310"/>
      <c r="AM146" s="310"/>
      <c r="AN146" s="310">
        <f t="shared" si="47"/>
        <v>0</v>
      </c>
      <c r="AO146" s="310"/>
      <c r="AP146" s="310"/>
      <c r="AQ146" s="310"/>
      <c r="AR146" s="310"/>
      <c r="AS146" s="310">
        <f t="shared" si="48"/>
        <v>5521214.22</v>
      </c>
      <c r="AT146" s="310">
        <v>5521214.22</v>
      </c>
      <c r="AU146" s="310"/>
      <c r="AV146" s="310"/>
      <c r="AW146" s="310"/>
      <c r="AX146" s="310">
        <f t="shared" si="49"/>
        <v>0</v>
      </c>
      <c r="AY146" s="310"/>
      <c r="AZ146" s="310"/>
      <c r="BA146" s="310"/>
      <c r="BB146" s="310"/>
      <c r="BC146" s="310"/>
      <c r="BD146" s="310"/>
      <c r="BE146" s="312"/>
      <c r="BF146" s="127" t="s">
        <v>56</v>
      </c>
      <c r="BG146" s="128" t="s">
        <v>276</v>
      </c>
      <c r="BH146" s="133" t="s">
        <v>157</v>
      </c>
    </row>
    <row r="147" s="77" customFormat="1" ht="15" hidden="1" spans="1:60">
      <c r="A147" s="301">
        <v>140</v>
      </c>
      <c r="B147" s="307" t="s">
        <v>19</v>
      </c>
      <c r="C147" s="307" t="s">
        <v>20</v>
      </c>
      <c r="D147" s="308">
        <v>2017</v>
      </c>
      <c r="E147" s="313" t="s">
        <v>277</v>
      </c>
      <c r="F147" s="308" t="s">
        <v>53</v>
      </c>
      <c r="G147" s="127" t="s">
        <v>56</v>
      </c>
      <c r="H147" s="310">
        <f t="shared" si="38"/>
        <v>22869600</v>
      </c>
      <c r="I147" s="310">
        <f t="shared" si="39"/>
        <v>22869600</v>
      </c>
      <c r="J147" s="310">
        <f t="shared" si="40"/>
        <v>0</v>
      </c>
      <c r="K147" s="310"/>
      <c r="L147" s="310"/>
      <c r="M147" s="310"/>
      <c r="N147" s="310"/>
      <c r="O147" s="310">
        <f t="shared" si="41"/>
        <v>22869600</v>
      </c>
      <c r="P147" s="310">
        <v>22869600</v>
      </c>
      <c r="Q147" s="310"/>
      <c r="R147" s="310"/>
      <c r="S147" s="310"/>
      <c r="T147" s="310">
        <f t="shared" si="42"/>
        <v>0</v>
      </c>
      <c r="U147" s="310"/>
      <c r="V147" s="310"/>
      <c r="W147" s="310"/>
      <c r="X147" s="310"/>
      <c r="Y147" s="310">
        <f t="shared" si="43"/>
        <v>0</v>
      </c>
      <c r="Z147" s="310"/>
      <c r="AA147" s="310"/>
      <c r="AB147" s="310"/>
      <c r="AC147" s="310"/>
      <c r="AD147" s="310"/>
      <c r="AE147" s="310"/>
      <c r="AF147" s="310"/>
      <c r="AG147" s="310">
        <f t="shared" si="44"/>
        <v>22869600</v>
      </c>
      <c r="AH147" s="310">
        <f t="shared" si="45"/>
        <v>22869600</v>
      </c>
      <c r="AI147" s="310">
        <f t="shared" si="46"/>
        <v>0</v>
      </c>
      <c r="AJ147" s="310"/>
      <c r="AK147" s="310"/>
      <c r="AL147" s="310"/>
      <c r="AM147" s="310"/>
      <c r="AN147" s="310">
        <f t="shared" si="47"/>
        <v>22869600</v>
      </c>
      <c r="AO147" s="310">
        <v>22869600</v>
      </c>
      <c r="AP147" s="314"/>
      <c r="AQ147" s="310"/>
      <c r="AR147" s="310"/>
      <c r="AS147" s="310">
        <f t="shared" si="48"/>
        <v>0</v>
      </c>
      <c r="AT147" s="310"/>
      <c r="AU147" s="310"/>
      <c r="AV147" s="310"/>
      <c r="AW147" s="310"/>
      <c r="AX147" s="310">
        <f t="shared" si="49"/>
        <v>0</v>
      </c>
      <c r="AY147" s="310"/>
      <c r="AZ147" s="310"/>
      <c r="BA147" s="310"/>
      <c r="BB147" s="310"/>
      <c r="BC147" s="310"/>
      <c r="BD147" s="310"/>
      <c r="BE147" s="312"/>
      <c r="BF147" s="127" t="s">
        <v>56</v>
      </c>
      <c r="BG147" s="184" t="s">
        <v>239</v>
      </c>
      <c r="BH147" s="133" t="s">
        <v>157</v>
      </c>
    </row>
    <row r="148" s="270" customFormat="1" ht="15" hidden="1" spans="1:60">
      <c r="A148" s="301">
        <v>141</v>
      </c>
      <c r="B148" s="302" t="s">
        <v>19</v>
      </c>
      <c r="C148" s="302" t="s">
        <v>20</v>
      </c>
      <c r="D148" s="301">
        <v>2017</v>
      </c>
      <c r="E148" s="303" t="s">
        <v>278</v>
      </c>
      <c r="F148" s="301" t="s">
        <v>53</v>
      </c>
      <c r="G148" s="238" t="s">
        <v>56</v>
      </c>
      <c r="H148" s="304">
        <f t="shared" si="38"/>
        <v>15360000</v>
      </c>
      <c r="I148" s="304">
        <f t="shared" si="39"/>
        <v>15360000</v>
      </c>
      <c r="J148" s="304">
        <f t="shared" si="40"/>
        <v>0</v>
      </c>
      <c r="K148" s="304"/>
      <c r="L148" s="304"/>
      <c r="M148" s="304"/>
      <c r="N148" s="304"/>
      <c r="O148" s="304">
        <f t="shared" si="41"/>
        <v>15360000</v>
      </c>
      <c r="P148" s="304"/>
      <c r="Q148" s="304">
        <v>15360000</v>
      </c>
      <c r="R148" s="304"/>
      <c r="S148" s="304"/>
      <c r="T148" s="304">
        <f t="shared" si="42"/>
        <v>0</v>
      </c>
      <c r="U148" s="304"/>
      <c r="V148" s="304"/>
      <c r="W148" s="304"/>
      <c r="X148" s="304"/>
      <c r="Y148" s="304">
        <f t="shared" si="43"/>
        <v>0</v>
      </c>
      <c r="Z148" s="304"/>
      <c r="AA148" s="304"/>
      <c r="AB148" s="304"/>
      <c r="AC148" s="304"/>
      <c r="AD148" s="304"/>
      <c r="AE148" s="304"/>
      <c r="AF148" s="304"/>
      <c r="AG148" s="304">
        <f t="shared" si="44"/>
        <v>15082641.9271892</v>
      </c>
      <c r="AH148" s="304">
        <f t="shared" si="45"/>
        <v>15082641.9271892</v>
      </c>
      <c r="AI148" s="304">
        <f t="shared" si="46"/>
        <v>0</v>
      </c>
      <c r="AJ148" s="304"/>
      <c r="AK148" s="304"/>
      <c r="AL148" s="304"/>
      <c r="AM148" s="304"/>
      <c r="AN148" s="304">
        <f t="shared" si="47"/>
        <v>15082641.9271892</v>
      </c>
      <c r="AO148" s="304"/>
      <c r="AP148" s="304">
        <v>15082641.9271892</v>
      </c>
      <c r="AQ148" s="304"/>
      <c r="AR148" s="304"/>
      <c r="AS148" s="304">
        <f t="shared" si="48"/>
        <v>0</v>
      </c>
      <c r="AT148" s="304"/>
      <c r="AU148" s="304"/>
      <c r="AV148" s="304"/>
      <c r="AW148" s="304"/>
      <c r="AX148" s="304">
        <f t="shared" si="49"/>
        <v>0</v>
      </c>
      <c r="AY148" s="304"/>
      <c r="AZ148" s="304"/>
      <c r="BA148" s="304"/>
      <c r="BB148" s="304"/>
      <c r="BC148" s="304"/>
      <c r="BD148" s="304"/>
      <c r="BE148" s="305"/>
      <c r="BF148" s="238" t="s">
        <v>53</v>
      </c>
      <c r="BG148" s="263" t="s">
        <v>54</v>
      </c>
      <c r="BH148" s="306" t="s">
        <v>279</v>
      </c>
    </row>
    <row r="149" s="78" customFormat="1" ht="15" hidden="1" spans="1:60">
      <c r="A149" s="301">
        <v>142</v>
      </c>
      <c r="B149" s="307" t="s">
        <v>19</v>
      </c>
      <c r="C149" s="307" t="s">
        <v>20</v>
      </c>
      <c r="D149" s="308">
        <v>2017</v>
      </c>
      <c r="E149" s="313" t="s">
        <v>280</v>
      </c>
      <c r="F149" s="308" t="s">
        <v>53</v>
      </c>
      <c r="G149" s="127" t="s">
        <v>56</v>
      </c>
      <c r="H149" s="310">
        <f t="shared" si="38"/>
        <v>7000000</v>
      </c>
      <c r="I149" s="310">
        <f t="shared" si="39"/>
        <v>7000000</v>
      </c>
      <c r="J149" s="310">
        <f t="shared" si="40"/>
        <v>0</v>
      </c>
      <c r="K149" s="310"/>
      <c r="L149" s="310"/>
      <c r="M149" s="310"/>
      <c r="N149" s="310"/>
      <c r="O149" s="310">
        <f t="shared" si="41"/>
        <v>0</v>
      </c>
      <c r="P149" s="310"/>
      <c r="Q149" s="310"/>
      <c r="R149" s="310"/>
      <c r="S149" s="310"/>
      <c r="T149" s="310">
        <f t="shared" si="42"/>
        <v>0</v>
      </c>
      <c r="U149" s="310"/>
      <c r="V149" s="310"/>
      <c r="W149" s="310"/>
      <c r="X149" s="310"/>
      <c r="Y149" s="310">
        <f t="shared" si="43"/>
        <v>7000000</v>
      </c>
      <c r="Z149" s="310"/>
      <c r="AA149" s="310">
        <v>7000000</v>
      </c>
      <c r="AB149" s="310"/>
      <c r="AC149" s="310"/>
      <c r="AD149" s="310"/>
      <c r="AE149" s="310"/>
      <c r="AF149" s="310"/>
      <c r="AG149" s="310">
        <f t="shared" si="44"/>
        <v>6788584.48</v>
      </c>
      <c r="AH149" s="310">
        <f t="shared" si="45"/>
        <v>6788584.48</v>
      </c>
      <c r="AI149" s="310">
        <f t="shared" si="46"/>
        <v>0</v>
      </c>
      <c r="AJ149" s="310"/>
      <c r="AK149" s="310"/>
      <c r="AL149" s="310"/>
      <c r="AM149" s="310"/>
      <c r="AN149" s="310">
        <f t="shared" si="47"/>
        <v>0</v>
      </c>
      <c r="AO149" s="310"/>
      <c r="AP149" s="310"/>
      <c r="AQ149" s="310"/>
      <c r="AR149" s="310"/>
      <c r="AS149" s="310">
        <f t="shared" si="48"/>
        <v>0</v>
      </c>
      <c r="AT149" s="310"/>
      <c r="AU149" s="310"/>
      <c r="AV149" s="310"/>
      <c r="AW149" s="310"/>
      <c r="AX149" s="310">
        <f t="shared" si="49"/>
        <v>6788584.48</v>
      </c>
      <c r="AY149" s="310"/>
      <c r="AZ149" s="310">
        <v>6788584.48</v>
      </c>
      <c r="BA149" s="310"/>
      <c r="BB149" s="310"/>
      <c r="BC149" s="310"/>
      <c r="BD149" s="310"/>
      <c r="BE149" s="312"/>
      <c r="BF149" s="134" t="s">
        <v>56</v>
      </c>
      <c r="BG149" s="315" t="s">
        <v>162</v>
      </c>
      <c r="BH149" s="137" t="s">
        <v>281</v>
      </c>
    </row>
    <row r="150" s="78" customFormat="1" ht="15" hidden="1" spans="1:60">
      <c r="A150" s="301">
        <v>143</v>
      </c>
      <c r="B150" s="307" t="s">
        <v>19</v>
      </c>
      <c r="C150" s="307" t="s">
        <v>20</v>
      </c>
      <c r="D150" s="308">
        <v>2017</v>
      </c>
      <c r="E150" s="313" t="s">
        <v>282</v>
      </c>
      <c r="F150" s="308" t="s">
        <v>53</v>
      </c>
      <c r="G150" s="127" t="s">
        <v>56</v>
      </c>
      <c r="H150" s="310">
        <f t="shared" si="38"/>
        <v>14100000</v>
      </c>
      <c r="I150" s="310">
        <f t="shared" si="39"/>
        <v>14100000</v>
      </c>
      <c r="J150" s="310">
        <f t="shared" si="40"/>
        <v>0</v>
      </c>
      <c r="K150" s="310"/>
      <c r="L150" s="310"/>
      <c r="M150" s="310"/>
      <c r="N150" s="310"/>
      <c r="O150" s="310">
        <f t="shared" si="41"/>
        <v>0</v>
      </c>
      <c r="P150" s="310"/>
      <c r="Q150" s="310"/>
      <c r="R150" s="310"/>
      <c r="S150" s="310"/>
      <c r="T150" s="310">
        <f t="shared" si="42"/>
        <v>0</v>
      </c>
      <c r="U150" s="310"/>
      <c r="V150" s="310"/>
      <c r="W150" s="310"/>
      <c r="X150" s="310"/>
      <c r="Y150" s="310">
        <f t="shared" si="43"/>
        <v>14100000</v>
      </c>
      <c r="Z150" s="310"/>
      <c r="AA150" s="310">
        <v>14100000</v>
      </c>
      <c r="AB150" s="310"/>
      <c r="AC150" s="310"/>
      <c r="AD150" s="310"/>
      <c r="AE150" s="310"/>
      <c r="AF150" s="310"/>
      <c r="AG150" s="310">
        <f t="shared" si="44"/>
        <v>14882750</v>
      </c>
      <c r="AH150" s="310">
        <f t="shared" si="45"/>
        <v>14882750</v>
      </c>
      <c r="AI150" s="310">
        <f t="shared" si="46"/>
        <v>0</v>
      </c>
      <c r="AJ150" s="310"/>
      <c r="AK150" s="310"/>
      <c r="AL150" s="310"/>
      <c r="AM150" s="310"/>
      <c r="AN150" s="310">
        <f t="shared" si="47"/>
        <v>0</v>
      </c>
      <c r="AO150" s="310"/>
      <c r="AP150" s="310"/>
      <c r="AQ150" s="310"/>
      <c r="AR150" s="310"/>
      <c r="AS150" s="310">
        <f t="shared" si="48"/>
        <v>0</v>
      </c>
      <c r="AT150" s="310"/>
      <c r="AU150" s="310"/>
      <c r="AV150" s="310"/>
      <c r="AW150" s="310"/>
      <c r="AX150" s="310">
        <f t="shared" si="49"/>
        <v>14882750</v>
      </c>
      <c r="AY150" s="310"/>
      <c r="AZ150" s="310">
        <v>14882750</v>
      </c>
      <c r="BA150" s="310"/>
      <c r="BB150" s="310"/>
      <c r="BC150" s="310"/>
      <c r="BD150" s="310"/>
      <c r="BE150" s="312"/>
      <c r="BF150" s="134" t="s">
        <v>56</v>
      </c>
      <c r="BG150" s="315" t="s">
        <v>167</v>
      </c>
      <c r="BH150" s="137" t="s">
        <v>283</v>
      </c>
    </row>
    <row r="151" s="78" customFormat="1" ht="15" hidden="1" spans="1:60">
      <c r="A151" s="301">
        <v>144</v>
      </c>
      <c r="B151" s="307" t="s">
        <v>19</v>
      </c>
      <c r="C151" s="307" t="s">
        <v>20</v>
      </c>
      <c r="D151" s="308">
        <v>2017</v>
      </c>
      <c r="E151" s="343" t="s">
        <v>284</v>
      </c>
      <c r="F151" s="308" t="s">
        <v>53</v>
      </c>
      <c r="G151" s="127" t="s">
        <v>56</v>
      </c>
      <c r="H151" s="310">
        <f t="shared" si="38"/>
        <v>28506000</v>
      </c>
      <c r="I151" s="310">
        <f t="shared" si="39"/>
        <v>28506000</v>
      </c>
      <c r="J151" s="310">
        <f t="shared" si="40"/>
        <v>0</v>
      </c>
      <c r="K151" s="310"/>
      <c r="L151" s="310"/>
      <c r="M151" s="310"/>
      <c r="N151" s="310"/>
      <c r="O151" s="310">
        <f t="shared" si="41"/>
        <v>0</v>
      </c>
      <c r="P151" s="310"/>
      <c r="Q151" s="310"/>
      <c r="R151" s="310"/>
      <c r="S151" s="310"/>
      <c r="T151" s="310">
        <f t="shared" si="42"/>
        <v>0</v>
      </c>
      <c r="U151" s="310"/>
      <c r="V151" s="310"/>
      <c r="W151" s="310"/>
      <c r="X151" s="310"/>
      <c r="Y151" s="310">
        <f t="shared" si="43"/>
        <v>28506000</v>
      </c>
      <c r="Z151" s="310"/>
      <c r="AA151" s="310">
        <v>28506000</v>
      </c>
      <c r="AB151" s="310"/>
      <c r="AC151" s="310"/>
      <c r="AD151" s="310"/>
      <c r="AE151" s="310"/>
      <c r="AF151" s="310"/>
      <c r="AG151" s="310">
        <f t="shared" si="44"/>
        <v>28060335.57</v>
      </c>
      <c r="AH151" s="310">
        <f t="shared" si="45"/>
        <v>28060335.57</v>
      </c>
      <c r="AI151" s="310">
        <f t="shared" si="46"/>
        <v>0</v>
      </c>
      <c r="AJ151" s="310"/>
      <c r="AK151" s="310"/>
      <c r="AL151" s="310"/>
      <c r="AM151" s="310"/>
      <c r="AN151" s="310">
        <f t="shared" si="47"/>
        <v>0</v>
      </c>
      <c r="AO151" s="310"/>
      <c r="AP151" s="310"/>
      <c r="AQ151" s="310"/>
      <c r="AR151" s="310"/>
      <c r="AS151" s="310">
        <f t="shared" si="48"/>
        <v>0</v>
      </c>
      <c r="AT151" s="310"/>
      <c r="AU151" s="310"/>
      <c r="AV151" s="310"/>
      <c r="AW151" s="310"/>
      <c r="AX151" s="310">
        <f t="shared" si="49"/>
        <v>28060335.57</v>
      </c>
      <c r="AY151" s="310"/>
      <c r="AZ151" s="310">
        <v>28060335.57</v>
      </c>
      <c r="BA151" s="310"/>
      <c r="BB151" s="310"/>
      <c r="BC151" s="310"/>
      <c r="BD151" s="310"/>
      <c r="BE151" s="312"/>
      <c r="BF151" s="134" t="s">
        <v>56</v>
      </c>
      <c r="BG151" s="315" t="s">
        <v>167</v>
      </c>
      <c r="BH151" s="137" t="s">
        <v>283</v>
      </c>
    </row>
    <row r="152" s="77" customFormat="1" ht="15" hidden="1" spans="1:60">
      <c r="A152" s="301">
        <v>145</v>
      </c>
      <c r="B152" s="307" t="s">
        <v>19</v>
      </c>
      <c r="C152" s="307" t="s">
        <v>20</v>
      </c>
      <c r="D152" s="308">
        <v>2017</v>
      </c>
      <c r="E152" s="313" t="s">
        <v>285</v>
      </c>
      <c r="F152" s="308" t="s">
        <v>53</v>
      </c>
      <c r="G152" s="127" t="s">
        <v>56</v>
      </c>
      <c r="H152" s="310">
        <f t="shared" si="38"/>
        <v>2200000</v>
      </c>
      <c r="I152" s="310">
        <f t="shared" si="39"/>
        <v>2200000</v>
      </c>
      <c r="J152" s="310">
        <f t="shared" si="40"/>
        <v>0</v>
      </c>
      <c r="K152" s="310"/>
      <c r="L152" s="310"/>
      <c r="M152" s="310"/>
      <c r="N152" s="310"/>
      <c r="O152" s="310">
        <f t="shared" si="41"/>
        <v>0</v>
      </c>
      <c r="P152" s="310"/>
      <c r="Q152" s="310"/>
      <c r="R152" s="310"/>
      <c r="S152" s="310"/>
      <c r="T152" s="310">
        <f t="shared" si="42"/>
        <v>0</v>
      </c>
      <c r="U152" s="310"/>
      <c r="V152" s="310"/>
      <c r="W152" s="310"/>
      <c r="X152" s="310"/>
      <c r="Y152" s="310">
        <f t="shared" si="43"/>
        <v>2200000</v>
      </c>
      <c r="Z152" s="310"/>
      <c r="AA152" s="310">
        <v>2200000</v>
      </c>
      <c r="AB152" s="310"/>
      <c r="AC152" s="310"/>
      <c r="AD152" s="310"/>
      <c r="AE152" s="310"/>
      <c r="AF152" s="310"/>
      <c r="AG152" s="310">
        <f t="shared" si="44"/>
        <v>2112413.28</v>
      </c>
      <c r="AH152" s="310">
        <f t="shared" si="45"/>
        <v>2112413.28</v>
      </c>
      <c r="AI152" s="310">
        <f t="shared" si="46"/>
        <v>0</v>
      </c>
      <c r="AJ152" s="310"/>
      <c r="AK152" s="310"/>
      <c r="AL152" s="310"/>
      <c r="AM152" s="310"/>
      <c r="AN152" s="310">
        <f t="shared" si="47"/>
        <v>0</v>
      </c>
      <c r="AO152" s="310"/>
      <c r="AP152" s="310"/>
      <c r="AQ152" s="310"/>
      <c r="AR152" s="310"/>
      <c r="AS152" s="310">
        <f t="shared" si="48"/>
        <v>0</v>
      </c>
      <c r="AT152" s="310"/>
      <c r="AU152" s="310"/>
      <c r="AV152" s="310"/>
      <c r="AW152" s="310"/>
      <c r="AX152" s="310">
        <f t="shared" si="49"/>
        <v>2112413.28</v>
      </c>
      <c r="AY152" s="310"/>
      <c r="AZ152" s="310">
        <v>2112413.28</v>
      </c>
      <c r="BA152" s="310"/>
      <c r="BB152" s="310"/>
      <c r="BC152" s="310"/>
      <c r="BD152" s="310"/>
      <c r="BE152" s="312"/>
      <c r="BF152" s="127" t="s">
        <v>56</v>
      </c>
      <c r="BG152" s="128" t="s">
        <v>162</v>
      </c>
      <c r="BH152" s="133" t="s">
        <v>286</v>
      </c>
    </row>
    <row r="153" s="78" customFormat="1" ht="15" hidden="1" spans="1:60">
      <c r="A153" s="301">
        <v>146</v>
      </c>
      <c r="B153" s="307" t="s">
        <v>19</v>
      </c>
      <c r="C153" s="307" t="s">
        <v>20</v>
      </c>
      <c r="D153" s="308">
        <v>2017</v>
      </c>
      <c r="E153" s="313" t="s">
        <v>287</v>
      </c>
      <c r="F153" s="308" t="s">
        <v>53</v>
      </c>
      <c r="G153" s="127" t="s">
        <v>53</v>
      </c>
      <c r="H153" s="310">
        <f t="shared" si="38"/>
        <v>1500000</v>
      </c>
      <c r="I153" s="310">
        <f t="shared" si="39"/>
        <v>1500000</v>
      </c>
      <c r="J153" s="310">
        <f t="shared" si="40"/>
        <v>0</v>
      </c>
      <c r="K153" s="310"/>
      <c r="L153" s="310"/>
      <c r="M153" s="310"/>
      <c r="N153" s="310"/>
      <c r="O153" s="310">
        <f t="shared" si="41"/>
        <v>0</v>
      </c>
      <c r="P153" s="310"/>
      <c r="Q153" s="310"/>
      <c r="R153" s="310"/>
      <c r="S153" s="310"/>
      <c r="T153" s="310">
        <f t="shared" si="42"/>
        <v>0</v>
      </c>
      <c r="U153" s="310"/>
      <c r="V153" s="310"/>
      <c r="W153" s="310"/>
      <c r="X153" s="310"/>
      <c r="Y153" s="310">
        <f t="shared" si="43"/>
        <v>1500000</v>
      </c>
      <c r="Z153" s="310"/>
      <c r="AA153" s="310">
        <v>1500000</v>
      </c>
      <c r="AB153" s="310"/>
      <c r="AC153" s="310"/>
      <c r="AD153" s="310"/>
      <c r="AE153" s="310"/>
      <c r="AF153" s="310"/>
      <c r="AG153" s="310">
        <f t="shared" si="44"/>
        <v>1327059.99</v>
      </c>
      <c r="AH153" s="310">
        <f t="shared" si="45"/>
        <v>1327059.99</v>
      </c>
      <c r="AI153" s="310">
        <f t="shared" si="46"/>
        <v>0</v>
      </c>
      <c r="AJ153" s="310"/>
      <c r="AK153" s="310"/>
      <c r="AL153" s="310"/>
      <c r="AM153" s="310"/>
      <c r="AN153" s="310">
        <f t="shared" si="47"/>
        <v>0</v>
      </c>
      <c r="AO153" s="310"/>
      <c r="AP153" s="310"/>
      <c r="AQ153" s="310"/>
      <c r="AR153" s="310"/>
      <c r="AS153" s="310">
        <f t="shared" si="48"/>
        <v>0</v>
      </c>
      <c r="AT153" s="310"/>
      <c r="AU153" s="310"/>
      <c r="AV153" s="310"/>
      <c r="AW153" s="310"/>
      <c r="AX153" s="310">
        <f t="shared" si="49"/>
        <v>1327059.99</v>
      </c>
      <c r="AY153" s="310"/>
      <c r="AZ153" s="310">
        <v>1327059.99</v>
      </c>
      <c r="BA153" s="310"/>
      <c r="BB153" s="310"/>
      <c r="BC153" s="310"/>
      <c r="BD153" s="310"/>
      <c r="BE153" s="312">
        <v>0</v>
      </c>
      <c r="BF153" s="134" t="s">
        <v>56</v>
      </c>
      <c r="BG153" s="315" t="s">
        <v>162</v>
      </c>
      <c r="BH153" s="137" t="s">
        <v>288</v>
      </c>
    </row>
    <row r="154" s="78" customFormat="1" ht="15" hidden="1" spans="1:60">
      <c r="A154" s="301">
        <v>147</v>
      </c>
      <c r="B154" s="307" t="s">
        <v>19</v>
      </c>
      <c r="C154" s="307" t="s">
        <v>20</v>
      </c>
      <c r="D154" s="308">
        <v>2017</v>
      </c>
      <c r="E154" s="313" t="s">
        <v>289</v>
      </c>
      <c r="F154" s="308" t="s">
        <v>53</v>
      </c>
      <c r="G154" s="127" t="s">
        <v>56</v>
      </c>
      <c r="H154" s="310">
        <f t="shared" si="38"/>
        <v>20200000</v>
      </c>
      <c r="I154" s="310">
        <f t="shared" si="39"/>
        <v>20200000</v>
      </c>
      <c r="J154" s="310">
        <f t="shared" si="40"/>
        <v>0</v>
      </c>
      <c r="K154" s="310"/>
      <c r="L154" s="310"/>
      <c r="M154" s="310"/>
      <c r="N154" s="310"/>
      <c r="O154" s="310">
        <f t="shared" si="41"/>
        <v>0</v>
      </c>
      <c r="P154" s="310"/>
      <c r="Q154" s="310"/>
      <c r="R154" s="310"/>
      <c r="S154" s="310"/>
      <c r="T154" s="310">
        <f t="shared" si="42"/>
        <v>0</v>
      </c>
      <c r="U154" s="310"/>
      <c r="V154" s="310"/>
      <c r="W154" s="310"/>
      <c r="X154" s="310"/>
      <c r="Y154" s="310">
        <f t="shared" si="43"/>
        <v>20200000</v>
      </c>
      <c r="Z154" s="310"/>
      <c r="AA154" s="310">
        <v>20200000</v>
      </c>
      <c r="AB154" s="310"/>
      <c r="AC154" s="310"/>
      <c r="AD154" s="310"/>
      <c r="AE154" s="310"/>
      <c r="AF154" s="310"/>
      <c r="AG154" s="310">
        <f t="shared" si="44"/>
        <v>19176118.5489615</v>
      </c>
      <c r="AH154" s="310">
        <f t="shared" si="45"/>
        <v>19176118.5489615</v>
      </c>
      <c r="AI154" s="310">
        <f t="shared" si="46"/>
        <v>0</v>
      </c>
      <c r="AJ154" s="310"/>
      <c r="AK154" s="310"/>
      <c r="AL154" s="310"/>
      <c r="AM154" s="310"/>
      <c r="AN154" s="310">
        <f t="shared" si="47"/>
        <v>0</v>
      </c>
      <c r="AO154" s="310"/>
      <c r="AP154" s="314"/>
      <c r="AQ154" s="310"/>
      <c r="AR154" s="310"/>
      <c r="AS154" s="310">
        <f t="shared" si="48"/>
        <v>0</v>
      </c>
      <c r="AT154" s="310"/>
      <c r="AU154" s="310"/>
      <c r="AV154" s="310"/>
      <c r="AW154" s="310"/>
      <c r="AX154" s="310">
        <f t="shared" si="49"/>
        <v>19176118.5489615</v>
      </c>
      <c r="AY154" s="310"/>
      <c r="AZ154" s="310">
        <f>1917.61185489615*10000</f>
        <v>19176118.5489615</v>
      </c>
      <c r="BA154" s="310"/>
      <c r="BB154" s="310"/>
      <c r="BC154" s="310"/>
      <c r="BD154" s="310"/>
      <c r="BE154" s="312"/>
      <c r="BF154" s="134" t="s">
        <v>56</v>
      </c>
      <c r="BG154" s="315" t="s">
        <v>290</v>
      </c>
      <c r="BH154" s="137" t="s">
        <v>67</v>
      </c>
    </row>
    <row r="155" s="78" customFormat="1" ht="15" hidden="1" spans="1:60">
      <c r="A155" s="301">
        <v>148</v>
      </c>
      <c r="B155" s="307" t="s">
        <v>19</v>
      </c>
      <c r="C155" s="307" t="s">
        <v>20</v>
      </c>
      <c r="D155" s="308">
        <v>2018</v>
      </c>
      <c r="E155" s="313" t="s">
        <v>291</v>
      </c>
      <c r="F155" s="308" t="s">
        <v>53</v>
      </c>
      <c r="G155" s="127" t="s">
        <v>53</v>
      </c>
      <c r="H155" s="310">
        <f t="shared" si="38"/>
        <v>19367600</v>
      </c>
      <c r="I155" s="310">
        <f t="shared" si="39"/>
        <v>19367600</v>
      </c>
      <c r="J155" s="310">
        <f t="shared" si="40"/>
        <v>0</v>
      </c>
      <c r="K155" s="310"/>
      <c r="L155" s="310"/>
      <c r="M155" s="310"/>
      <c r="N155" s="310"/>
      <c r="O155" s="310">
        <f t="shared" si="41"/>
        <v>0</v>
      </c>
      <c r="P155" s="310"/>
      <c r="Q155" s="310"/>
      <c r="R155" s="310"/>
      <c r="S155" s="310"/>
      <c r="T155" s="310">
        <f t="shared" si="42"/>
        <v>0</v>
      </c>
      <c r="U155" s="310"/>
      <c r="V155" s="310"/>
      <c r="W155" s="310"/>
      <c r="X155" s="310"/>
      <c r="Y155" s="310">
        <f t="shared" si="43"/>
        <v>19367600</v>
      </c>
      <c r="Z155" s="310"/>
      <c r="AA155" s="310">
        <v>19367600</v>
      </c>
      <c r="AB155" s="310"/>
      <c r="AC155" s="310"/>
      <c r="AD155" s="310"/>
      <c r="AE155" s="310"/>
      <c r="AF155" s="310"/>
      <c r="AG155" s="310">
        <f t="shared" si="44"/>
        <v>19045076.6838959</v>
      </c>
      <c r="AH155" s="310">
        <f t="shared" si="45"/>
        <v>19045076.6838959</v>
      </c>
      <c r="AI155" s="310">
        <f t="shared" si="46"/>
        <v>0</v>
      </c>
      <c r="AJ155" s="310"/>
      <c r="AK155" s="310"/>
      <c r="AL155" s="310"/>
      <c r="AM155" s="310"/>
      <c r="AN155" s="310">
        <f t="shared" si="47"/>
        <v>0</v>
      </c>
      <c r="AO155" s="310"/>
      <c r="AP155" s="310"/>
      <c r="AQ155" s="310"/>
      <c r="AR155" s="310"/>
      <c r="AS155" s="310">
        <f t="shared" si="48"/>
        <v>0</v>
      </c>
      <c r="AT155" s="310"/>
      <c r="AU155" s="310"/>
      <c r="AV155" s="310"/>
      <c r="AW155" s="310"/>
      <c r="AX155" s="310">
        <f t="shared" si="49"/>
        <v>19045076.6838959</v>
      </c>
      <c r="AY155" s="310"/>
      <c r="AZ155" s="310">
        <v>19045076.6838959</v>
      </c>
      <c r="BA155" s="310"/>
      <c r="BB155" s="310"/>
      <c r="BC155" s="310"/>
      <c r="BD155" s="310"/>
      <c r="BE155" s="312">
        <v>0</v>
      </c>
      <c r="BF155" s="134" t="s">
        <v>56</v>
      </c>
      <c r="BG155" s="315" t="s">
        <v>290</v>
      </c>
      <c r="BH155" s="137" t="s">
        <v>283</v>
      </c>
    </row>
    <row r="156" s="78" customFormat="1" ht="15" hidden="1" spans="1:60">
      <c r="A156" s="301">
        <v>149</v>
      </c>
      <c r="B156" s="307" t="s">
        <v>19</v>
      </c>
      <c r="C156" s="307" t="s">
        <v>20</v>
      </c>
      <c r="D156" s="308">
        <v>2018</v>
      </c>
      <c r="E156" s="313" t="s">
        <v>292</v>
      </c>
      <c r="F156" s="308" t="s">
        <v>53</v>
      </c>
      <c r="G156" s="127" t="s">
        <v>56</v>
      </c>
      <c r="H156" s="310">
        <f t="shared" si="38"/>
        <v>4450000</v>
      </c>
      <c r="I156" s="310">
        <f t="shared" si="39"/>
        <v>4450000</v>
      </c>
      <c r="J156" s="310">
        <f t="shared" si="40"/>
        <v>0</v>
      </c>
      <c r="K156" s="310"/>
      <c r="L156" s="310"/>
      <c r="M156" s="310"/>
      <c r="N156" s="310"/>
      <c r="O156" s="310">
        <f t="shared" si="41"/>
        <v>0</v>
      </c>
      <c r="P156" s="310"/>
      <c r="Q156" s="310"/>
      <c r="R156" s="310"/>
      <c r="S156" s="310"/>
      <c r="T156" s="310">
        <f t="shared" si="42"/>
        <v>0</v>
      </c>
      <c r="U156" s="310"/>
      <c r="V156" s="310"/>
      <c r="W156" s="310"/>
      <c r="X156" s="310"/>
      <c r="Y156" s="310">
        <f t="shared" si="43"/>
        <v>4450000</v>
      </c>
      <c r="Z156" s="310"/>
      <c r="AA156" s="310">
        <v>4450000</v>
      </c>
      <c r="AB156" s="310"/>
      <c r="AC156" s="310"/>
      <c r="AD156" s="310"/>
      <c r="AE156" s="310"/>
      <c r="AF156" s="310"/>
      <c r="AG156" s="310">
        <f t="shared" si="44"/>
        <v>4015442.4</v>
      </c>
      <c r="AH156" s="310">
        <f t="shared" si="45"/>
        <v>4015442.4</v>
      </c>
      <c r="AI156" s="310">
        <f t="shared" si="46"/>
        <v>0</v>
      </c>
      <c r="AJ156" s="310"/>
      <c r="AK156" s="310"/>
      <c r="AL156" s="310"/>
      <c r="AM156" s="310"/>
      <c r="AN156" s="310">
        <f t="shared" si="47"/>
        <v>0</v>
      </c>
      <c r="AO156" s="310"/>
      <c r="AP156" s="310"/>
      <c r="AQ156" s="310"/>
      <c r="AR156" s="310"/>
      <c r="AS156" s="310">
        <f t="shared" si="48"/>
        <v>0</v>
      </c>
      <c r="AT156" s="310"/>
      <c r="AU156" s="310"/>
      <c r="AV156" s="310"/>
      <c r="AW156" s="310"/>
      <c r="AX156" s="310">
        <f t="shared" si="49"/>
        <v>4015442.4</v>
      </c>
      <c r="AY156" s="310"/>
      <c r="AZ156" s="310">
        <v>4015442.4</v>
      </c>
      <c r="BA156" s="310"/>
      <c r="BB156" s="310"/>
      <c r="BC156" s="310"/>
      <c r="BD156" s="310"/>
      <c r="BE156" s="312"/>
      <c r="BF156" s="134" t="s">
        <v>56</v>
      </c>
      <c r="BG156" s="315" t="s">
        <v>162</v>
      </c>
      <c r="BH156" s="137" t="s">
        <v>67</v>
      </c>
    </row>
    <row r="157" s="77" customFormat="1" ht="15" hidden="1" spans="1:60">
      <c r="A157" s="301">
        <v>150</v>
      </c>
      <c r="B157" s="307" t="s">
        <v>19</v>
      </c>
      <c r="C157" s="307" t="s">
        <v>20</v>
      </c>
      <c r="D157" s="308">
        <v>2018</v>
      </c>
      <c r="E157" s="313" t="s">
        <v>293</v>
      </c>
      <c r="F157" s="308" t="s">
        <v>53</v>
      </c>
      <c r="G157" s="127" t="s">
        <v>56</v>
      </c>
      <c r="H157" s="310">
        <f t="shared" si="38"/>
        <v>4745100</v>
      </c>
      <c r="I157" s="310">
        <f t="shared" si="39"/>
        <v>4745100</v>
      </c>
      <c r="J157" s="310">
        <f t="shared" si="40"/>
        <v>0</v>
      </c>
      <c r="K157" s="310"/>
      <c r="L157" s="310"/>
      <c r="M157" s="310"/>
      <c r="N157" s="310"/>
      <c r="O157" s="310">
        <f t="shared" si="41"/>
        <v>0</v>
      </c>
      <c r="P157" s="310"/>
      <c r="Q157" s="310"/>
      <c r="R157" s="310"/>
      <c r="S157" s="310"/>
      <c r="T157" s="310">
        <f t="shared" si="42"/>
        <v>0</v>
      </c>
      <c r="U157" s="310"/>
      <c r="V157" s="310"/>
      <c r="W157" s="310"/>
      <c r="X157" s="310"/>
      <c r="Y157" s="310">
        <f t="shared" si="43"/>
        <v>4745100</v>
      </c>
      <c r="Z157" s="310"/>
      <c r="AA157" s="310">
        <v>4745100</v>
      </c>
      <c r="AB157" s="310"/>
      <c r="AC157" s="310"/>
      <c r="AD157" s="310"/>
      <c r="AE157" s="310"/>
      <c r="AF157" s="310"/>
      <c r="AG157" s="310">
        <f t="shared" si="44"/>
        <v>4745100</v>
      </c>
      <c r="AH157" s="310">
        <f t="shared" si="45"/>
        <v>4745100</v>
      </c>
      <c r="AI157" s="310">
        <f t="shared" si="46"/>
        <v>0</v>
      </c>
      <c r="AJ157" s="310"/>
      <c r="AK157" s="310"/>
      <c r="AL157" s="310"/>
      <c r="AM157" s="310"/>
      <c r="AN157" s="310">
        <f t="shared" si="47"/>
        <v>0</v>
      </c>
      <c r="AO157" s="310"/>
      <c r="AP157" s="310"/>
      <c r="AQ157" s="310"/>
      <c r="AR157" s="310"/>
      <c r="AS157" s="310">
        <f t="shared" si="48"/>
        <v>0</v>
      </c>
      <c r="AT157" s="310"/>
      <c r="AU157" s="310"/>
      <c r="AV157" s="310"/>
      <c r="AW157" s="310"/>
      <c r="AX157" s="310">
        <f t="shared" si="49"/>
        <v>4745100</v>
      </c>
      <c r="AY157" s="310"/>
      <c r="AZ157" s="310">
        <v>4745100</v>
      </c>
      <c r="BA157" s="310"/>
      <c r="BB157" s="310"/>
      <c r="BC157" s="310"/>
      <c r="BD157" s="310"/>
      <c r="BE157" s="312"/>
      <c r="BF157" s="127" t="s">
        <v>56</v>
      </c>
      <c r="BG157" s="184" t="s">
        <v>294</v>
      </c>
      <c r="BH157" s="133" t="s">
        <v>124</v>
      </c>
    </row>
    <row r="158" s="77" customFormat="1" ht="15" hidden="1" spans="1:60">
      <c r="A158" s="301">
        <v>151</v>
      </c>
      <c r="B158" s="307" t="s">
        <v>19</v>
      </c>
      <c r="C158" s="307" t="s">
        <v>20</v>
      </c>
      <c r="D158" s="308">
        <v>2018</v>
      </c>
      <c r="E158" s="313" t="s">
        <v>295</v>
      </c>
      <c r="F158" s="308" t="s">
        <v>53</v>
      </c>
      <c r="G158" s="127" t="s">
        <v>56</v>
      </c>
      <c r="H158" s="310">
        <f t="shared" si="38"/>
        <v>6859600</v>
      </c>
      <c r="I158" s="310">
        <f t="shared" si="39"/>
        <v>6859600</v>
      </c>
      <c r="J158" s="310">
        <f t="shared" si="40"/>
        <v>0</v>
      </c>
      <c r="K158" s="310"/>
      <c r="L158" s="310"/>
      <c r="M158" s="310"/>
      <c r="N158" s="310"/>
      <c r="O158" s="310">
        <f t="shared" si="41"/>
        <v>0</v>
      </c>
      <c r="P158" s="310"/>
      <c r="Q158" s="310"/>
      <c r="R158" s="310"/>
      <c r="S158" s="310"/>
      <c r="T158" s="310">
        <f t="shared" si="42"/>
        <v>0</v>
      </c>
      <c r="U158" s="310"/>
      <c r="V158" s="310"/>
      <c r="W158" s="310"/>
      <c r="X158" s="310"/>
      <c r="Y158" s="310">
        <f t="shared" si="43"/>
        <v>6859600</v>
      </c>
      <c r="Z158" s="310"/>
      <c r="AA158" s="310">
        <v>6859600</v>
      </c>
      <c r="AB158" s="310"/>
      <c r="AC158" s="310"/>
      <c r="AD158" s="310"/>
      <c r="AE158" s="310"/>
      <c r="AF158" s="310"/>
      <c r="AG158" s="310">
        <f t="shared" si="44"/>
        <v>6859600</v>
      </c>
      <c r="AH158" s="310">
        <f t="shared" si="45"/>
        <v>6859600</v>
      </c>
      <c r="AI158" s="310">
        <f t="shared" si="46"/>
        <v>0</v>
      </c>
      <c r="AJ158" s="310"/>
      <c r="AK158" s="310"/>
      <c r="AL158" s="310"/>
      <c r="AM158" s="310"/>
      <c r="AN158" s="310">
        <f t="shared" si="47"/>
        <v>0</v>
      </c>
      <c r="AO158" s="310"/>
      <c r="AP158" s="310"/>
      <c r="AQ158" s="310"/>
      <c r="AR158" s="310"/>
      <c r="AS158" s="310">
        <f t="shared" si="48"/>
        <v>0</v>
      </c>
      <c r="AT158" s="310"/>
      <c r="AU158" s="310"/>
      <c r="AV158" s="310"/>
      <c r="AW158" s="310"/>
      <c r="AX158" s="310">
        <f t="shared" si="49"/>
        <v>6859600</v>
      </c>
      <c r="AY158" s="310"/>
      <c r="AZ158" s="310">
        <v>6859600</v>
      </c>
      <c r="BA158" s="310"/>
      <c r="BB158" s="310"/>
      <c r="BC158" s="310"/>
      <c r="BD158" s="310"/>
      <c r="BE158" s="312"/>
      <c r="BF158" s="127" t="s">
        <v>56</v>
      </c>
      <c r="BG158" s="184" t="s">
        <v>294</v>
      </c>
      <c r="BH158" s="133" t="s">
        <v>124</v>
      </c>
    </row>
    <row r="159" s="78" customFormat="1" ht="15" hidden="1" spans="1:60">
      <c r="A159" s="301">
        <v>152</v>
      </c>
      <c r="B159" s="307" t="s">
        <v>19</v>
      </c>
      <c r="C159" s="307" t="s">
        <v>20</v>
      </c>
      <c r="D159" s="308">
        <v>2018</v>
      </c>
      <c r="E159" s="313" t="s">
        <v>296</v>
      </c>
      <c r="F159" s="308" t="s">
        <v>53</v>
      </c>
      <c r="G159" s="127" t="s">
        <v>56</v>
      </c>
      <c r="H159" s="310">
        <f t="shared" si="38"/>
        <v>7521900</v>
      </c>
      <c r="I159" s="310">
        <f t="shared" si="39"/>
        <v>7521900</v>
      </c>
      <c r="J159" s="310">
        <f t="shared" si="40"/>
        <v>0</v>
      </c>
      <c r="K159" s="310"/>
      <c r="L159" s="310"/>
      <c r="M159" s="310"/>
      <c r="N159" s="310"/>
      <c r="O159" s="310">
        <f t="shared" si="41"/>
        <v>0</v>
      </c>
      <c r="P159" s="310"/>
      <c r="Q159" s="310"/>
      <c r="R159" s="310"/>
      <c r="S159" s="310"/>
      <c r="T159" s="310">
        <f t="shared" si="42"/>
        <v>0</v>
      </c>
      <c r="U159" s="310"/>
      <c r="V159" s="310"/>
      <c r="W159" s="310"/>
      <c r="X159" s="310"/>
      <c r="Y159" s="310">
        <f t="shared" si="43"/>
        <v>7521900</v>
      </c>
      <c r="Z159" s="310"/>
      <c r="AA159" s="310">
        <v>7521900</v>
      </c>
      <c r="AB159" s="310"/>
      <c r="AC159" s="310"/>
      <c r="AD159" s="310"/>
      <c r="AE159" s="310"/>
      <c r="AF159" s="310"/>
      <c r="AG159" s="310">
        <f t="shared" si="44"/>
        <v>7521900</v>
      </c>
      <c r="AH159" s="310">
        <f t="shared" si="45"/>
        <v>7521900</v>
      </c>
      <c r="AI159" s="310">
        <f t="shared" si="46"/>
        <v>0</v>
      </c>
      <c r="AJ159" s="310"/>
      <c r="AK159" s="310"/>
      <c r="AL159" s="310"/>
      <c r="AM159" s="310"/>
      <c r="AN159" s="310">
        <f t="shared" si="47"/>
        <v>0</v>
      </c>
      <c r="AO159" s="310"/>
      <c r="AP159" s="310"/>
      <c r="AQ159" s="310"/>
      <c r="AR159" s="310"/>
      <c r="AS159" s="310">
        <f t="shared" si="48"/>
        <v>0</v>
      </c>
      <c r="AT159" s="310"/>
      <c r="AU159" s="310"/>
      <c r="AV159" s="310"/>
      <c r="AW159" s="310"/>
      <c r="AX159" s="310">
        <f t="shared" si="49"/>
        <v>7521900</v>
      </c>
      <c r="AY159" s="310"/>
      <c r="AZ159" s="310">
        <v>7521900</v>
      </c>
      <c r="BA159" s="310"/>
      <c r="BB159" s="310"/>
      <c r="BC159" s="310"/>
      <c r="BD159" s="310"/>
      <c r="BE159" s="312"/>
      <c r="BF159" s="134" t="s">
        <v>56</v>
      </c>
      <c r="BG159" s="315" t="s">
        <v>221</v>
      </c>
      <c r="BH159" s="137" t="s">
        <v>67</v>
      </c>
    </row>
    <row r="160" s="77" customFormat="1" ht="15" hidden="1" spans="1:60">
      <c r="A160" s="301">
        <v>153</v>
      </c>
      <c r="B160" s="307" t="s">
        <v>19</v>
      </c>
      <c r="C160" s="307" t="s">
        <v>20</v>
      </c>
      <c r="D160" s="308">
        <v>2018</v>
      </c>
      <c r="E160" s="313" t="s">
        <v>297</v>
      </c>
      <c r="F160" s="308" t="s">
        <v>53</v>
      </c>
      <c r="G160" s="127" t="s">
        <v>56</v>
      </c>
      <c r="H160" s="310">
        <f t="shared" si="38"/>
        <v>4903200</v>
      </c>
      <c r="I160" s="310">
        <f t="shared" si="39"/>
        <v>4903200</v>
      </c>
      <c r="J160" s="310">
        <f t="shared" si="40"/>
        <v>0</v>
      </c>
      <c r="K160" s="310"/>
      <c r="L160" s="310"/>
      <c r="M160" s="310"/>
      <c r="N160" s="310"/>
      <c r="O160" s="310">
        <f t="shared" si="41"/>
        <v>0</v>
      </c>
      <c r="P160" s="310"/>
      <c r="Q160" s="310"/>
      <c r="R160" s="310"/>
      <c r="S160" s="310"/>
      <c r="T160" s="310">
        <f t="shared" si="42"/>
        <v>0</v>
      </c>
      <c r="U160" s="310"/>
      <c r="V160" s="310"/>
      <c r="W160" s="310"/>
      <c r="X160" s="310"/>
      <c r="Y160" s="310">
        <f t="shared" si="43"/>
        <v>4903200</v>
      </c>
      <c r="Z160" s="310"/>
      <c r="AA160" s="310">
        <v>4903200</v>
      </c>
      <c r="AB160" s="310"/>
      <c r="AC160" s="310"/>
      <c r="AD160" s="310"/>
      <c r="AE160" s="310"/>
      <c r="AF160" s="310"/>
      <c r="AG160" s="310">
        <f t="shared" si="44"/>
        <v>4903200</v>
      </c>
      <c r="AH160" s="310">
        <f t="shared" si="45"/>
        <v>4903200</v>
      </c>
      <c r="AI160" s="310">
        <f t="shared" si="46"/>
        <v>0</v>
      </c>
      <c r="AJ160" s="310"/>
      <c r="AK160" s="310"/>
      <c r="AL160" s="310"/>
      <c r="AM160" s="310"/>
      <c r="AN160" s="310">
        <f t="shared" si="47"/>
        <v>0</v>
      </c>
      <c r="AO160" s="310"/>
      <c r="AP160" s="310"/>
      <c r="AQ160" s="310"/>
      <c r="AR160" s="310"/>
      <c r="AS160" s="310">
        <f t="shared" si="48"/>
        <v>0</v>
      </c>
      <c r="AT160" s="310"/>
      <c r="AU160" s="310"/>
      <c r="AV160" s="310"/>
      <c r="AW160" s="310"/>
      <c r="AX160" s="310">
        <f t="shared" si="49"/>
        <v>4903200</v>
      </c>
      <c r="AY160" s="310"/>
      <c r="AZ160" s="310">
        <v>4903200</v>
      </c>
      <c r="BA160" s="310"/>
      <c r="BB160" s="310"/>
      <c r="BC160" s="310"/>
      <c r="BD160" s="310"/>
      <c r="BE160" s="312"/>
      <c r="BF160" s="127" t="s">
        <v>56</v>
      </c>
      <c r="BG160" s="128" t="s">
        <v>179</v>
      </c>
      <c r="BH160" s="133" t="s">
        <v>124</v>
      </c>
    </row>
    <row r="161" s="77" customFormat="1" ht="15" hidden="1" spans="1:60">
      <c r="A161" s="301">
        <v>154</v>
      </c>
      <c r="B161" s="307" t="s">
        <v>19</v>
      </c>
      <c r="C161" s="307" t="s">
        <v>20</v>
      </c>
      <c r="D161" s="308">
        <v>2018</v>
      </c>
      <c r="E161" s="313" t="s">
        <v>298</v>
      </c>
      <c r="F161" s="308" t="s">
        <v>53</v>
      </c>
      <c r="G161" s="127" t="s">
        <v>56</v>
      </c>
      <c r="H161" s="310">
        <f t="shared" si="38"/>
        <v>4835000</v>
      </c>
      <c r="I161" s="310">
        <f t="shared" si="39"/>
        <v>4835000</v>
      </c>
      <c r="J161" s="310">
        <f t="shared" si="40"/>
        <v>0</v>
      </c>
      <c r="K161" s="310"/>
      <c r="L161" s="310"/>
      <c r="M161" s="310"/>
      <c r="N161" s="310"/>
      <c r="O161" s="310">
        <f t="shared" si="41"/>
        <v>0</v>
      </c>
      <c r="P161" s="310"/>
      <c r="Q161" s="310"/>
      <c r="R161" s="310"/>
      <c r="S161" s="310"/>
      <c r="T161" s="310">
        <f t="shared" si="42"/>
        <v>0</v>
      </c>
      <c r="U161" s="310"/>
      <c r="V161" s="310"/>
      <c r="W161" s="310"/>
      <c r="X161" s="310"/>
      <c r="Y161" s="310">
        <f t="shared" si="43"/>
        <v>4835000</v>
      </c>
      <c r="Z161" s="310"/>
      <c r="AA161" s="310">
        <v>4835000</v>
      </c>
      <c r="AB161" s="310"/>
      <c r="AC161" s="310"/>
      <c r="AD161" s="310"/>
      <c r="AE161" s="310"/>
      <c r="AF161" s="310"/>
      <c r="AG161" s="310">
        <f t="shared" si="44"/>
        <v>4835000</v>
      </c>
      <c r="AH161" s="310">
        <f t="shared" si="45"/>
        <v>4835000</v>
      </c>
      <c r="AI161" s="310">
        <f t="shared" si="46"/>
        <v>0</v>
      </c>
      <c r="AJ161" s="310"/>
      <c r="AK161" s="310"/>
      <c r="AL161" s="310"/>
      <c r="AM161" s="310"/>
      <c r="AN161" s="310">
        <f t="shared" si="47"/>
        <v>0</v>
      </c>
      <c r="AO161" s="310"/>
      <c r="AP161" s="310"/>
      <c r="AQ161" s="310"/>
      <c r="AR161" s="310"/>
      <c r="AS161" s="310">
        <f t="shared" si="48"/>
        <v>0</v>
      </c>
      <c r="AT161" s="310"/>
      <c r="AU161" s="310"/>
      <c r="AV161" s="310"/>
      <c r="AW161" s="310"/>
      <c r="AX161" s="310">
        <f t="shared" si="49"/>
        <v>4835000</v>
      </c>
      <c r="AY161" s="310"/>
      <c r="AZ161" s="310">
        <v>4835000</v>
      </c>
      <c r="BA161" s="310"/>
      <c r="BB161" s="310"/>
      <c r="BC161" s="310"/>
      <c r="BD161" s="310"/>
      <c r="BE161" s="312"/>
      <c r="BF161" s="127" t="s">
        <v>56</v>
      </c>
      <c r="BG161" s="128" t="s">
        <v>179</v>
      </c>
      <c r="BH161" s="133" t="s">
        <v>124</v>
      </c>
    </row>
    <row r="162" s="77" customFormat="1" ht="15" hidden="1" spans="1:60">
      <c r="A162" s="301">
        <v>155</v>
      </c>
      <c r="B162" s="307" t="s">
        <v>19</v>
      </c>
      <c r="C162" s="307" t="s">
        <v>20</v>
      </c>
      <c r="D162" s="308">
        <v>2018</v>
      </c>
      <c r="E162" s="313" t="s">
        <v>299</v>
      </c>
      <c r="F162" s="308" t="s">
        <v>53</v>
      </c>
      <c r="G162" s="127" t="s">
        <v>56</v>
      </c>
      <c r="H162" s="310">
        <f t="shared" si="38"/>
        <v>8339500</v>
      </c>
      <c r="I162" s="310">
        <f t="shared" si="39"/>
        <v>8339500</v>
      </c>
      <c r="J162" s="310">
        <f t="shared" si="40"/>
        <v>0</v>
      </c>
      <c r="K162" s="310"/>
      <c r="L162" s="310"/>
      <c r="M162" s="310"/>
      <c r="N162" s="310"/>
      <c r="O162" s="310">
        <f t="shared" si="41"/>
        <v>0</v>
      </c>
      <c r="P162" s="310"/>
      <c r="Q162" s="310"/>
      <c r="R162" s="310"/>
      <c r="S162" s="310"/>
      <c r="T162" s="310">
        <f t="shared" si="42"/>
        <v>0</v>
      </c>
      <c r="U162" s="310"/>
      <c r="V162" s="310"/>
      <c r="W162" s="310"/>
      <c r="X162" s="310"/>
      <c r="Y162" s="310">
        <f t="shared" si="43"/>
        <v>8339500</v>
      </c>
      <c r="Z162" s="310"/>
      <c r="AA162" s="310">
        <v>8339500</v>
      </c>
      <c r="AB162" s="310"/>
      <c r="AC162" s="310"/>
      <c r="AD162" s="310"/>
      <c r="AE162" s="310"/>
      <c r="AF162" s="310"/>
      <c r="AG162" s="310">
        <f t="shared" si="44"/>
        <v>8339500</v>
      </c>
      <c r="AH162" s="310">
        <f t="shared" si="45"/>
        <v>8339500</v>
      </c>
      <c r="AI162" s="310">
        <f t="shared" si="46"/>
        <v>0</v>
      </c>
      <c r="AJ162" s="310"/>
      <c r="AK162" s="310"/>
      <c r="AL162" s="310"/>
      <c r="AM162" s="310"/>
      <c r="AN162" s="310">
        <f t="shared" si="47"/>
        <v>0</v>
      </c>
      <c r="AO162" s="310"/>
      <c r="AP162" s="310"/>
      <c r="AQ162" s="310"/>
      <c r="AR162" s="310"/>
      <c r="AS162" s="310">
        <f t="shared" si="48"/>
        <v>0</v>
      </c>
      <c r="AT162" s="310"/>
      <c r="AU162" s="310"/>
      <c r="AV162" s="310"/>
      <c r="AW162" s="310"/>
      <c r="AX162" s="310">
        <f t="shared" si="49"/>
        <v>8339500</v>
      </c>
      <c r="AY162" s="310"/>
      <c r="AZ162" s="310">
        <v>8339500</v>
      </c>
      <c r="BA162" s="310"/>
      <c r="BB162" s="310"/>
      <c r="BC162" s="310"/>
      <c r="BD162" s="310"/>
      <c r="BE162" s="312"/>
      <c r="BF162" s="127" t="s">
        <v>56</v>
      </c>
      <c r="BG162" s="128" t="s">
        <v>179</v>
      </c>
      <c r="BH162" s="133" t="s">
        <v>124</v>
      </c>
    </row>
    <row r="163" s="79" customFormat="1" ht="15" hidden="1" spans="1:60">
      <c r="A163" s="301">
        <v>156</v>
      </c>
      <c r="B163" s="334" t="s">
        <v>19</v>
      </c>
      <c r="C163" s="334" t="s">
        <v>20</v>
      </c>
      <c r="D163" s="335">
        <v>2019</v>
      </c>
      <c r="E163" s="340" t="s">
        <v>300</v>
      </c>
      <c r="F163" s="335" t="s">
        <v>53</v>
      </c>
      <c r="G163" s="146" t="s">
        <v>56</v>
      </c>
      <c r="H163" s="337">
        <f t="shared" si="38"/>
        <v>4491600</v>
      </c>
      <c r="I163" s="337">
        <f t="shared" si="39"/>
        <v>4491600</v>
      </c>
      <c r="J163" s="337">
        <f t="shared" si="40"/>
        <v>0</v>
      </c>
      <c r="K163" s="337"/>
      <c r="L163" s="337"/>
      <c r="M163" s="337"/>
      <c r="N163" s="337"/>
      <c r="O163" s="337">
        <f t="shared" si="41"/>
        <v>0</v>
      </c>
      <c r="P163" s="337"/>
      <c r="Q163" s="337"/>
      <c r="R163" s="337"/>
      <c r="S163" s="337"/>
      <c r="T163" s="337">
        <f t="shared" si="42"/>
        <v>0</v>
      </c>
      <c r="U163" s="337"/>
      <c r="V163" s="337"/>
      <c r="W163" s="337"/>
      <c r="X163" s="337"/>
      <c r="Y163" s="337">
        <f t="shared" si="43"/>
        <v>4491600</v>
      </c>
      <c r="Z163" s="337"/>
      <c r="AA163" s="337">
        <v>4491600</v>
      </c>
      <c r="AB163" s="337"/>
      <c r="AC163" s="337"/>
      <c r="AD163" s="337"/>
      <c r="AE163" s="337"/>
      <c r="AF163" s="337"/>
      <c r="AG163" s="337">
        <f t="shared" si="44"/>
        <v>4491600</v>
      </c>
      <c r="AH163" s="337">
        <f t="shared" si="45"/>
        <v>4491600</v>
      </c>
      <c r="AI163" s="337">
        <f t="shared" si="46"/>
        <v>0</v>
      </c>
      <c r="AJ163" s="337"/>
      <c r="AK163" s="337"/>
      <c r="AL163" s="337"/>
      <c r="AM163" s="337"/>
      <c r="AN163" s="337">
        <f t="shared" si="47"/>
        <v>0</v>
      </c>
      <c r="AO163" s="337"/>
      <c r="AP163" s="337"/>
      <c r="AQ163" s="337"/>
      <c r="AR163" s="337"/>
      <c r="AS163" s="337">
        <f t="shared" si="48"/>
        <v>0</v>
      </c>
      <c r="AT163" s="337"/>
      <c r="AU163" s="337"/>
      <c r="AV163" s="337"/>
      <c r="AW163" s="337"/>
      <c r="AX163" s="337">
        <f t="shared" si="49"/>
        <v>4491600</v>
      </c>
      <c r="AY163" s="337"/>
      <c r="AZ163" s="337">
        <v>4491600</v>
      </c>
      <c r="BA163" s="337"/>
      <c r="BB163" s="337"/>
      <c r="BC163" s="337"/>
      <c r="BD163" s="337"/>
      <c r="BE163" s="338"/>
      <c r="BF163" s="139" t="s">
        <v>56</v>
      </c>
      <c r="BG163" s="339" t="s">
        <v>221</v>
      </c>
      <c r="BH163" s="147" t="s">
        <v>67</v>
      </c>
    </row>
    <row r="164" s="79" customFormat="1" ht="15" hidden="1" spans="1:60">
      <c r="A164" s="301">
        <v>157</v>
      </c>
      <c r="B164" s="334" t="s">
        <v>19</v>
      </c>
      <c r="C164" s="334" t="s">
        <v>20</v>
      </c>
      <c r="D164" s="335">
        <v>2020</v>
      </c>
      <c r="E164" s="340" t="s">
        <v>301</v>
      </c>
      <c r="F164" s="335" t="s">
        <v>53</v>
      </c>
      <c r="G164" s="146" t="s">
        <v>56</v>
      </c>
      <c r="H164" s="337">
        <f t="shared" si="38"/>
        <v>13157300</v>
      </c>
      <c r="I164" s="337">
        <f t="shared" si="39"/>
        <v>13157300</v>
      </c>
      <c r="J164" s="337">
        <f t="shared" si="40"/>
        <v>0</v>
      </c>
      <c r="K164" s="337"/>
      <c r="L164" s="337"/>
      <c r="M164" s="337"/>
      <c r="N164" s="337"/>
      <c r="O164" s="337">
        <f t="shared" si="41"/>
        <v>0</v>
      </c>
      <c r="P164" s="337"/>
      <c r="Q164" s="337"/>
      <c r="R164" s="337"/>
      <c r="S164" s="337"/>
      <c r="T164" s="337">
        <f t="shared" si="42"/>
        <v>0</v>
      </c>
      <c r="U164" s="337"/>
      <c r="V164" s="337"/>
      <c r="W164" s="337"/>
      <c r="X164" s="337"/>
      <c r="Y164" s="337">
        <f t="shared" si="43"/>
        <v>13157300</v>
      </c>
      <c r="Z164" s="337"/>
      <c r="AA164" s="337">
        <v>13157300</v>
      </c>
      <c r="AB164" s="337"/>
      <c r="AC164" s="337"/>
      <c r="AD164" s="337"/>
      <c r="AE164" s="337"/>
      <c r="AF164" s="337"/>
      <c r="AG164" s="337">
        <f t="shared" si="44"/>
        <v>13157300</v>
      </c>
      <c r="AH164" s="337">
        <f t="shared" si="45"/>
        <v>13157300</v>
      </c>
      <c r="AI164" s="337">
        <f t="shared" si="46"/>
        <v>0</v>
      </c>
      <c r="AJ164" s="337"/>
      <c r="AK164" s="337"/>
      <c r="AL164" s="337"/>
      <c r="AM164" s="337"/>
      <c r="AN164" s="337">
        <f t="shared" si="47"/>
        <v>0</v>
      </c>
      <c r="AO164" s="337"/>
      <c r="AP164" s="337"/>
      <c r="AQ164" s="337"/>
      <c r="AR164" s="337"/>
      <c r="AS164" s="337">
        <f t="shared" si="48"/>
        <v>0</v>
      </c>
      <c r="AT164" s="337"/>
      <c r="AU164" s="337"/>
      <c r="AV164" s="337"/>
      <c r="AW164" s="337"/>
      <c r="AX164" s="337">
        <f t="shared" si="49"/>
        <v>13157300</v>
      </c>
      <c r="AY164" s="337"/>
      <c r="AZ164" s="337">
        <v>13157300</v>
      </c>
      <c r="BA164" s="337"/>
      <c r="BB164" s="337"/>
      <c r="BC164" s="337"/>
      <c r="BD164" s="337"/>
      <c r="BE164" s="338"/>
      <c r="BF164" s="139" t="s">
        <v>56</v>
      </c>
      <c r="BG164" s="339" t="s">
        <v>221</v>
      </c>
      <c r="BH164" s="147" t="s">
        <v>67</v>
      </c>
    </row>
    <row r="165" s="270" customFormat="1" ht="15" hidden="1" spans="1:60">
      <c r="A165" s="301">
        <v>158</v>
      </c>
      <c r="B165" s="302" t="s">
        <v>19</v>
      </c>
      <c r="C165" s="302" t="s">
        <v>20</v>
      </c>
      <c r="D165" s="301">
        <v>2021</v>
      </c>
      <c r="E165" s="303" t="s">
        <v>302</v>
      </c>
      <c r="F165" s="301" t="s">
        <v>53</v>
      </c>
      <c r="G165" s="238" t="s">
        <v>56</v>
      </c>
      <c r="H165" s="304">
        <f t="shared" si="38"/>
        <v>2072500</v>
      </c>
      <c r="I165" s="304">
        <f t="shared" si="39"/>
        <v>2072500</v>
      </c>
      <c r="J165" s="304">
        <f t="shared" si="40"/>
        <v>0</v>
      </c>
      <c r="K165" s="304"/>
      <c r="L165" s="304"/>
      <c r="M165" s="304"/>
      <c r="N165" s="304"/>
      <c r="O165" s="304">
        <f t="shared" si="41"/>
        <v>2072500</v>
      </c>
      <c r="P165" s="304"/>
      <c r="Q165" s="304">
        <v>2072500</v>
      </c>
      <c r="R165" s="304"/>
      <c r="S165" s="304"/>
      <c r="T165" s="304">
        <f t="shared" si="42"/>
        <v>0</v>
      </c>
      <c r="U165" s="304"/>
      <c r="V165" s="304"/>
      <c r="W165" s="304"/>
      <c r="X165" s="304"/>
      <c r="Y165" s="304">
        <f t="shared" si="43"/>
        <v>0</v>
      </c>
      <c r="Z165" s="304"/>
      <c r="AA165" s="304"/>
      <c r="AB165" s="304"/>
      <c r="AC165" s="304"/>
      <c r="AD165" s="304"/>
      <c r="AE165" s="304"/>
      <c r="AF165" s="304"/>
      <c r="AG165" s="304">
        <f t="shared" si="44"/>
        <v>1976535.88</v>
      </c>
      <c r="AH165" s="304">
        <f t="shared" si="45"/>
        <v>1976535.88</v>
      </c>
      <c r="AI165" s="304">
        <f t="shared" si="46"/>
        <v>0</v>
      </c>
      <c r="AJ165" s="304"/>
      <c r="AK165" s="304"/>
      <c r="AL165" s="304"/>
      <c r="AM165" s="304"/>
      <c r="AN165" s="304">
        <f t="shared" si="47"/>
        <v>1976535.88</v>
      </c>
      <c r="AO165" s="304"/>
      <c r="AP165" s="304">
        <v>1976535.88</v>
      </c>
      <c r="AQ165" s="304"/>
      <c r="AR165" s="304"/>
      <c r="AS165" s="304">
        <f t="shared" si="48"/>
        <v>0</v>
      </c>
      <c r="AT165" s="304"/>
      <c r="AU165" s="304"/>
      <c r="AV165" s="304"/>
      <c r="AW165" s="304"/>
      <c r="AX165" s="304">
        <f t="shared" si="49"/>
        <v>0</v>
      </c>
      <c r="AY165" s="304"/>
      <c r="AZ165" s="304"/>
      <c r="BA165" s="304"/>
      <c r="BB165" s="304"/>
      <c r="BC165" s="304"/>
      <c r="BD165" s="304"/>
      <c r="BE165" s="305"/>
      <c r="BF165" s="238" t="s">
        <v>53</v>
      </c>
      <c r="BG165" s="263" t="s">
        <v>70</v>
      </c>
      <c r="BH165" s="306"/>
    </row>
    <row r="166" s="78" customFormat="1" ht="15" hidden="1" spans="1:60">
      <c r="A166" s="301">
        <v>159</v>
      </c>
      <c r="B166" s="307" t="s">
        <v>19</v>
      </c>
      <c r="C166" s="307" t="s">
        <v>20</v>
      </c>
      <c r="D166" s="308">
        <v>2021</v>
      </c>
      <c r="E166" s="313" t="s">
        <v>303</v>
      </c>
      <c r="F166" s="308" t="s">
        <v>53</v>
      </c>
      <c r="G166" s="127" t="s">
        <v>56</v>
      </c>
      <c r="H166" s="310">
        <f t="shared" si="38"/>
        <v>900000</v>
      </c>
      <c r="I166" s="310">
        <f t="shared" si="39"/>
        <v>900000</v>
      </c>
      <c r="J166" s="310">
        <f t="shared" si="40"/>
        <v>0</v>
      </c>
      <c r="K166" s="310"/>
      <c r="L166" s="310"/>
      <c r="M166" s="310"/>
      <c r="N166" s="310"/>
      <c r="O166" s="310">
        <f t="shared" si="41"/>
        <v>0</v>
      </c>
      <c r="P166" s="310"/>
      <c r="Q166" s="310"/>
      <c r="R166" s="310"/>
      <c r="S166" s="310"/>
      <c r="T166" s="310">
        <f t="shared" si="42"/>
        <v>900000</v>
      </c>
      <c r="U166" s="310"/>
      <c r="V166" s="310">
        <v>900000</v>
      </c>
      <c r="W166" s="310"/>
      <c r="X166" s="310"/>
      <c r="Y166" s="310">
        <f t="shared" si="43"/>
        <v>0</v>
      </c>
      <c r="Z166" s="310"/>
      <c r="AA166" s="310"/>
      <c r="AB166" s="310"/>
      <c r="AC166" s="310"/>
      <c r="AD166" s="310"/>
      <c r="AE166" s="310"/>
      <c r="AF166" s="310"/>
      <c r="AG166" s="310">
        <f t="shared" si="44"/>
        <v>876986.32</v>
      </c>
      <c r="AH166" s="310">
        <f t="shared" si="45"/>
        <v>876986.32</v>
      </c>
      <c r="AI166" s="310">
        <f t="shared" si="46"/>
        <v>0</v>
      </c>
      <c r="AJ166" s="310"/>
      <c r="AK166" s="310"/>
      <c r="AL166" s="310"/>
      <c r="AM166" s="310"/>
      <c r="AN166" s="310">
        <f t="shared" si="47"/>
        <v>0</v>
      </c>
      <c r="AO166" s="310"/>
      <c r="AP166" s="310"/>
      <c r="AQ166" s="310"/>
      <c r="AR166" s="310"/>
      <c r="AS166" s="310">
        <f t="shared" si="48"/>
        <v>876986.32</v>
      </c>
      <c r="AT166" s="310"/>
      <c r="AU166" s="310">
        <v>876986.32</v>
      </c>
      <c r="AV166" s="310"/>
      <c r="AW166" s="310"/>
      <c r="AX166" s="310">
        <f t="shared" si="49"/>
        <v>0</v>
      </c>
      <c r="AY166" s="310"/>
      <c r="AZ166" s="310"/>
      <c r="BA166" s="310"/>
      <c r="BB166" s="310"/>
      <c r="BC166" s="310"/>
      <c r="BD166" s="310"/>
      <c r="BE166" s="312"/>
      <c r="BF166" s="134" t="s">
        <v>56</v>
      </c>
      <c r="BG166" s="315" t="s">
        <v>62</v>
      </c>
      <c r="BH166" s="137" t="s">
        <v>124</v>
      </c>
    </row>
    <row r="167" s="77" customFormat="1" ht="15" hidden="1" spans="1:60">
      <c r="A167" s="301">
        <v>160</v>
      </c>
      <c r="B167" s="307" t="s">
        <v>19</v>
      </c>
      <c r="C167" s="307" t="s">
        <v>20</v>
      </c>
      <c r="D167" s="308">
        <v>2021</v>
      </c>
      <c r="E167" s="313" t="s">
        <v>304</v>
      </c>
      <c r="F167" s="308" t="s">
        <v>53</v>
      </c>
      <c r="G167" s="127" t="s">
        <v>56</v>
      </c>
      <c r="H167" s="310">
        <f t="shared" si="38"/>
        <v>840000</v>
      </c>
      <c r="I167" s="310">
        <f t="shared" si="39"/>
        <v>840000</v>
      </c>
      <c r="J167" s="310">
        <f t="shared" si="40"/>
        <v>0</v>
      </c>
      <c r="K167" s="310"/>
      <c r="L167" s="310"/>
      <c r="M167" s="310"/>
      <c r="N167" s="310"/>
      <c r="O167" s="310">
        <f t="shared" si="41"/>
        <v>0</v>
      </c>
      <c r="P167" s="310"/>
      <c r="Q167" s="310"/>
      <c r="R167" s="310"/>
      <c r="S167" s="310"/>
      <c r="T167" s="310">
        <f t="shared" si="42"/>
        <v>840000</v>
      </c>
      <c r="U167" s="310"/>
      <c r="V167" s="310">
        <v>840000</v>
      </c>
      <c r="W167" s="310"/>
      <c r="X167" s="310"/>
      <c r="Y167" s="310">
        <f t="shared" si="43"/>
        <v>0</v>
      </c>
      <c r="Z167" s="310"/>
      <c r="AA167" s="310"/>
      <c r="AB167" s="310"/>
      <c r="AC167" s="310"/>
      <c r="AD167" s="310"/>
      <c r="AE167" s="310"/>
      <c r="AF167" s="310"/>
      <c r="AG167" s="310">
        <f t="shared" si="44"/>
        <v>813937.9</v>
      </c>
      <c r="AH167" s="310">
        <f t="shared" si="45"/>
        <v>813937.9</v>
      </c>
      <c r="AI167" s="310">
        <f t="shared" si="46"/>
        <v>0</v>
      </c>
      <c r="AJ167" s="310"/>
      <c r="AK167" s="310"/>
      <c r="AL167" s="310"/>
      <c r="AM167" s="310"/>
      <c r="AN167" s="310">
        <f t="shared" si="47"/>
        <v>0</v>
      </c>
      <c r="AO167" s="310"/>
      <c r="AP167" s="314"/>
      <c r="AQ167" s="310"/>
      <c r="AR167" s="310"/>
      <c r="AS167" s="310">
        <f t="shared" si="48"/>
        <v>813937.9</v>
      </c>
      <c r="AT167" s="310"/>
      <c r="AU167" s="310">
        <v>813937.9</v>
      </c>
      <c r="AV167" s="310"/>
      <c r="AW167" s="310"/>
      <c r="AX167" s="310">
        <f t="shared" si="49"/>
        <v>0</v>
      </c>
      <c r="AY167" s="310"/>
      <c r="AZ167" s="310"/>
      <c r="BA167" s="310"/>
      <c r="BB167" s="310"/>
      <c r="BC167" s="310"/>
      <c r="BD167" s="310"/>
      <c r="BE167" s="312"/>
      <c r="BF167" s="127" t="s">
        <v>56</v>
      </c>
      <c r="BG167" s="128" t="s">
        <v>162</v>
      </c>
      <c r="BH167" s="133" t="s">
        <v>82</v>
      </c>
    </row>
    <row r="168" s="78" customFormat="1" ht="15" hidden="1" spans="1:60">
      <c r="A168" s="301">
        <v>161</v>
      </c>
      <c r="B168" s="307" t="s">
        <v>19</v>
      </c>
      <c r="C168" s="307" t="s">
        <v>20</v>
      </c>
      <c r="D168" s="308">
        <v>2021</v>
      </c>
      <c r="E168" s="313" t="s">
        <v>305</v>
      </c>
      <c r="F168" s="308" t="s">
        <v>53</v>
      </c>
      <c r="G168" s="127" t="s">
        <v>56</v>
      </c>
      <c r="H168" s="310">
        <f t="shared" si="38"/>
        <v>2108300</v>
      </c>
      <c r="I168" s="310">
        <f t="shared" si="39"/>
        <v>2108300</v>
      </c>
      <c r="J168" s="310">
        <f t="shared" si="40"/>
        <v>0</v>
      </c>
      <c r="K168" s="310"/>
      <c r="L168" s="310"/>
      <c r="M168" s="310"/>
      <c r="N168" s="310"/>
      <c r="O168" s="310">
        <f t="shared" si="41"/>
        <v>0</v>
      </c>
      <c r="P168" s="310"/>
      <c r="Q168" s="310"/>
      <c r="R168" s="310"/>
      <c r="S168" s="310"/>
      <c r="T168" s="310">
        <f t="shared" si="42"/>
        <v>2108300</v>
      </c>
      <c r="U168" s="310"/>
      <c r="V168" s="310">
        <v>2108300</v>
      </c>
      <c r="W168" s="310"/>
      <c r="X168" s="310"/>
      <c r="Y168" s="310">
        <f t="shared" si="43"/>
        <v>0</v>
      </c>
      <c r="Z168" s="310"/>
      <c r="AA168" s="310"/>
      <c r="AB168" s="310"/>
      <c r="AC168" s="310"/>
      <c r="AD168" s="310"/>
      <c r="AE168" s="310"/>
      <c r="AF168" s="310"/>
      <c r="AG168" s="310">
        <f t="shared" si="44"/>
        <v>2042345.13</v>
      </c>
      <c r="AH168" s="310">
        <f t="shared" si="45"/>
        <v>2042345.13</v>
      </c>
      <c r="AI168" s="310">
        <f t="shared" si="46"/>
        <v>0</v>
      </c>
      <c r="AJ168" s="310"/>
      <c r="AK168" s="310"/>
      <c r="AL168" s="310"/>
      <c r="AM168" s="310"/>
      <c r="AN168" s="310">
        <f t="shared" si="47"/>
        <v>0</v>
      </c>
      <c r="AO168" s="310"/>
      <c r="AP168" s="310"/>
      <c r="AQ168" s="310"/>
      <c r="AR168" s="310"/>
      <c r="AS168" s="310">
        <f t="shared" si="48"/>
        <v>2042345.13</v>
      </c>
      <c r="AT168" s="314"/>
      <c r="AU168" s="310">
        <v>2042345.13</v>
      </c>
      <c r="AV168" s="310"/>
      <c r="AW168" s="310"/>
      <c r="AX168" s="310">
        <f t="shared" si="49"/>
        <v>0</v>
      </c>
      <c r="AY168" s="310"/>
      <c r="AZ168" s="310"/>
      <c r="BA168" s="310"/>
      <c r="BB168" s="310"/>
      <c r="BC168" s="310"/>
      <c r="BD168" s="310"/>
      <c r="BE168" s="312"/>
      <c r="BF168" s="134" t="s">
        <v>56</v>
      </c>
      <c r="BG168" s="315" t="s">
        <v>162</v>
      </c>
      <c r="BH168" s="137" t="s">
        <v>157</v>
      </c>
    </row>
    <row r="169" s="78" customFormat="1" ht="15" hidden="1" spans="1:60">
      <c r="A169" s="301">
        <v>162</v>
      </c>
      <c r="B169" s="307" t="s">
        <v>19</v>
      </c>
      <c r="C169" s="307" t="s">
        <v>20</v>
      </c>
      <c r="D169" s="308">
        <v>2021</v>
      </c>
      <c r="E169" s="313" t="s">
        <v>306</v>
      </c>
      <c r="F169" s="308" t="s">
        <v>53</v>
      </c>
      <c r="G169" s="127" t="s">
        <v>56</v>
      </c>
      <c r="H169" s="310">
        <f t="shared" si="38"/>
        <v>2650000</v>
      </c>
      <c r="I169" s="310">
        <f t="shared" si="39"/>
        <v>2650000</v>
      </c>
      <c r="J169" s="310">
        <f t="shared" si="40"/>
        <v>0</v>
      </c>
      <c r="K169" s="310"/>
      <c r="L169" s="310"/>
      <c r="M169" s="310"/>
      <c r="N169" s="310"/>
      <c r="O169" s="310">
        <f t="shared" si="41"/>
        <v>0</v>
      </c>
      <c r="P169" s="310"/>
      <c r="Q169" s="310"/>
      <c r="R169" s="310"/>
      <c r="S169" s="310"/>
      <c r="T169" s="310">
        <f t="shared" si="42"/>
        <v>2650000</v>
      </c>
      <c r="U169" s="310">
        <v>2650000</v>
      </c>
      <c r="V169" s="310"/>
      <c r="W169" s="310"/>
      <c r="X169" s="310"/>
      <c r="Y169" s="310">
        <f t="shared" si="43"/>
        <v>0</v>
      </c>
      <c r="Z169" s="310"/>
      <c r="AA169" s="310"/>
      <c r="AB169" s="310"/>
      <c r="AC169" s="310"/>
      <c r="AD169" s="310"/>
      <c r="AE169" s="310"/>
      <c r="AF169" s="310"/>
      <c r="AG169" s="310">
        <f t="shared" si="44"/>
        <v>2437403.87</v>
      </c>
      <c r="AH169" s="310">
        <f t="shared" si="45"/>
        <v>2437403.87</v>
      </c>
      <c r="AI169" s="310">
        <f t="shared" si="46"/>
        <v>0</v>
      </c>
      <c r="AJ169" s="310"/>
      <c r="AK169" s="310"/>
      <c r="AL169" s="310"/>
      <c r="AM169" s="310"/>
      <c r="AN169" s="310">
        <f t="shared" si="47"/>
        <v>0</v>
      </c>
      <c r="AO169" s="310"/>
      <c r="AP169" s="310"/>
      <c r="AQ169" s="310"/>
      <c r="AR169" s="310"/>
      <c r="AS169" s="310">
        <f t="shared" si="48"/>
        <v>2437403.87</v>
      </c>
      <c r="AT169" s="314">
        <v>2437403.87</v>
      </c>
      <c r="AU169" s="310"/>
      <c r="AV169" s="310"/>
      <c r="AW169" s="310"/>
      <c r="AX169" s="310">
        <f t="shared" si="49"/>
        <v>0</v>
      </c>
      <c r="AY169" s="310"/>
      <c r="AZ169" s="310"/>
      <c r="BA169" s="310"/>
      <c r="BB169" s="310"/>
      <c r="BC169" s="310"/>
      <c r="BD169" s="310"/>
      <c r="BE169" s="312"/>
      <c r="BF169" s="134" t="s">
        <v>56</v>
      </c>
      <c r="BG169" s="315" t="s">
        <v>162</v>
      </c>
      <c r="BH169" s="137" t="s">
        <v>157</v>
      </c>
    </row>
    <row r="170" s="78" customFormat="1" ht="15" hidden="1" spans="1:60">
      <c r="A170" s="301">
        <v>163</v>
      </c>
      <c r="B170" s="307" t="s">
        <v>19</v>
      </c>
      <c r="C170" s="307" t="s">
        <v>20</v>
      </c>
      <c r="D170" s="308">
        <v>2021</v>
      </c>
      <c r="E170" s="313" t="s">
        <v>307</v>
      </c>
      <c r="F170" s="308" t="s">
        <v>53</v>
      </c>
      <c r="G170" s="127" t="s">
        <v>56</v>
      </c>
      <c r="H170" s="310">
        <f t="shared" si="38"/>
        <v>660100</v>
      </c>
      <c r="I170" s="310">
        <f t="shared" si="39"/>
        <v>660100</v>
      </c>
      <c r="J170" s="310">
        <f t="shared" si="40"/>
        <v>0</v>
      </c>
      <c r="K170" s="310"/>
      <c r="L170" s="310"/>
      <c r="M170" s="310"/>
      <c r="N170" s="310"/>
      <c r="O170" s="310">
        <f t="shared" si="41"/>
        <v>0</v>
      </c>
      <c r="P170" s="310"/>
      <c r="Q170" s="310"/>
      <c r="R170" s="310"/>
      <c r="S170" s="310"/>
      <c r="T170" s="310">
        <f t="shared" si="42"/>
        <v>660100</v>
      </c>
      <c r="U170" s="310">
        <v>660100</v>
      </c>
      <c r="V170" s="310"/>
      <c r="W170" s="310"/>
      <c r="X170" s="310"/>
      <c r="Y170" s="310">
        <f t="shared" si="43"/>
        <v>0</v>
      </c>
      <c r="Z170" s="310"/>
      <c r="AA170" s="310"/>
      <c r="AB170" s="310"/>
      <c r="AC170" s="310"/>
      <c r="AD170" s="310"/>
      <c r="AE170" s="310"/>
      <c r="AF170" s="310"/>
      <c r="AG170" s="310">
        <f t="shared" si="44"/>
        <v>625244.38</v>
      </c>
      <c r="AH170" s="310">
        <f t="shared" si="45"/>
        <v>625244.38</v>
      </c>
      <c r="AI170" s="310">
        <f t="shared" si="46"/>
        <v>0</v>
      </c>
      <c r="AJ170" s="310"/>
      <c r="AK170" s="310"/>
      <c r="AL170" s="310"/>
      <c r="AM170" s="310"/>
      <c r="AN170" s="310">
        <f t="shared" si="47"/>
        <v>0</v>
      </c>
      <c r="AO170" s="310"/>
      <c r="AP170" s="310"/>
      <c r="AQ170" s="310"/>
      <c r="AR170" s="310"/>
      <c r="AS170" s="310">
        <f t="shared" si="48"/>
        <v>625244.38</v>
      </c>
      <c r="AT170" s="314">
        <v>625244.38</v>
      </c>
      <c r="AU170" s="310"/>
      <c r="AV170" s="310"/>
      <c r="AW170" s="310"/>
      <c r="AX170" s="310">
        <f t="shared" si="49"/>
        <v>0</v>
      </c>
      <c r="AY170" s="310"/>
      <c r="AZ170" s="310"/>
      <c r="BA170" s="310"/>
      <c r="BB170" s="310"/>
      <c r="BC170" s="310"/>
      <c r="BD170" s="310"/>
      <c r="BE170" s="312"/>
      <c r="BF170" s="134" t="s">
        <v>56</v>
      </c>
      <c r="BG170" s="315" t="s">
        <v>162</v>
      </c>
      <c r="BH170" s="137" t="s">
        <v>131</v>
      </c>
    </row>
    <row r="171" s="78" customFormat="1" ht="15" hidden="1" spans="1:60">
      <c r="A171" s="301">
        <v>164</v>
      </c>
      <c r="B171" s="307" t="s">
        <v>19</v>
      </c>
      <c r="C171" s="307" t="s">
        <v>20</v>
      </c>
      <c r="D171" s="308">
        <v>2021</v>
      </c>
      <c r="E171" s="313" t="s">
        <v>308</v>
      </c>
      <c r="F171" s="308" t="s">
        <v>53</v>
      </c>
      <c r="G171" s="127" t="s">
        <v>56</v>
      </c>
      <c r="H171" s="310">
        <f t="shared" si="38"/>
        <v>1027000</v>
      </c>
      <c r="I171" s="310">
        <f t="shared" si="39"/>
        <v>1027000</v>
      </c>
      <c r="J171" s="310">
        <f t="shared" si="40"/>
        <v>0</v>
      </c>
      <c r="K171" s="310"/>
      <c r="L171" s="310"/>
      <c r="M171" s="310"/>
      <c r="N171" s="310"/>
      <c r="O171" s="310">
        <f t="shared" si="41"/>
        <v>0</v>
      </c>
      <c r="P171" s="310"/>
      <c r="Q171" s="310"/>
      <c r="R171" s="310"/>
      <c r="S171" s="310"/>
      <c r="T171" s="310">
        <f t="shared" si="42"/>
        <v>1027000</v>
      </c>
      <c r="U171" s="310">
        <v>1027000</v>
      </c>
      <c r="V171" s="310"/>
      <c r="W171" s="310"/>
      <c r="X171" s="310"/>
      <c r="Y171" s="310">
        <f t="shared" si="43"/>
        <v>0</v>
      </c>
      <c r="Z171" s="310"/>
      <c r="AA171" s="310"/>
      <c r="AB171" s="310"/>
      <c r="AC171" s="310"/>
      <c r="AD171" s="310"/>
      <c r="AE171" s="310"/>
      <c r="AF171" s="310"/>
      <c r="AG171" s="310">
        <f t="shared" si="44"/>
        <v>955053.64</v>
      </c>
      <c r="AH171" s="310">
        <f t="shared" si="45"/>
        <v>955053.64</v>
      </c>
      <c r="AI171" s="310">
        <f t="shared" si="46"/>
        <v>0</v>
      </c>
      <c r="AJ171" s="310"/>
      <c r="AK171" s="310"/>
      <c r="AL171" s="310"/>
      <c r="AM171" s="310"/>
      <c r="AN171" s="310">
        <f t="shared" si="47"/>
        <v>0</v>
      </c>
      <c r="AO171" s="310"/>
      <c r="AP171" s="310"/>
      <c r="AQ171" s="310"/>
      <c r="AR171" s="310"/>
      <c r="AS171" s="310">
        <f t="shared" si="48"/>
        <v>955053.64</v>
      </c>
      <c r="AT171" s="314">
        <v>955053.64</v>
      </c>
      <c r="AU171" s="310"/>
      <c r="AV171" s="310"/>
      <c r="AW171" s="310"/>
      <c r="AX171" s="310">
        <f t="shared" si="49"/>
        <v>0</v>
      </c>
      <c r="AY171" s="310"/>
      <c r="AZ171" s="310"/>
      <c r="BA171" s="310"/>
      <c r="BB171" s="310"/>
      <c r="BC171" s="310"/>
      <c r="BD171" s="310"/>
      <c r="BE171" s="312"/>
      <c r="BF171" s="134" t="s">
        <v>56</v>
      </c>
      <c r="BG171" s="315" t="s">
        <v>162</v>
      </c>
      <c r="BH171" s="137" t="s">
        <v>131</v>
      </c>
    </row>
    <row r="172" s="78" customFormat="1" ht="15" hidden="1" spans="1:60">
      <c r="A172" s="301">
        <v>165</v>
      </c>
      <c r="B172" s="307" t="s">
        <v>19</v>
      </c>
      <c r="C172" s="307" t="s">
        <v>20</v>
      </c>
      <c r="D172" s="308">
        <v>2021</v>
      </c>
      <c r="E172" s="313" t="s">
        <v>309</v>
      </c>
      <c r="F172" s="308" t="s">
        <v>53</v>
      </c>
      <c r="G172" s="127" t="s">
        <v>56</v>
      </c>
      <c r="H172" s="310">
        <f t="shared" si="38"/>
        <v>1507500</v>
      </c>
      <c r="I172" s="310">
        <f t="shared" si="39"/>
        <v>1507500</v>
      </c>
      <c r="J172" s="310">
        <f t="shared" si="40"/>
        <v>0</v>
      </c>
      <c r="K172" s="310"/>
      <c r="L172" s="310"/>
      <c r="M172" s="310"/>
      <c r="N172" s="310"/>
      <c r="O172" s="310">
        <f t="shared" si="41"/>
        <v>0</v>
      </c>
      <c r="P172" s="310"/>
      <c r="Q172" s="310"/>
      <c r="R172" s="310"/>
      <c r="S172" s="310"/>
      <c r="T172" s="310">
        <f t="shared" si="42"/>
        <v>1507500</v>
      </c>
      <c r="U172" s="310">
        <v>1507500</v>
      </c>
      <c r="V172" s="310"/>
      <c r="W172" s="310"/>
      <c r="X172" s="310"/>
      <c r="Y172" s="310">
        <f t="shared" si="43"/>
        <v>0</v>
      </c>
      <c r="Z172" s="310"/>
      <c r="AA172" s="310"/>
      <c r="AB172" s="310"/>
      <c r="AC172" s="310"/>
      <c r="AD172" s="310"/>
      <c r="AE172" s="310"/>
      <c r="AF172" s="310"/>
      <c r="AG172" s="310">
        <f t="shared" si="44"/>
        <v>1268855.46</v>
      </c>
      <c r="AH172" s="310">
        <f t="shared" si="45"/>
        <v>1268855.46</v>
      </c>
      <c r="AI172" s="310">
        <f t="shared" si="46"/>
        <v>0</v>
      </c>
      <c r="AJ172" s="310"/>
      <c r="AK172" s="310"/>
      <c r="AL172" s="310"/>
      <c r="AM172" s="310"/>
      <c r="AN172" s="310">
        <f t="shared" si="47"/>
        <v>0</v>
      </c>
      <c r="AO172" s="310"/>
      <c r="AP172" s="310"/>
      <c r="AQ172" s="310"/>
      <c r="AR172" s="310"/>
      <c r="AS172" s="310">
        <f t="shared" si="48"/>
        <v>1268855.46</v>
      </c>
      <c r="AT172" s="314">
        <v>1268855.46</v>
      </c>
      <c r="AU172" s="310"/>
      <c r="AV172" s="310"/>
      <c r="AW172" s="310"/>
      <c r="AX172" s="310">
        <f t="shared" si="49"/>
        <v>0</v>
      </c>
      <c r="AY172" s="310"/>
      <c r="AZ172" s="310"/>
      <c r="BA172" s="310"/>
      <c r="BB172" s="310"/>
      <c r="BC172" s="310"/>
      <c r="BD172" s="310"/>
      <c r="BE172" s="312"/>
      <c r="BF172" s="134" t="s">
        <v>56</v>
      </c>
      <c r="BG172" s="315" t="s">
        <v>162</v>
      </c>
      <c r="BH172" s="137" t="s">
        <v>131</v>
      </c>
    </row>
    <row r="173" s="78" customFormat="1" ht="15" hidden="1" spans="1:60">
      <c r="A173" s="301">
        <v>166</v>
      </c>
      <c r="B173" s="307" t="s">
        <v>19</v>
      </c>
      <c r="C173" s="307" t="s">
        <v>20</v>
      </c>
      <c r="D173" s="308">
        <v>2021</v>
      </c>
      <c r="E173" s="313" t="s">
        <v>310</v>
      </c>
      <c r="F173" s="308" t="s">
        <v>53</v>
      </c>
      <c r="G173" s="127" t="s">
        <v>53</v>
      </c>
      <c r="H173" s="310">
        <f t="shared" si="38"/>
        <v>2627200</v>
      </c>
      <c r="I173" s="310">
        <f t="shared" si="39"/>
        <v>2627200</v>
      </c>
      <c r="J173" s="310">
        <f t="shared" si="40"/>
        <v>0</v>
      </c>
      <c r="K173" s="310"/>
      <c r="L173" s="310"/>
      <c r="M173" s="310"/>
      <c r="N173" s="310"/>
      <c r="O173" s="310">
        <f t="shared" si="41"/>
        <v>0</v>
      </c>
      <c r="P173" s="310"/>
      <c r="Q173" s="310"/>
      <c r="R173" s="310"/>
      <c r="S173" s="310"/>
      <c r="T173" s="310">
        <f t="shared" si="42"/>
        <v>2627200</v>
      </c>
      <c r="U173" s="310">
        <v>2627200</v>
      </c>
      <c r="V173" s="310"/>
      <c r="W173" s="310"/>
      <c r="X173" s="310"/>
      <c r="Y173" s="310">
        <f t="shared" si="43"/>
        <v>0</v>
      </c>
      <c r="Z173" s="310"/>
      <c r="AA173" s="310"/>
      <c r="AB173" s="310"/>
      <c r="AC173" s="310"/>
      <c r="AD173" s="310"/>
      <c r="AE173" s="310"/>
      <c r="AF173" s="310"/>
      <c r="AG173" s="310">
        <f t="shared" si="44"/>
        <v>2421735.9</v>
      </c>
      <c r="AH173" s="310">
        <f t="shared" si="45"/>
        <v>2421735.9</v>
      </c>
      <c r="AI173" s="310">
        <f t="shared" si="46"/>
        <v>0</v>
      </c>
      <c r="AJ173" s="310"/>
      <c r="AK173" s="310"/>
      <c r="AL173" s="310"/>
      <c r="AM173" s="310"/>
      <c r="AN173" s="310">
        <f t="shared" si="47"/>
        <v>0</v>
      </c>
      <c r="AO173" s="310"/>
      <c r="AP173" s="310"/>
      <c r="AQ173" s="310"/>
      <c r="AR173" s="310"/>
      <c r="AS173" s="310">
        <f t="shared" si="48"/>
        <v>2421735.9</v>
      </c>
      <c r="AT173" s="310">
        <v>2421735.9</v>
      </c>
      <c r="AU173" s="310"/>
      <c r="AV173" s="310"/>
      <c r="AW173" s="310"/>
      <c r="AX173" s="310">
        <f t="shared" si="49"/>
        <v>0</v>
      </c>
      <c r="AY173" s="310"/>
      <c r="AZ173" s="310"/>
      <c r="BA173" s="310"/>
      <c r="BB173" s="310"/>
      <c r="BC173" s="310"/>
      <c r="BD173" s="310"/>
      <c r="BE173" s="312">
        <v>0</v>
      </c>
      <c r="BF173" s="134" t="s">
        <v>56</v>
      </c>
      <c r="BG173" s="315" t="s">
        <v>167</v>
      </c>
      <c r="BH173" s="137" t="s">
        <v>157</v>
      </c>
    </row>
    <row r="174" s="78" customFormat="1" ht="15" hidden="1" spans="1:60">
      <c r="A174" s="301">
        <v>167</v>
      </c>
      <c r="B174" s="307" t="s">
        <v>19</v>
      </c>
      <c r="C174" s="307" t="s">
        <v>20</v>
      </c>
      <c r="D174" s="308">
        <v>2022</v>
      </c>
      <c r="E174" s="313" t="s">
        <v>311</v>
      </c>
      <c r="F174" s="308" t="s">
        <v>53</v>
      </c>
      <c r="G174" s="127" t="s">
        <v>56</v>
      </c>
      <c r="H174" s="310">
        <f t="shared" si="38"/>
        <v>3500000</v>
      </c>
      <c r="I174" s="310">
        <f t="shared" si="39"/>
        <v>3500000</v>
      </c>
      <c r="J174" s="310">
        <f t="shared" si="40"/>
        <v>0</v>
      </c>
      <c r="K174" s="310"/>
      <c r="L174" s="310"/>
      <c r="M174" s="310"/>
      <c r="N174" s="310"/>
      <c r="O174" s="310">
        <f t="shared" si="41"/>
        <v>0</v>
      </c>
      <c r="P174" s="310"/>
      <c r="Q174" s="310"/>
      <c r="R174" s="310"/>
      <c r="S174" s="310"/>
      <c r="T174" s="310">
        <f t="shared" si="42"/>
        <v>3500000</v>
      </c>
      <c r="U174" s="310">
        <v>3500000</v>
      </c>
      <c r="V174" s="310"/>
      <c r="W174" s="310"/>
      <c r="X174" s="310"/>
      <c r="Y174" s="310">
        <f t="shared" si="43"/>
        <v>0</v>
      </c>
      <c r="Z174" s="310"/>
      <c r="AA174" s="310"/>
      <c r="AB174" s="310"/>
      <c r="AC174" s="310"/>
      <c r="AD174" s="310"/>
      <c r="AE174" s="310"/>
      <c r="AF174" s="310"/>
      <c r="AG174" s="310">
        <f t="shared" si="44"/>
        <v>2586188.58</v>
      </c>
      <c r="AH174" s="310">
        <f t="shared" si="45"/>
        <v>2586188.58</v>
      </c>
      <c r="AI174" s="310">
        <f t="shared" si="46"/>
        <v>0</v>
      </c>
      <c r="AJ174" s="310"/>
      <c r="AK174" s="310"/>
      <c r="AL174" s="310"/>
      <c r="AM174" s="310"/>
      <c r="AN174" s="310">
        <f t="shared" si="47"/>
        <v>0</v>
      </c>
      <c r="AO174" s="310"/>
      <c r="AP174" s="310"/>
      <c r="AQ174" s="310"/>
      <c r="AR174" s="310"/>
      <c r="AS174" s="310">
        <f t="shared" si="48"/>
        <v>2586188.58</v>
      </c>
      <c r="AT174" s="310">
        <v>2586188.58</v>
      </c>
      <c r="AU174" s="310"/>
      <c r="AV174" s="310"/>
      <c r="AW174" s="310"/>
      <c r="AX174" s="310">
        <f t="shared" si="49"/>
        <v>0</v>
      </c>
      <c r="AY174" s="310"/>
      <c r="AZ174" s="310"/>
      <c r="BA174" s="310"/>
      <c r="BB174" s="310"/>
      <c r="BC174" s="310"/>
      <c r="BD174" s="310"/>
      <c r="BE174" s="312"/>
      <c r="BF174" s="134" t="s">
        <v>56</v>
      </c>
      <c r="BG174" s="315" t="s">
        <v>167</v>
      </c>
      <c r="BH174" s="137" t="s">
        <v>157</v>
      </c>
    </row>
    <row r="175" s="79" customFormat="1" ht="15" hidden="1" spans="1:60">
      <c r="A175" s="301">
        <v>168</v>
      </c>
      <c r="B175" s="334" t="s">
        <v>19</v>
      </c>
      <c r="C175" s="334" t="s">
        <v>20</v>
      </c>
      <c r="D175" s="335">
        <v>2022</v>
      </c>
      <c r="E175" s="340" t="s">
        <v>312</v>
      </c>
      <c r="F175" s="335" t="s">
        <v>53</v>
      </c>
      <c r="G175" s="146" t="s">
        <v>56</v>
      </c>
      <c r="H175" s="337">
        <f t="shared" si="38"/>
        <v>445000</v>
      </c>
      <c r="I175" s="337">
        <f t="shared" si="39"/>
        <v>445000</v>
      </c>
      <c r="J175" s="337">
        <f t="shared" si="40"/>
        <v>0</v>
      </c>
      <c r="K175" s="337"/>
      <c r="L175" s="337"/>
      <c r="M175" s="337"/>
      <c r="N175" s="337"/>
      <c r="O175" s="337">
        <f t="shared" si="41"/>
        <v>0</v>
      </c>
      <c r="P175" s="337"/>
      <c r="Q175" s="337"/>
      <c r="R175" s="337"/>
      <c r="S175" s="337"/>
      <c r="T175" s="337">
        <f t="shared" si="42"/>
        <v>445000</v>
      </c>
      <c r="U175" s="337">
        <v>445000</v>
      </c>
      <c r="V175" s="337"/>
      <c r="W175" s="337"/>
      <c r="X175" s="337"/>
      <c r="Y175" s="337">
        <f t="shared" si="43"/>
        <v>0</v>
      </c>
      <c r="Z175" s="337"/>
      <c r="AA175" s="337"/>
      <c r="AB175" s="337"/>
      <c r="AC175" s="337"/>
      <c r="AD175" s="337"/>
      <c r="AE175" s="337"/>
      <c r="AF175" s="337"/>
      <c r="AG175" s="337">
        <f t="shared" si="44"/>
        <v>445000</v>
      </c>
      <c r="AH175" s="337">
        <f t="shared" si="45"/>
        <v>445000</v>
      </c>
      <c r="AI175" s="337">
        <f t="shared" si="46"/>
        <v>0</v>
      </c>
      <c r="AJ175" s="337"/>
      <c r="AK175" s="337"/>
      <c r="AL175" s="337"/>
      <c r="AM175" s="337"/>
      <c r="AN175" s="337">
        <f t="shared" si="47"/>
        <v>0</v>
      </c>
      <c r="AO175" s="337"/>
      <c r="AP175" s="337"/>
      <c r="AQ175" s="337"/>
      <c r="AR175" s="337"/>
      <c r="AS175" s="337">
        <f t="shared" si="48"/>
        <v>445000</v>
      </c>
      <c r="AT175" s="344">
        <v>445000</v>
      </c>
      <c r="AU175" s="337"/>
      <c r="AV175" s="337"/>
      <c r="AW175" s="337"/>
      <c r="AX175" s="337">
        <f t="shared" si="49"/>
        <v>0</v>
      </c>
      <c r="AY175" s="337"/>
      <c r="AZ175" s="337"/>
      <c r="BA175" s="337"/>
      <c r="BB175" s="337"/>
      <c r="BC175" s="337"/>
      <c r="BD175" s="337"/>
      <c r="BE175" s="338"/>
      <c r="BF175" s="139" t="s">
        <v>56</v>
      </c>
      <c r="BG175" s="339" t="s">
        <v>179</v>
      </c>
      <c r="BH175" s="147" t="s">
        <v>157</v>
      </c>
    </row>
    <row r="176" s="78" customFormat="1" hidden="1" customHeight="1" spans="1:60">
      <c r="A176" s="301">
        <v>169</v>
      </c>
      <c r="B176" s="307" t="s">
        <v>19</v>
      </c>
      <c r="C176" s="307" t="s">
        <v>20</v>
      </c>
      <c r="D176" s="308">
        <v>2022</v>
      </c>
      <c r="E176" s="313" t="s">
        <v>313</v>
      </c>
      <c r="F176" s="308" t="s">
        <v>53</v>
      </c>
      <c r="G176" s="127" t="s">
        <v>53</v>
      </c>
      <c r="H176" s="310">
        <f t="shared" si="38"/>
        <v>12000000</v>
      </c>
      <c r="I176" s="310">
        <f t="shared" si="39"/>
        <v>12000000</v>
      </c>
      <c r="J176" s="310">
        <f t="shared" si="40"/>
        <v>0</v>
      </c>
      <c r="K176" s="310"/>
      <c r="L176" s="310"/>
      <c r="M176" s="310"/>
      <c r="N176" s="310"/>
      <c r="O176" s="310">
        <f t="shared" si="41"/>
        <v>0</v>
      </c>
      <c r="P176" s="310"/>
      <c r="Q176" s="310"/>
      <c r="R176" s="310"/>
      <c r="S176" s="310"/>
      <c r="T176" s="310">
        <f t="shared" si="42"/>
        <v>12000000</v>
      </c>
      <c r="U176" s="310">
        <v>12000000</v>
      </c>
      <c r="V176" s="310"/>
      <c r="W176" s="310"/>
      <c r="X176" s="310"/>
      <c r="Y176" s="310">
        <f t="shared" si="43"/>
        <v>0</v>
      </c>
      <c r="Z176" s="310"/>
      <c r="AA176" s="310"/>
      <c r="AB176" s="310"/>
      <c r="AC176" s="310"/>
      <c r="AD176" s="310"/>
      <c r="AE176" s="310"/>
      <c r="AF176" s="310"/>
      <c r="AG176" s="310">
        <f t="shared" si="44"/>
        <v>11540243.21</v>
      </c>
      <c r="AH176" s="310">
        <f t="shared" si="45"/>
        <v>11540243.21</v>
      </c>
      <c r="AI176" s="310">
        <f t="shared" si="46"/>
        <v>0</v>
      </c>
      <c r="AJ176" s="310"/>
      <c r="AK176" s="310"/>
      <c r="AL176" s="310"/>
      <c r="AM176" s="310"/>
      <c r="AN176" s="310">
        <f t="shared" si="47"/>
        <v>0</v>
      </c>
      <c r="AO176" s="310"/>
      <c r="AP176" s="310"/>
      <c r="AQ176" s="310"/>
      <c r="AR176" s="310"/>
      <c r="AS176" s="310">
        <f t="shared" si="48"/>
        <v>11540243.21</v>
      </c>
      <c r="AT176" s="310">
        <v>11540243.21</v>
      </c>
      <c r="AU176" s="310"/>
      <c r="AV176" s="310"/>
      <c r="AW176" s="310"/>
      <c r="AX176" s="310">
        <f t="shared" si="49"/>
        <v>0</v>
      </c>
      <c r="AY176" s="310"/>
      <c r="AZ176" s="310"/>
      <c r="BA176" s="310"/>
      <c r="BB176" s="310"/>
      <c r="BC176" s="310"/>
      <c r="BD176" s="310"/>
      <c r="BE176" s="312">
        <v>0</v>
      </c>
      <c r="BF176" s="134" t="s">
        <v>56</v>
      </c>
      <c r="BG176" s="315" t="s">
        <v>314</v>
      </c>
      <c r="BH176" s="137" t="s">
        <v>157</v>
      </c>
    </row>
    <row r="177" s="78" customFormat="1" ht="15" hidden="1" spans="1:60">
      <c r="A177" s="301">
        <v>170</v>
      </c>
      <c r="B177" s="307" t="s">
        <v>19</v>
      </c>
      <c r="C177" s="307" t="s">
        <v>20</v>
      </c>
      <c r="D177" s="308">
        <v>2022</v>
      </c>
      <c r="E177" s="313" t="s">
        <v>315</v>
      </c>
      <c r="F177" s="308" t="s">
        <v>53</v>
      </c>
      <c r="G177" s="127" t="s">
        <v>53</v>
      </c>
      <c r="H177" s="310">
        <f t="shared" si="38"/>
        <v>10400000</v>
      </c>
      <c r="I177" s="310">
        <f t="shared" si="39"/>
        <v>10400000</v>
      </c>
      <c r="J177" s="310">
        <f t="shared" si="40"/>
        <v>0</v>
      </c>
      <c r="K177" s="310"/>
      <c r="L177" s="310"/>
      <c r="M177" s="310"/>
      <c r="N177" s="310"/>
      <c r="O177" s="310">
        <f t="shared" si="41"/>
        <v>0</v>
      </c>
      <c r="P177" s="310"/>
      <c r="Q177" s="310"/>
      <c r="R177" s="310"/>
      <c r="S177" s="310"/>
      <c r="T177" s="310">
        <f t="shared" si="42"/>
        <v>10400000</v>
      </c>
      <c r="U177" s="310">
        <v>3487700</v>
      </c>
      <c r="V177" s="310">
        <v>287600</v>
      </c>
      <c r="W177" s="310">
        <v>5160000</v>
      </c>
      <c r="X177" s="310">
        <v>1464700</v>
      </c>
      <c r="Y177" s="310">
        <f t="shared" si="43"/>
        <v>0</v>
      </c>
      <c r="Z177" s="310"/>
      <c r="AA177" s="310"/>
      <c r="AB177" s="310"/>
      <c r="AC177" s="310"/>
      <c r="AD177" s="310"/>
      <c r="AE177" s="310"/>
      <c r="AF177" s="310"/>
      <c r="AG177" s="310">
        <f t="shared" si="44"/>
        <v>8929798.47</v>
      </c>
      <c r="AH177" s="310">
        <f t="shared" si="45"/>
        <v>8929798.47</v>
      </c>
      <c r="AI177" s="310">
        <f t="shared" si="46"/>
        <v>0</v>
      </c>
      <c r="AJ177" s="310"/>
      <c r="AK177" s="310"/>
      <c r="AL177" s="310"/>
      <c r="AM177" s="310"/>
      <c r="AN177" s="310">
        <f t="shared" si="47"/>
        <v>0</v>
      </c>
      <c r="AO177" s="310"/>
      <c r="AP177" s="310"/>
      <c r="AQ177" s="310"/>
      <c r="AR177" s="310"/>
      <c r="AS177" s="310">
        <f t="shared" si="48"/>
        <v>8929798.47</v>
      </c>
      <c r="AT177" s="310">
        <v>3487700</v>
      </c>
      <c r="AU177" s="310">
        <v>287600</v>
      </c>
      <c r="AV177" s="310">
        <v>5154498.47</v>
      </c>
      <c r="AW177" s="310"/>
      <c r="AX177" s="310">
        <f t="shared" si="49"/>
        <v>0</v>
      </c>
      <c r="AY177" s="310"/>
      <c r="AZ177" s="310"/>
      <c r="BA177" s="310"/>
      <c r="BB177" s="310"/>
      <c r="BC177" s="310"/>
      <c r="BD177" s="310"/>
      <c r="BE177" s="312">
        <v>0</v>
      </c>
      <c r="BF177" s="134" t="s">
        <v>56</v>
      </c>
      <c r="BG177" s="315" t="s">
        <v>314</v>
      </c>
      <c r="BH177" s="137" t="s">
        <v>131</v>
      </c>
    </row>
    <row r="178" s="77" customFormat="1" ht="15" hidden="1" spans="1:60">
      <c r="A178" s="301">
        <v>171</v>
      </c>
      <c r="B178" s="307" t="s">
        <v>19</v>
      </c>
      <c r="C178" s="307" t="s">
        <v>20</v>
      </c>
      <c r="D178" s="308">
        <v>2022</v>
      </c>
      <c r="E178" s="313" t="s">
        <v>316</v>
      </c>
      <c r="F178" s="308" t="s">
        <v>53</v>
      </c>
      <c r="G178" s="127" t="s">
        <v>56</v>
      </c>
      <c r="H178" s="310">
        <f t="shared" si="38"/>
        <v>3266600</v>
      </c>
      <c r="I178" s="320">
        <f t="shared" si="39"/>
        <v>3266600</v>
      </c>
      <c r="J178" s="320">
        <f t="shared" si="40"/>
        <v>0</v>
      </c>
      <c r="K178" s="320"/>
      <c r="L178" s="320"/>
      <c r="M178" s="320"/>
      <c r="N178" s="320"/>
      <c r="O178" s="320">
        <f t="shared" si="41"/>
        <v>0</v>
      </c>
      <c r="P178" s="320"/>
      <c r="Q178" s="320"/>
      <c r="R178" s="320"/>
      <c r="S178" s="320"/>
      <c r="T178" s="320">
        <f t="shared" si="42"/>
        <v>3266600</v>
      </c>
      <c r="U178" s="320">
        <v>3266600</v>
      </c>
      <c r="V178" s="320"/>
      <c r="W178" s="320"/>
      <c r="X178" s="320"/>
      <c r="Y178" s="320">
        <f t="shared" si="43"/>
        <v>0</v>
      </c>
      <c r="Z178" s="320"/>
      <c r="AA178" s="320"/>
      <c r="AB178" s="320"/>
      <c r="AC178" s="320"/>
      <c r="AD178" s="320"/>
      <c r="AE178" s="320"/>
      <c r="AF178" s="320"/>
      <c r="AG178" s="320">
        <f t="shared" si="44"/>
        <v>3266600</v>
      </c>
      <c r="AH178" s="320">
        <f t="shared" si="45"/>
        <v>3266600</v>
      </c>
      <c r="AI178" s="320">
        <f t="shared" si="46"/>
        <v>0</v>
      </c>
      <c r="AJ178" s="320"/>
      <c r="AK178" s="320"/>
      <c r="AL178" s="320"/>
      <c r="AM178" s="320"/>
      <c r="AN178" s="320">
        <f t="shared" si="47"/>
        <v>0</v>
      </c>
      <c r="AO178" s="320"/>
      <c r="AP178" s="320"/>
      <c r="AQ178" s="320"/>
      <c r="AR178" s="320"/>
      <c r="AS178" s="320">
        <f t="shared" si="48"/>
        <v>3266600</v>
      </c>
      <c r="AT178" s="320">
        <v>3266600</v>
      </c>
      <c r="AU178" s="320"/>
      <c r="AV178" s="320"/>
      <c r="AW178" s="320"/>
      <c r="AX178" s="320">
        <f t="shared" si="49"/>
        <v>0</v>
      </c>
      <c r="AY178" s="320"/>
      <c r="AZ178" s="320"/>
      <c r="BA178" s="320"/>
      <c r="BB178" s="320"/>
      <c r="BC178" s="320"/>
      <c r="BD178" s="320"/>
      <c r="BE178" s="321"/>
      <c r="BF178" s="319" t="s">
        <v>56</v>
      </c>
      <c r="BG178" s="128" t="s">
        <v>317</v>
      </c>
      <c r="BH178" s="133"/>
    </row>
    <row r="179" s="78" customFormat="1" ht="15" hidden="1" spans="1:60">
      <c r="A179" s="301">
        <v>172</v>
      </c>
      <c r="B179" s="307" t="s">
        <v>19</v>
      </c>
      <c r="C179" s="307" t="s">
        <v>20</v>
      </c>
      <c r="D179" s="308">
        <v>2022</v>
      </c>
      <c r="E179" s="313" t="s">
        <v>318</v>
      </c>
      <c r="F179" s="308" t="s">
        <v>53</v>
      </c>
      <c r="G179" s="127" t="s">
        <v>56</v>
      </c>
      <c r="H179" s="310">
        <f t="shared" si="38"/>
        <v>2036700</v>
      </c>
      <c r="I179" s="310">
        <f t="shared" si="39"/>
        <v>2036700</v>
      </c>
      <c r="J179" s="310">
        <f t="shared" si="40"/>
        <v>0</v>
      </c>
      <c r="K179" s="310"/>
      <c r="L179" s="310"/>
      <c r="M179" s="310"/>
      <c r="N179" s="310"/>
      <c r="O179" s="310">
        <f t="shared" si="41"/>
        <v>0</v>
      </c>
      <c r="P179" s="310"/>
      <c r="Q179" s="310"/>
      <c r="R179" s="310"/>
      <c r="S179" s="310"/>
      <c r="T179" s="310">
        <f t="shared" si="42"/>
        <v>2036700</v>
      </c>
      <c r="U179" s="310">
        <v>2036700</v>
      </c>
      <c r="V179" s="310"/>
      <c r="W179" s="310"/>
      <c r="X179" s="310"/>
      <c r="Y179" s="310">
        <f t="shared" si="43"/>
        <v>0</v>
      </c>
      <c r="Z179" s="310"/>
      <c r="AA179" s="310"/>
      <c r="AB179" s="310"/>
      <c r="AC179" s="310"/>
      <c r="AD179" s="310"/>
      <c r="AE179" s="310"/>
      <c r="AF179" s="310"/>
      <c r="AG179" s="310">
        <f t="shared" si="44"/>
        <v>1587125.17</v>
      </c>
      <c r="AH179" s="310">
        <f t="shared" si="45"/>
        <v>1587125.17</v>
      </c>
      <c r="AI179" s="310">
        <f t="shared" si="46"/>
        <v>0</v>
      </c>
      <c r="AJ179" s="310"/>
      <c r="AK179" s="310"/>
      <c r="AL179" s="310"/>
      <c r="AM179" s="310"/>
      <c r="AN179" s="310">
        <f t="shared" si="47"/>
        <v>0</v>
      </c>
      <c r="AO179" s="310"/>
      <c r="AP179" s="310"/>
      <c r="AQ179" s="310"/>
      <c r="AR179" s="310"/>
      <c r="AS179" s="310">
        <f t="shared" si="48"/>
        <v>1587125.17</v>
      </c>
      <c r="AT179" s="310">
        <v>1587125.17</v>
      </c>
      <c r="AU179" s="310"/>
      <c r="AV179" s="310"/>
      <c r="AW179" s="310"/>
      <c r="AX179" s="310">
        <f t="shared" si="49"/>
        <v>0</v>
      </c>
      <c r="AY179" s="310"/>
      <c r="AZ179" s="310"/>
      <c r="BA179" s="310"/>
      <c r="BB179" s="310"/>
      <c r="BC179" s="310"/>
      <c r="BD179" s="310"/>
      <c r="BE179" s="312"/>
      <c r="BF179" s="134" t="s">
        <v>56</v>
      </c>
      <c r="BG179" s="315" t="s">
        <v>167</v>
      </c>
      <c r="BH179" s="137" t="s">
        <v>157</v>
      </c>
    </row>
    <row r="180" s="78" customFormat="1" ht="15" hidden="1" spans="1:60">
      <c r="A180" s="301">
        <v>173</v>
      </c>
      <c r="B180" s="307" t="s">
        <v>19</v>
      </c>
      <c r="C180" s="307" t="s">
        <v>20</v>
      </c>
      <c r="D180" s="308">
        <v>2022</v>
      </c>
      <c r="E180" s="313" t="s">
        <v>319</v>
      </c>
      <c r="F180" s="308" t="s">
        <v>53</v>
      </c>
      <c r="G180" s="127" t="s">
        <v>56</v>
      </c>
      <c r="H180" s="310">
        <f t="shared" si="38"/>
        <v>2680000</v>
      </c>
      <c r="I180" s="310">
        <f t="shared" si="39"/>
        <v>2680000</v>
      </c>
      <c r="J180" s="310">
        <f t="shared" si="40"/>
        <v>0</v>
      </c>
      <c r="K180" s="310"/>
      <c r="L180" s="310"/>
      <c r="M180" s="310"/>
      <c r="N180" s="310"/>
      <c r="O180" s="310">
        <f t="shared" si="41"/>
        <v>0</v>
      </c>
      <c r="P180" s="310"/>
      <c r="Q180" s="310"/>
      <c r="R180" s="310"/>
      <c r="S180" s="310"/>
      <c r="T180" s="310">
        <f t="shared" si="42"/>
        <v>2680000</v>
      </c>
      <c r="U180" s="310">
        <v>2680000</v>
      </c>
      <c r="V180" s="310"/>
      <c r="W180" s="310"/>
      <c r="X180" s="310"/>
      <c r="Y180" s="310">
        <f t="shared" si="43"/>
        <v>0</v>
      </c>
      <c r="Z180" s="310"/>
      <c r="AA180" s="310"/>
      <c r="AB180" s="310"/>
      <c r="AC180" s="310"/>
      <c r="AD180" s="310"/>
      <c r="AE180" s="310"/>
      <c r="AF180" s="310"/>
      <c r="AG180" s="310">
        <f t="shared" si="44"/>
        <v>2680000</v>
      </c>
      <c r="AH180" s="310">
        <f t="shared" si="45"/>
        <v>2680000</v>
      </c>
      <c r="AI180" s="310">
        <f t="shared" si="46"/>
        <v>0</v>
      </c>
      <c r="AJ180" s="310"/>
      <c r="AK180" s="310"/>
      <c r="AL180" s="310"/>
      <c r="AM180" s="310"/>
      <c r="AN180" s="310">
        <f t="shared" si="47"/>
        <v>0</v>
      </c>
      <c r="AO180" s="310"/>
      <c r="AP180" s="310"/>
      <c r="AQ180" s="310"/>
      <c r="AR180" s="310"/>
      <c r="AS180" s="310">
        <f t="shared" si="48"/>
        <v>2680000</v>
      </c>
      <c r="AT180" s="314">
        <v>2680000</v>
      </c>
      <c r="AU180" s="310"/>
      <c r="AV180" s="310"/>
      <c r="AW180" s="310"/>
      <c r="AX180" s="310">
        <f t="shared" si="49"/>
        <v>0</v>
      </c>
      <c r="AY180" s="310"/>
      <c r="AZ180" s="310"/>
      <c r="BA180" s="310"/>
      <c r="BB180" s="310"/>
      <c r="BC180" s="310"/>
      <c r="BD180" s="310"/>
      <c r="BE180" s="312"/>
      <c r="BF180" s="134" t="s">
        <v>56</v>
      </c>
      <c r="BG180" s="315" t="s">
        <v>239</v>
      </c>
      <c r="BH180" s="137" t="s">
        <v>157</v>
      </c>
    </row>
    <row r="181" s="78" customFormat="1" ht="15" hidden="1" spans="1:60">
      <c r="A181" s="301">
        <v>174</v>
      </c>
      <c r="B181" s="307" t="s">
        <v>19</v>
      </c>
      <c r="C181" s="307" t="s">
        <v>20</v>
      </c>
      <c r="D181" s="308">
        <v>2022</v>
      </c>
      <c r="E181" s="313" t="s">
        <v>320</v>
      </c>
      <c r="F181" s="308" t="s">
        <v>53</v>
      </c>
      <c r="G181" s="127" t="s">
        <v>56</v>
      </c>
      <c r="H181" s="310">
        <f t="shared" si="38"/>
        <v>2420000</v>
      </c>
      <c r="I181" s="310">
        <f t="shared" si="39"/>
        <v>2420000</v>
      </c>
      <c r="J181" s="310">
        <f t="shared" si="40"/>
        <v>0</v>
      </c>
      <c r="K181" s="310"/>
      <c r="L181" s="310"/>
      <c r="M181" s="310"/>
      <c r="N181" s="310"/>
      <c r="O181" s="310">
        <f t="shared" si="41"/>
        <v>0</v>
      </c>
      <c r="P181" s="310"/>
      <c r="Q181" s="310"/>
      <c r="R181" s="310"/>
      <c r="S181" s="310"/>
      <c r="T181" s="310">
        <f t="shared" si="42"/>
        <v>2420000</v>
      </c>
      <c r="U181" s="310">
        <v>2420000</v>
      </c>
      <c r="V181" s="310"/>
      <c r="W181" s="310"/>
      <c r="X181" s="310"/>
      <c r="Y181" s="310">
        <f t="shared" si="43"/>
        <v>0</v>
      </c>
      <c r="Z181" s="310"/>
      <c r="AA181" s="310"/>
      <c r="AB181" s="310"/>
      <c r="AC181" s="310"/>
      <c r="AD181" s="310"/>
      <c r="AE181" s="310"/>
      <c r="AF181" s="310"/>
      <c r="AG181" s="310">
        <f t="shared" si="44"/>
        <v>2276439.11</v>
      </c>
      <c r="AH181" s="310">
        <f t="shared" si="45"/>
        <v>2276439.11</v>
      </c>
      <c r="AI181" s="310">
        <f t="shared" si="46"/>
        <v>0</v>
      </c>
      <c r="AJ181" s="310"/>
      <c r="AK181" s="310"/>
      <c r="AL181" s="310"/>
      <c r="AM181" s="310"/>
      <c r="AN181" s="310">
        <f t="shared" si="47"/>
        <v>0</v>
      </c>
      <c r="AO181" s="310"/>
      <c r="AP181" s="310"/>
      <c r="AQ181" s="310"/>
      <c r="AR181" s="310"/>
      <c r="AS181" s="310">
        <f t="shared" si="48"/>
        <v>2276439.11</v>
      </c>
      <c r="AT181" s="310">
        <v>2276439.11</v>
      </c>
      <c r="AU181" s="310"/>
      <c r="AV181" s="310"/>
      <c r="AW181" s="310"/>
      <c r="AX181" s="310">
        <f t="shared" si="49"/>
        <v>0</v>
      </c>
      <c r="AY181" s="310"/>
      <c r="AZ181" s="310"/>
      <c r="BA181" s="310"/>
      <c r="BB181" s="310"/>
      <c r="BC181" s="310"/>
      <c r="BD181" s="310"/>
      <c r="BE181" s="312"/>
      <c r="BF181" s="134" t="s">
        <v>56</v>
      </c>
      <c r="BG181" s="315" t="s">
        <v>162</v>
      </c>
      <c r="BH181" s="137" t="s">
        <v>157</v>
      </c>
    </row>
    <row r="182" s="78" customFormat="1" ht="15" hidden="1" spans="1:60">
      <c r="A182" s="301">
        <v>175</v>
      </c>
      <c r="B182" s="307" t="s">
        <v>19</v>
      </c>
      <c r="C182" s="307" t="s">
        <v>20</v>
      </c>
      <c r="D182" s="308">
        <v>2022</v>
      </c>
      <c r="E182" s="313" t="s">
        <v>321</v>
      </c>
      <c r="F182" s="308" t="s">
        <v>53</v>
      </c>
      <c r="G182" s="127" t="s">
        <v>56</v>
      </c>
      <c r="H182" s="310">
        <f t="shared" si="38"/>
        <v>66170000</v>
      </c>
      <c r="I182" s="310">
        <f t="shared" si="39"/>
        <v>66170000</v>
      </c>
      <c r="J182" s="310">
        <f t="shared" si="40"/>
        <v>0</v>
      </c>
      <c r="K182" s="310"/>
      <c r="L182" s="310"/>
      <c r="M182" s="310"/>
      <c r="N182" s="310"/>
      <c r="O182" s="310">
        <f t="shared" si="41"/>
        <v>0</v>
      </c>
      <c r="P182" s="310"/>
      <c r="Q182" s="310"/>
      <c r="R182" s="310"/>
      <c r="S182" s="310"/>
      <c r="T182" s="310">
        <f t="shared" si="42"/>
        <v>66170000</v>
      </c>
      <c r="U182" s="310">
        <v>66170000</v>
      </c>
      <c r="V182" s="310"/>
      <c r="W182" s="310"/>
      <c r="X182" s="310"/>
      <c r="Y182" s="310">
        <f t="shared" si="43"/>
        <v>0</v>
      </c>
      <c r="Z182" s="310"/>
      <c r="AA182" s="310"/>
      <c r="AB182" s="310"/>
      <c r="AC182" s="310"/>
      <c r="AD182" s="310"/>
      <c r="AE182" s="310"/>
      <c r="AF182" s="310"/>
      <c r="AG182" s="310">
        <f t="shared" si="44"/>
        <v>63718186.63</v>
      </c>
      <c r="AH182" s="310">
        <f t="shared" si="45"/>
        <v>63718186.63</v>
      </c>
      <c r="AI182" s="310">
        <f t="shared" si="46"/>
        <v>0</v>
      </c>
      <c r="AJ182" s="310"/>
      <c r="AK182" s="310"/>
      <c r="AL182" s="310"/>
      <c r="AM182" s="310"/>
      <c r="AN182" s="310">
        <f t="shared" si="47"/>
        <v>0</v>
      </c>
      <c r="AO182" s="310"/>
      <c r="AP182" s="310"/>
      <c r="AQ182" s="310"/>
      <c r="AR182" s="310"/>
      <c r="AS182" s="310">
        <f t="shared" si="48"/>
        <v>63718186.63</v>
      </c>
      <c r="AT182" s="310">
        <v>63718186.63</v>
      </c>
      <c r="AU182" s="310"/>
      <c r="AV182" s="310"/>
      <c r="AW182" s="310"/>
      <c r="AX182" s="310">
        <f t="shared" si="49"/>
        <v>0</v>
      </c>
      <c r="AY182" s="310"/>
      <c r="AZ182" s="310"/>
      <c r="BA182" s="310"/>
      <c r="BB182" s="310"/>
      <c r="BC182" s="310"/>
      <c r="BD182" s="310"/>
      <c r="BE182" s="312"/>
      <c r="BF182" s="134" t="s">
        <v>56</v>
      </c>
      <c r="BG182" s="315" t="s">
        <v>322</v>
      </c>
      <c r="BH182" s="137" t="s">
        <v>323</v>
      </c>
    </row>
    <row r="183" s="78" customFormat="1" ht="15" hidden="1" spans="1:60">
      <c r="A183" s="301">
        <v>176</v>
      </c>
      <c r="B183" s="307" t="s">
        <v>19</v>
      </c>
      <c r="C183" s="307" t="s">
        <v>20</v>
      </c>
      <c r="D183" s="308">
        <v>2022</v>
      </c>
      <c r="E183" s="313" t="s">
        <v>324</v>
      </c>
      <c r="F183" s="308" t="s">
        <v>53</v>
      </c>
      <c r="G183" s="127" t="s">
        <v>56</v>
      </c>
      <c r="H183" s="310">
        <f t="shared" si="38"/>
        <v>940000</v>
      </c>
      <c r="I183" s="310">
        <f t="shared" si="39"/>
        <v>940000</v>
      </c>
      <c r="J183" s="310">
        <f t="shared" si="40"/>
        <v>0</v>
      </c>
      <c r="K183" s="310"/>
      <c r="L183" s="310"/>
      <c r="M183" s="310"/>
      <c r="N183" s="310"/>
      <c r="O183" s="310">
        <f t="shared" si="41"/>
        <v>0</v>
      </c>
      <c r="P183" s="310"/>
      <c r="Q183" s="310"/>
      <c r="R183" s="310"/>
      <c r="S183" s="310"/>
      <c r="T183" s="310">
        <f t="shared" si="42"/>
        <v>940000</v>
      </c>
      <c r="U183" s="310"/>
      <c r="V183" s="310"/>
      <c r="W183" s="310">
        <v>940000</v>
      </c>
      <c r="X183" s="310"/>
      <c r="Y183" s="310">
        <f t="shared" si="43"/>
        <v>0</v>
      </c>
      <c r="Z183" s="310"/>
      <c r="AA183" s="310"/>
      <c r="AB183" s="310"/>
      <c r="AC183" s="310"/>
      <c r="AD183" s="310"/>
      <c r="AE183" s="310"/>
      <c r="AF183" s="310"/>
      <c r="AG183" s="310">
        <f t="shared" si="44"/>
        <v>940000</v>
      </c>
      <c r="AH183" s="310">
        <f t="shared" si="45"/>
        <v>940000</v>
      </c>
      <c r="AI183" s="310">
        <f t="shared" si="46"/>
        <v>0</v>
      </c>
      <c r="AJ183" s="310"/>
      <c r="AK183" s="310"/>
      <c r="AL183" s="310"/>
      <c r="AM183" s="310"/>
      <c r="AN183" s="310">
        <f t="shared" si="47"/>
        <v>0</v>
      </c>
      <c r="AO183" s="310"/>
      <c r="AP183" s="310"/>
      <c r="AQ183" s="310"/>
      <c r="AR183" s="310"/>
      <c r="AS183" s="310">
        <f t="shared" si="48"/>
        <v>940000</v>
      </c>
      <c r="AT183" s="310"/>
      <c r="AU183" s="310"/>
      <c r="AV183" s="314">
        <v>940000</v>
      </c>
      <c r="AW183" s="310"/>
      <c r="AX183" s="310">
        <f t="shared" si="49"/>
        <v>0</v>
      </c>
      <c r="AY183" s="310"/>
      <c r="AZ183" s="310"/>
      <c r="BA183" s="310"/>
      <c r="BB183" s="310"/>
      <c r="BC183" s="310"/>
      <c r="BD183" s="310"/>
      <c r="BE183" s="312"/>
      <c r="BF183" s="134" t="s">
        <v>56</v>
      </c>
      <c r="BG183" s="315" t="s">
        <v>325</v>
      </c>
      <c r="BH183" s="137" t="s">
        <v>157</v>
      </c>
    </row>
    <row r="184" s="78" customFormat="1" ht="15" hidden="1" spans="1:60">
      <c r="A184" s="301">
        <v>177</v>
      </c>
      <c r="B184" s="307" t="s">
        <v>19</v>
      </c>
      <c r="C184" s="307" t="s">
        <v>20</v>
      </c>
      <c r="D184" s="308">
        <v>2022</v>
      </c>
      <c r="E184" s="313" t="s">
        <v>326</v>
      </c>
      <c r="F184" s="308" t="s">
        <v>53</v>
      </c>
      <c r="G184" s="127" t="s">
        <v>53</v>
      </c>
      <c r="H184" s="310">
        <f t="shared" si="38"/>
        <v>1000000</v>
      </c>
      <c r="I184" s="310">
        <f t="shared" si="39"/>
        <v>1000000</v>
      </c>
      <c r="J184" s="310">
        <f t="shared" si="40"/>
        <v>0</v>
      </c>
      <c r="K184" s="310"/>
      <c r="L184" s="310"/>
      <c r="M184" s="310"/>
      <c r="N184" s="310"/>
      <c r="O184" s="310">
        <f t="shared" si="41"/>
        <v>0</v>
      </c>
      <c r="P184" s="310"/>
      <c r="Q184" s="310"/>
      <c r="R184" s="310"/>
      <c r="S184" s="310"/>
      <c r="T184" s="310">
        <f t="shared" si="42"/>
        <v>1000000</v>
      </c>
      <c r="U184" s="310"/>
      <c r="V184" s="310"/>
      <c r="W184" s="310">
        <v>1000000</v>
      </c>
      <c r="X184" s="310"/>
      <c r="Y184" s="310">
        <f t="shared" si="43"/>
        <v>0</v>
      </c>
      <c r="Z184" s="310"/>
      <c r="AA184" s="310"/>
      <c r="AB184" s="310"/>
      <c r="AC184" s="310"/>
      <c r="AD184" s="310"/>
      <c r="AE184" s="310"/>
      <c r="AF184" s="310"/>
      <c r="AG184" s="310">
        <f t="shared" si="44"/>
        <v>942468.4</v>
      </c>
      <c r="AH184" s="310">
        <f t="shared" si="45"/>
        <v>942468.4</v>
      </c>
      <c r="AI184" s="310">
        <f t="shared" si="46"/>
        <v>0</v>
      </c>
      <c r="AJ184" s="310"/>
      <c r="AK184" s="310"/>
      <c r="AL184" s="310"/>
      <c r="AM184" s="310"/>
      <c r="AN184" s="310">
        <f t="shared" si="47"/>
        <v>0</v>
      </c>
      <c r="AO184" s="310"/>
      <c r="AP184" s="310"/>
      <c r="AQ184" s="310"/>
      <c r="AR184" s="310"/>
      <c r="AS184" s="310">
        <f t="shared" si="48"/>
        <v>942468.4</v>
      </c>
      <c r="AT184" s="310"/>
      <c r="AU184" s="310"/>
      <c r="AV184" s="310">
        <v>942468.4</v>
      </c>
      <c r="AW184" s="310"/>
      <c r="AX184" s="310">
        <f t="shared" si="49"/>
        <v>0</v>
      </c>
      <c r="AY184" s="310"/>
      <c r="AZ184" s="310"/>
      <c r="BA184" s="310"/>
      <c r="BB184" s="310"/>
      <c r="BC184" s="310"/>
      <c r="BD184" s="310"/>
      <c r="BE184" s="312">
        <v>0</v>
      </c>
      <c r="BF184" s="134" t="s">
        <v>56</v>
      </c>
      <c r="BG184" s="315" t="s">
        <v>165</v>
      </c>
      <c r="BH184" s="137" t="s">
        <v>140</v>
      </c>
    </row>
    <row r="185" s="77" customFormat="1" ht="15" hidden="1" spans="1:60">
      <c r="A185" s="301">
        <v>178</v>
      </c>
      <c r="B185" s="307" t="s">
        <v>19</v>
      </c>
      <c r="C185" s="307" t="s">
        <v>20</v>
      </c>
      <c r="D185" s="308">
        <v>2022</v>
      </c>
      <c r="E185" s="313" t="s">
        <v>327</v>
      </c>
      <c r="F185" s="308" t="s">
        <v>53</v>
      </c>
      <c r="G185" s="127" t="s">
        <v>56</v>
      </c>
      <c r="H185" s="310">
        <f t="shared" si="38"/>
        <v>2900000</v>
      </c>
      <c r="I185" s="310">
        <f t="shared" si="39"/>
        <v>2900000</v>
      </c>
      <c r="J185" s="310">
        <f t="shared" si="40"/>
        <v>0</v>
      </c>
      <c r="K185" s="310"/>
      <c r="L185" s="310"/>
      <c r="M185" s="310"/>
      <c r="N185" s="310"/>
      <c r="O185" s="310">
        <f t="shared" si="41"/>
        <v>0</v>
      </c>
      <c r="P185" s="310"/>
      <c r="Q185" s="310"/>
      <c r="R185" s="310"/>
      <c r="S185" s="310"/>
      <c r="T185" s="310">
        <f t="shared" si="42"/>
        <v>2900000</v>
      </c>
      <c r="U185" s="310"/>
      <c r="V185" s="310"/>
      <c r="W185" s="310">
        <v>2900000</v>
      </c>
      <c r="X185" s="310"/>
      <c r="Y185" s="310">
        <f t="shared" si="43"/>
        <v>0</v>
      </c>
      <c r="Z185" s="310"/>
      <c r="AA185" s="310"/>
      <c r="AB185" s="310"/>
      <c r="AC185" s="310"/>
      <c r="AD185" s="310"/>
      <c r="AE185" s="310"/>
      <c r="AF185" s="310"/>
      <c r="AG185" s="310">
        <f t="shared" si="44"/>
        <v>2642383.66</v>
      </c>
      <c r="AH185" s="310">
        <f t="shared" si="45"/>
        <v>2642383.66</v>
      </c>
      <c r="AI185" s="310">
        <f t="shared" si="46"/>
        <v>0</v>
      </c>
      <c r="AJ185" s="310"/>
      <c r="AK185" s="310"/>
      <c r="AL185" s="310"/>
      <c r="AM185" s="310"/>
      <c r="AN185" s="310">
        <f t="shared" si="47"/>
        <v>0</v>
      </c>
      <c r="AO185" s="310"/>
      <c r="AP185" s="310"/>
      <c r="AQ185" s="310"/>
      <c r="AR185" s="310"/>
      <c r="AS185" s="310">
        <f t="shared" si="48"/>
        <v>2642383.66</v>
      </c>
      <c r="AT185" s="310"/>
      <c r="AU185" s="310"/>
      <c r="AV185" s="310">
        <v>2642383.66</v>
      </c>
      <c r="AW185" s="310"/>
      <c r="AX185" s="310">
        <f t="shared" si="49"/>
        <v>0</v>
      </c>
      <c r="AY185" s="310"/>
      <c r="AZ185" s="310"/>
      <c r="BA185" s="310"/>
      <c r="BB185" s="310"/>
      <c r="BC185" s="310"/>
      <c r="BD185" s="310"/>
      <c r="BE185" s="312"/>
      <c r="BF185" s="127" t="s">
        <v>56</v>
      </c>
      <c r="BG185" s="128" t="s">
        <v>328</v>
      </c>
      <c r="BH185" s="133"/>
    </row>
    <row r="186" s="78" customFormat="1" ht="15" hidden="1" spans="1:60">
      <c r="A186" s="301">
        <v>179</v>
      </c>
      <c r="B186" s="307" t="s">
        <v>19</v>
      </c>
      <c r="C186" s="307" t="s">
        <v>20</v>
      </c>
      <c r="D186" s="308">
        <v>2021</v>
      </c>
      <c r="E186" s="313" t="s">
        <v>329</v>
      </c>
      <c r="F186" s="308" t="s">
        <v>53</v>
      </c>
      <c r="G186" s="127" t="s">
        <v>56</v>
      </c>
      <c r="H186" s="310">
        <f t="shared" si="38"/>
        <v>2855000</v>
      </c>
      <c r="I186" s="310">
        <f t="shared" si="39"/>
        <v>2855000</v>
      </c>
      <c r="J186" s="310">
        <f t="shared" si="40"/>
        <v>0</v>
      </c>
      <c r="K186" s="310"/>
      <c r="L186" s="310"/>
      <c r="M186" s="310"/>
      <c r="N186" s="310"/>
      <c r="O186" s="310">
        <f t="shared" si="41"/>
        <v>0</v>
      </c>
      <c r="P186" s="310"/>
      <c r="Q186" s="310"/>
      <c r="R186" s="310"/>
      <c r="S186" s="310"/>
      <c r="T186" s="310">
        <f t="shared" si="42"/>
        <v>2855000</v>
      </c>
      <c r="U186" s="310"/>
      <c r="V186" s="310"/>
      <c r="W186" s="310">
        <v>2855000</v>
      </c>
      <c r="X186" s="310"/>
      <c r="Y186" s="310">
        <f t="shared" si="43"/>
        <v>0</v>
      </c>
      <c r="Z186" s="310"/>
      <c r="AA186" s="310"/>
      <c r="AB186" s="310"/>
      <c r="AC186" s="310"/>
      <c r="AD186" s="310"/>
      <c r="AE186" s="310"/>
      <c r="AF186" s="310"/>
      <c r="AG186" s="310">
        <f t="shared" si="44"/>
        <v>2855000</v>
      </c>
      <c r="AH186" s="310">
        <f t="shared" si="45"/>
        <v>2855000</v>
      </c>
      <c r="AI186" s="310">
        <f t="shared" si="46"/>
        <v>0</v>
      </c>
      <c r="AJ186" s="310"/>
      <c r="AK186" s="310"/>
      <c r="AL186" s="310"/>
      <c r="AM186" s="310"/>
      <c r="AN186" s="310">
        <f t="shared" si="47"/>
        <v>0</v>
      </c>
      <c r="AO186" s="310"/>
      <c r="AP186" s="310"/>
      <c r="AQ186" s="310"/>
      <c r="AR186" s="310"/>
      <c r="AS186" s="310">
        <f t="shared" si="48"/>
        <v>2855000</v>
      </c>
      <c r="AT186" s="310"/>
      <c r="AU186" s="310"/>
      <c r="AV186" s="310">
        <v>2855000</v>
      </c>
      <c r="AW186" s="310"/>
      <c r="AX186" s="310">
        <f t="shared" si="49"/>
        <v>0</v>
      </c>
      <c r="AY186" s="310"/>
      <c r="AZ186" s="310"/>
      <c r="BA186" s="310"/>
      <c r="BB186" s="310"/>
      <c r="BC186" s="310"/>
      <c r="BD186" s="310"/>
      <c r="BE186" s="312"/>
      <c r="BF186" s="134" t="s">
        <v>56</v>
      </c>
      <c r="BG186" s="315" t="s">
        <v>330</v>
      </c>
      <c r="BH186" s="137" t="s">
        <v>157</v>
      </c>
    </row>
    <row r="187" s="78" customFormat="1" ht="15" hidden="1" spans="1:60">
      <c r="A187" s="301">
        <v>180</v>
      </c>
      <c r="B187" s="307" t="s">
        <v>19</v>
      </c>
      <c r="C187" s="307" t="s">
        <v>20</v>
      </c>
      <c r="D187" s="308">
        <v>2021</v>
      </c>
      <c r="E187" s="313" t="s">
        <v>331</v>
      </c>
      <c r="F187" s="308" t="s">
        <v>53</v>
      </c>
      <c r="G187" s="127" t="s">
        <v>53</v>
      </c>
      <c r="H187" s="310">
        <f t="shared" si="38"/>
        <v>263700</v>
      </c>
      <c r="I187" s="310">
        <f t="shared" si="39"/>
        <v>263700</v>
      </c>
      <c r="J187" s="310">
        <f t="shared" si="40"/>
        <v>0</v>
      </c>
      <c r="K187" s="310"/>
      <c r="L187" s="310"/>
      <c r="M187" s="310"/>
      <c r="N187" s="310"/>
      <c r="O187" s="310">
        <f t="shared" si="41"/>
        <v>0</v>
      </c>
      <c r="P187" s="310"/>
      <c r="Q187" s="310"/>
      <c r="R187" s="310"/>
      <c r="S187" s="310"/>
      <c r="T187" s="310">
        <f t="shared" si="42"/>
        <v>263700</v>
      </c>
      <c r="U187" s="310"/>
      <c r="V187" s="310"/>
      <c r="W187" s="310"/>
      <c r="X187" s="310">
        <v>263700</v>
      </c>
      <c r="Y187" s="310">
        <f t="shared" si="43"/>
        <v>0</v>
      </c>
      <c r="Z187" s="310"/>
      <c r="AA187" s="310"/>
      <c r="AB187" s="310"/>
      <c r="AC187" s="310"/>
      <c r="AD187" s="310"/>
      <c r="AE187" s="310"/>
      <c r="AF187" s="310"/>
      <c r="AG187" s="310">
        <f t="shared" si="44"/>
        <v>263700</v>
      </c>
      <c r="AH187" s="310">
        <f t="shared" si="45"/>
        <v>263700</v>
      </c>
      <c r="AI187" s="310">
        <f t="shared" si="46"/>
        <v>0</v>
      </c>
      <c r="AJ187" s="310"/>
      <c r="AK187" s="310"/>
      <c r="AL187" s="310"/>
      <c r="AM187" s="310"/>
      <c r="AN187" s="310">
        <f t="shared" si="47"/>
        <v>0</v>
      </c>
      <c r="AO187" s="310"/>
      <c r="AP187" s="310"/>
      <c r="AQ187" s="310"/>
      <c r="AR187" s="310"/>
      <c r="AS187" s="310">
        <f t="shared" si="48"/>
        <v>263700</v>
      </c>
      <c r="AT187" s="310"/>
      <c r="AU187" s="310"/>
      <c r="AV187" s="310"/>
      <c r="AW187" s="310">
        <v>263700</v>
      </c>
      <c r="AX187" s="310">
        <f t="shared" si="49"/>
        <v>0</v>
      </c>
      <c r="AY187" s="310"/>
      <c r="AZ187" s="310"/>
      <c r="BA187" s="310"/>
      <c r="BB187" s="310"/>
      <c r="BC187" s="310"/>
      <c r="BD187" s="310"/>
      <c r="BE187" s="312">
        <v>0</v>
      </c>
      <c r="BF187" s="134" t="s">
        <v>56</v>
      </c>
      <c r="BG187" s="315" t="s">
        <v>209</v>
      </c>
      <c r="BH187" s="137" t="s">
        <v>184</v>
      </c>
    </row>
    <row r="188" s="78" customFormat="1" ht="15" hidden="1" spans="1:60">
      <c r="A188" s="301">
        <v>181</v>
      </c>
      <c r="B188" s="307" t="s">
        <v>19</v>
      </c>
      <c r="C188" s="307" t="s">
        <v>20</v>
      </c>
      <c r="D188" s="308">
        <v>2022</v>
      </c>
      <c r="E188" s="313" t="s">
        <v>332</v>
      </c>
      <c r="F188" s="308" t="s">
        <v>53</v>
      </c>
      <c r="G188" s="127" t="s">
        <v>56</v>
      </c>
      <c r="H188" s="310">
        <f t="shared" si="38"/>
        <v>3092200</v>
      </c>
      <c r="I188" s="310">
        <f t="shared" si="39"/>
        <v>3092200</v>
      </c>
      <c r="J188" s="310">
        <f t="shared" si="40"/>
        <v>0</v>
      </c>
      <c r="K188" s="310"/>
      <c r="L188" s="310"/>
      <c r="M188" s="310"/>
      <c r="N188" s="310"/>
      <c r="O188" s="310">
        <f t="shared" si="41"/>
        <v>0</v>
      </c>
      <c r="P188" s="310"/>
      <c r="Q188" s="310"/>
      <c r="R188" s="310"/>
      <c r="S188" s="310"/>
      <c r="T188" s="310">
        <f t="shared" si="42"/>
        <v>3092200</v>
      </c>
      <c r="U188" s="310"/>
      <c r="V188" s="310"/>
      <c r="W188" s="310">
        <v>3092200</v>
      </c>
      <c r="X188" s="310"/>
      <c r="Y188" s="310">
        <f t="shared" si="43"/>
        <v>0</v>
      </c>
      <c r="Z188" s="310"/>
      <c r="AA188" s="310"/>
      <c r="AB188" s="310"/>
      <c r="AC188" s="310"/>
      <c r="AD188" s="310"/>
      <c r="AE188" s="310"/>
      <c r="AF188" s="310"/>
      <c r="AG188" s="310">
        <f t="shared" si="44"/>
        <v>2614576.98</v>
      </c>
      <c r="AH188" s="310">
        <f t="shared" si="45"/>
        <v>2614576.98</v>
      </c>
      <c r="AI188" s="310">
        <f t="shared" si="46"/>
        <v>0</v>
      </c>
      <c r="AJ188" s="310"/>
      <c r="AK188" s="310"/>
      <c r="AL188" s="310"/>
      <c r="AM188" s="310"/>
      <c r="AN188" s="310">
        <f t="shared" si="47"/>
        <v>0</v>
      </c>
      <c r="AO188" s="310"/>
      <c r="AP188" s="310"/>
      <c r="AQ188" s="310"/>
      <c r="AR188" s="310"/>
      <c r="AS188" s="310">
        <f t="shared" si="48"/>
        <v>2614576.98</v>
      </c>
      <c r="AT188" s="310"/>
      <c r="AU188" s="310"/>
      <c r="AV188" s="310">
        <v>2614576.98</v>
      </c>
      <c r="AW188" s="314"/>
      <c r="AX188" s="310">
        <f t="shared" si="49"/>
        <v>0</v>
      </c>
      <c r="AY188" s="310"/>
      <c r="AZ188" s="310"/>
      <c r="BA188" s="310"/>
      <c r="BB188" s="310"/>
      <c r="BC188" s="310"/>
      <c r="BD188" s="310"/>
      <c r="BE188" s="312"/>
      <c r="BF188" s="134" t="s">
        <v>56</v>
      </c>
      <c r="BG188" s="315" t="s">
        <v>167</v>
      </c>
      <c r="BH188" s="137" t="s">
        <v>115</v>
      </c>
    </row>
    <row r="189" s="78" customFormat="1" ht="15" hidden="1" spans="1:60">
      <c r="A189" s="301">
        <v>182</v>
      </c>
      <c r="B189" s="307" t="s">
        <v>19</v>
      </c>
      <c r="C189" s="307" t="s">
        <v>20</v>
      </c>
      <c r="D189" s="308">
        <v>2022</v>
      </c>
      <c r="E189" s="313" t="s">
        <v>333</v>
      </c>
      <c r="F189" s="308" t="s">
        <v>53</v>
      </c>
      <c r="G189" s="127" t="s">
        <v>56</v>
      </c>
      <c r="H189" s="310">
        <f t="shared" si="38"/>
        <v>1139700</v>
      </c>
      <c r="I189" s="310">
        <f t="shared" si="39"/>
        <v>1079700</v>
      </c>
      <c r="J189" s="310">
        <f t="shared" si="40"/>
        <v>0</v>
      </c>
      <c r="K189" s="310"/>
      <c r="L189" s="310"/>
      <c r="M189" s="310"/>
      <c r="N189" s="310"/>
      <c r="O189" s="310">
        <f t="shared" si="41"/>
        <v>0</v>
      </c>
      <c r="P189" s="310"/>
      <c r="Q189" s="310"/>
      <c r="R189" s="310"/>
      <c r="S189" s="310"/>
      <c r="T189" s="310">
        <f t="shared" si="42"/>
        <v>1079700</v>
      </c>
      <c r="U189" s="310"/>
      <c r="V189" s="310"/>
      <c r="W189" s="310">
        <v>1079700</v>
      </c>
      <c r="X189" s="310"/>
      <c r="Y189" s="310">
        <f t="shared" si="43"/>
        <v>0</v>
      </c>
      <c r="Z189" s="310"/>
      <c r="AA189" s="310"/>
      <c r="AB189" s="310"/>
      <c r="AC189" s="310"/>
      <c r="AD189" s="310"/>
      <c r="AE189" s="310"/>
      <c r="AF189" s="310">
        <v>60000</v>
      </c>
      <c r="AG189" s="310">
        <f t="shared" si="44"/>
        <v>1029388.46</v>
      </c>
      <c r="AH189" s="310">
        <f t="shared" si="45"/>
        <v>1029388.46</v>
      </c>
      <c r="AI189" s="310">
        <f t="shared" si="46"/>
        <v>0</v>
      </c>
      <c r="AJ189" s="310"/>
      <c r="AK189" s="310"/>
      <c r="AL189" s="310"/>
      <c r="AM189" s="310"/>
      <c r="AN189" s="310">
        <f t="shared" si="47"/>
        <v>0</v>
      </c>
      <c r="AO189" s="310"/>
      <c r="AP189" s="310"/>
      <c r="AQ189" s="310"/>
      <c r="AR189" s="310"/>
      <c r="AS189" s="310">
        <f t="shared" si="48"/>
        <v>1029388.46</v>
      </c>
      <c r="AT189" s="310"/>
      <c r="AU189" s="310"/>
      <c r="AV189" s="310">
        <v>1029388.46</v>
      </c>
      <c r="AW189" s="314"/>
      <c r="AX189" s="310">
        <f t="shared" si="49"/>
        <v>0</v>
      </c>
      <c r="AY189" s="310"/>
      <c r="AZ189" s="310"/>
      <c r="BA189" s="310"/>
      <c r="BB189" s="310"/>
      <c r="BC189" s="310"/>
      <c r="BD189" s="310"/>
      <c r="BE189" s="312"/>
      <c r="BF189" s="134" t="s">
        <v>56</v>
      </c>
      <c r="BG189" s="315" t="s">
        <v>314</v>
      </c>
      <c r="BH189" s="137" t="s">
        <v>157</v>
      </c>
    </row>
    <row r="190" s="78" customFormat="1" ht="15" hidden="1" spans="1:60">
      <c r="A190" s="301">
        <v>183</v>
      </c>
      <c r="B190" s="307" t="s">
        <v>19</v>
      </c>
      <c r="C190" s="307" t="s">
        <v>20</v>
      </c>
      <c r="D190" s="308">
        <v>2019</v>
      </c>
      <c r="E190" s="313" t="s">
        <v>334</v>
      </c>
      <c r="F190" s="308" t="s">
        <v>53</v>
      </c>
      <c r="G190" s="127" t="s">
        <v>56</v>
      </c>
      <c r="H190" s="310">
        <f t="shared" si="38"/>
        <v>7665300</v>
      </c>
      <c r="I190" s="310">
        <f t="shared" si="39"/>
        <v>7665300</v>
      </c>
      <c r="J190" s="310">
        <f t="shared" si="40"/>
        <v>0</v>
      </c>
      <c r="K190" s="310"/>
      <c r="L190" s="310"/>
      <c r="M190" s="310"/>
      <c r="N190" s="310"/>
      <c r="O190" s="310">
        <f t="shared" si="41"/>
        <v>7665300</v>
      </c>
      <c r="P190" s="310"/>
      <c r="Q190" s="310"/>
      <c r="R190" s="310">
        <v>7665300</v>
      </c>
      <c r="S190" s="310"/>
      <c r="T190" s="310">
        <f t="shared" si="42"/>
        <v>0</v>
      </c>
      <c r="U190" s="310"/>
      <c r="V190" s="310"/>
      <c r="W190" s="310"/>
      <c r="X190" s="310"/>
      <c r="Y190" s="310">
        <f t="shared" si="43"/>
        <v>0</v>
      </c>
      <c r="Z190" s="310"/>
      <c r="AA190" s="310"/>
      <c r="AB190" s="310"/>
      <c r="AC190" s="310"/>
      <c r="AD190" s="310"/>
      <c r="AE190" s="310"/>
      <c r="AF190" s="310"/>
      <c r="AG190" s="310">
        <f t="shared" si="44"/>
        <v>6311719.76</v>
      </c>
      <c r="AH190" s="310">
        <f t="shared" si="45"/>
        <v>6311719.76</v>
      </c>
      <c r="AI190" s="310">
        <f t="shared" si="46"/>
        <v>0</v>
      </c>
      <c r="AJ190" s="310"/>
      <c r="AK190" s="310"/>
      <c r="AL190" s="310"/>
      <c r="AM190" s="310"/>
      <c r="AN190" s="310">
        <f t="shared" si="47"/>
        <v>6311719.76</v>
      </c>
      <c r="AO190" s="310"/>
      <c r="AP190" s="310"/>
      <c r="AQ190" s="310">
        <v>6311719.76</v>
      </c>
      <c r="AR190" s="310"/>
      <c r="AS190" s="310">
        <f t="shared" si="48"/>
        <v>0</v>
      </c>
      <c r="AT190" s="310"/>
      <c r="AU190" s="310"/>
      <c r="AV190" s="310"/>
      <c r="AW190" s="310"/>
      <c r="AX190" s="310">
        <f t="shared" si="49"/>
        <v>0</v>
      </c>
      <c r="AY190" s="310"/>
      <c r="AZ190" s="310"/>
      <c r="BA190" s="310"/>
      <c r="BB190" s="310"/>
      <c r="BC190" s="310"/>
      <c r="BD190" s="310"/>
      <c r="BE190" s="312"/>
      <c r="BF190" s="134" t="s">
        <v>56</v>
      </c>
      <c r="BG190" s="315" t="s">
        <v>162</v>
      </c>
      <c r="BH190" s="137" t="s">
        <v>157</v>
      </c>
    </row>
    <row r="191" s="79" customFormat="1" ht="15" hidden="1" spans="1:60">
      <c r="A191" s="301">
        <v>184</v>
      </c>
      <c r="B191" s="334" t="s">
        <v>19</v>
      </c>
      <c r="C191" s="334" t="s">
        <v>20</v>
      </c>
      <c r="D191" s="335">
        <v>2019</v>
      </c>
      <c r="E191" s="340" t="s">
        <v>335</v>
      </c>
      <c r="F191" s="335" t="s">
        <v>53</v>
      </c>
      <c r="G191" s="146" t="s">
        <v>56</v>
      </c>
      <c r="H191" s="337">
        <f t="shared" si="38"/>
        <v>12719200</v>
      </c>
      <c r="I191" s="337">
        <f t="shared" si="39"/>
        <v>12719200</v>
      </c>
      <c r="J191" s="337">
        <f t="shared" si="40"/>
        <v>0</v>
      </c>
      <c r="K191" s="337"/>
      <c r="L191" s="337"/>
      <c r="M191" s="337"/>
      <c r="N191" s="337"/>
      <c r="O191" s="337">
        <f t="shared" si="41"/>
        <v>0</v>
      </c>
      <c r="P191" s="337"/>
      <c r="Q191" s="337"/>
      <c r="R191" s="337"/>
      <c r="S191" s="337"/>
      <c r="T191" s="337">
        <f t="shared" si="42"/>
        <v>0</v>
      </c>
      <c r="U191" s="337"/>
      <c r="V191" s="337"/>
      <c r="W191" s="337"/>
      <c r="X191" s="337"/>
      <c r="Y191" s="337">
        <f t="shared" si="43"/>
        <v>12719200</v>
      </c>
      <c r="Z191" s="337"/>
      <c r="AA191" s="337">
        <v>12719200</v>
      </c>
      <c r="AB191" s="337"/>
      <c r="AC191" s="337"/>
      <c r="AD191" s="337"/>
      <c r="AE191" s="337"/>
      <c r="AF191" s="337"/>
      <c r="AG191" s="337">
        <f t="shared" si="44"/>
        <v>12719200</v>
      </c>
      <c r="AH191" s="337">
        <f t="shared" si="45"/>
        <v>12719200</v>
      </c>
      <c r="AI191" s="337">
        <f t="shared" si="46"/>
        <v>0</v>
      </c>
      <c r="AJ191" s="337"/>
      <c r="AK191" s="337"/>
      <c r="AL191" s="337"/>
      <c r="AM191" s="337"/>
      <c r="AN191" s="337">
        <f t="shared" si="47"/>
        <v>0</v>
      </c>
      <c r="AO191" s="337"/>
      <c r="AP191" s="337"/>
      <c r="AQ191" s="337"/>
      <c r="AR191" s="337"/>
      <c r="AS191" s="337">
        <f t="shared" si="48"/>
        <v>0</v>
      </c>
      <c r="AT191" s="337"/>
      <c r="AU191" s="337"/>
      <c r="AV191" s="337"/>
      <c r="AW191" s="337"/>
      <c r="AX191" s="337">
        <f t="shared" si="49"/>
        <v>12719200</v>
      </c>
      <c r="AY191" s="337"/>
      <c r="AZ191" s="337">
        <v>12719200</v>
      </c>
      <c r="BA191" s="337"/>
      <c r="BB191" s="337"/>
      <c r="BC191" s="337"/>
      <c r="BD191" s="337"/>
      <c r="BE191" s="338"/>
      <c r="BF191" s="139" t="s">
        <v>56</v>
      </c>
      <c r="BG191" s="339" t="s">
        <v>221</v>
      </c>
      <c r="BH191" s="147" t="s">
        <v>124</v>
      </c>
    </row>
    <row r="192" s="79" customFormat="1" ht="15" hidden="1" spans="1:60">
      <c r="A192" s="301">
        <v>185</v>
      </c>
      <c r="B192" s="334" t="s">
        <v>19</v>
      </c>
      <c r="C192" s="334" t="s">
        <v>20</v>
      </c>
      <c r="D192" s="335">
        <v>2020</v>
      </c>
      <c r="E192" s="340" t="s">
        <v>336</v>
      </c>
      <c r="F192" s="335" t="s">
        <v>53</v>
      </c>
      <c r="G192" s="146" t="s">
        <v>56</v>
      </c>
      <c r="H192" s="337">
        <f t="shared" si="38"/>
        <v>13200000</v>
      </c>
      <c r="I192" s="337">
        <f t="shared" si="39"/>
        <v>13200000</v>
      </c>
      <c r="J192" s="337">
        <f t="shared" si="40"/>
        <v>0</v>
      </c>
      <c r="K192" s="337"/>
      <c r="L192" s="337"/>
      <c r="M192" s="337"/>
      <c r="N192" s="337"/>
      <c r="O192" s="337">
        <f t="shared" si="41"/>
        <v>0</v>
      </c>
      <c r="P192" s="337"/>
      <c r="Q192" s="337"/>
      <c r="R192" s="337"/>
      <c r="S192" s="337"/>
      <c r="T192" s="337">
        <f t="shared" si="42"/>
        <v>0</v>
      </c>
      <c r="U192" s="337"/>
      <c r="V192" s="337"/>
      <c r="W192" s="337"/>
      <c r="X192" s="337"/>
      <c r="Y192" s="337">
        <f t="shared" si="43"/>
        <v>13200000</v>
      </c>
      <c r="Z192" s="337"/>
      <c r="AA192" s="337">
        <v>13200000</v>
      </c>
      <c r="AB192" s="337"/>
      <c r="AC192" s="337"/>
      <c r="AD192" s="337"/>
      <c r="AE192" s="337"/>
      <c r="AF192" s="337"/>
      <c r="AG192" s="337">
        <f t="shared" si="44"/>
        <v>13200000</v>
      </c>
      <c r="AH192" s="337">
        <f t="shared" si="45"/>
        <v>13200000</v>
      </c>
      <c r="AI192" s="337">
        <f t="shared" si="46"/>
        <v>0</v>
      </c>
      <c r="AJ192" s="337"/>
      <c r="AK192" s="337"/>
      <c r="AL192" s="337"/>
      <c r="AM192" s="337"/>
      <c r="AN192" s="337">
        <f t="shared" si="47"/>
        <v>0</v>
      </c>
      <c r="AO192" s="337"/>
      <c r="AP192" s="337"/>
      <c r="AQ192" s="337"/>
      <c r="AR192" s="337"/>
      <c r="AS192" s="337">
        <f t="shared" si="48"/>
        <v>0</v>
      </c>
      <c r="AT192" s="337"/>
      <c r="AU192" s="337"/>
      <c r="AV192" s="337"/>
      <c r="AW192" s="337"/>
      <c r="AX192" s="337">
        <f t="shared" si="49"/>
        <v>13200000</v>
      </c>
      <c r="AY192" s="337"/>
      <c r="AZ192" s="337">
        <v>13200000</v>
      </c>
      <c r="BA192" s="337"/>
      <c r="BB192" s="337"/>
      <c r="BC192" s="337"/>
      <c r="BD192" s="337"/>
      <c r="BE192" s="338"/>
      <c r="BF192" s="139" t="s">
        <v>56</v>
      </c>
      <c r="BG192" s="339" t="s">
        <v>221</v>
      </c>
      <c r="BH192" s="147" t="s">
        <v>124</v>
      </c>
    </row>
    <row r="193" s="78" customFormat="1" ht="15" hidden="1" spans="1:60">
      <c r="A193" s="301">
        <v>186</v>
      </c>
      <c r="B193" s="307" t="s">
        <v>19</v>
      </c>
      <c r="C193" s="307" t="s">
        <v>20</v>
      </c>
      <c r="D193" s="308">
        <v>2021</v>
      </c>
      <c r="E193" s="313" t="s">
        <v>337</v>
      </c>
      <c r="F193" s="308" t="s">
        <v>53</v>
      </c>
      <c r="G193" s="127" t="s">
        <v>56</v>
      </c>
      <c r="H193" s="310">
        <f t="shared" si="38"/>
        <v>492600</v>
      </c>
      <c r="I193" s="310">
        <f t="shared" si="39"/>
        <v>492600</v>
      </c>
      <c r="J193" s="310">
        <f t="shared" si="40"/>
        <v>0</v>
      </c>
      <c r="K193" s="310"/>
      <c r="L193" s="310"/>
      <c r="M193" s="310"/>
      <c r="N193" s="310"/>
      <c r="O193" s="310">
        <f t="shared" si="41"/>
        <v>0</v>
      </c>
      <c r="P193" s="310"/>
      <c r="Q193" s="310"/>
      <c r="R193" s="310"/>
      <c r="S193" s="310"/>
      <c r="T193" s="310">
        <f t="shared" si="42"/>
        <v>0</v>
      </c>
      <c r="U193" s="310"/>
      <c r="V193" s="310"/>
      <c r="W193" s="310"/>
      <c r="X193" s="310"/>
      <c r="Y193" s="310">
        <f t="shared" si="43"/>
        <v>492600</v>
      </c>
      <c r="Z193" s="310"/>
      <c r="AA193" s="310">
        <v>492600</v>
      </c>
      <c r="AB193" s="310"/>
      <c r="AC193" s="310"/>
      <c r="AD193" s="310"/>
      <c r="AE193" s="310"/>
      <c r="AF193" s="310"/>
      <c r="AG193" s="310">
        <f t="shared" si="44"/>
        <v>492600</v>
      </c>
      <c r="AH193" s="310">
        <f t="shared" si="45"/>
        <v>492600</v>
      </c>
      <c r="AI193" s="310">
        <f t="shared" si="46"/>
        <v>0</v>
      </c>
      <c r="AJ193" s="310"/>
      <c r="AK193" s="310"/>
      <c r="AL193" s="310"/>
      <c r="AM193" s="310"/>
      <c r="AN193" s="310">
        <f t="shared" si="47"/>
        <v>0</v>
      </c>
      <c r="AO193" s="310"/>
      <c r="AP193" s="310"/>
      <c r="AQ193" s="310"/>
      <c r="AR193" s="310"/>
      <c r="AS193" s="310">
        <f t="shared" si="48"/>
        <v>0</v>
      </c>
      <c r="AT193" s="310"/>
      <c r="AU193" s="310"/>
      <c r="AV193" s="310"/>
      <c r="AW193" s="310"/>
      <c r="AX193" s="310">
        <f t="shared" si="49"/>
        <v>492600</v>
      </c>
      <c r="AY193" s="310"/>
      <c r="AZ193" s="310">
        <v>492600</v>
      </c>
      <c r="BA193" s="310"/>
      <c r="BB193" s="310"/>
      <c r="BC193" s="310"/>
      <c r="BD193" s="310"/>
      <c r="BE193" s="312"/>
      <c r="BF193" s="134" t="s">
        <v>56</v>
      </c>
      <c r="BG193" s="315" t="s">
        <v>338</v>
      </c>
      <c r="BH193" s="137" t="s">
        <v>98</v>
      </c>
    </row>
    <row r="194" s="78" customFormat="1" ht="15" hidden="1" spans="1:60">
      <c r="A194" s="301">
        <v>187</v>
      </c>
      <c r="B194" s="307" t="s">
        <v>19</v>
      </c>
      <c r="C194" s="307" t="s">
        <v>20</v>
      </c>
      <c r="D194" s="308">
        <v>2021</v>
      </c>
      <c r="E194" s="313" t="s">
        <v>339</v>
      </c>
      <c r="F194" s="308" t="s">
        <v>53</v>
      </c>
      <c r="G194" s="127" t="s">
        <v>56</v>
      </c>
      <c r="H194" s="310">
        <f t="shared" si="38"/>
        <v>20000000</v>
      </c>
      <c r="I194" s="310">
        <f t="shared" si="39"/>
        <v>20000000</v>
      </c>
      <c r="J194" s="310">
        <f t="shared" si="40"/>
        <v>0</v>
      </c>
      <c r="K194" s="310"/>
      <c r="L194" s="310"/>
      <c r="M194" s="310"/>
      <c r="N194" s="310"/>
      <c r="O194" s="310">
        <f t="shared" si="41"/>
        <v>0</v>
      </c>
      <c r="P194" s="310"/>
      <c r="Q194" s="310"/>
      <c r="R194" s="310"/>
      <c r="S194" s="310"/>
      <c r="T194" s="310">
        <f t="shared" si="42"/>
        <v>0</v>
      </c>
      <c r="U194" s="310"/>
      <c r="V194" s="310"/>
      <c r="W194" s="310"/>
      <c r="X194" s="310"/>
      <c r="Y194" s="310">
        <f t="shared" si="43"/>
        <v>20000000</v>
      </c>
      <c r="Z194" s="310"/>
      <c r="AA194" s="310">
        <v>20000000</v>
      </c>
      <c r="AB194" s="310"/>
      <c r="AC194" s="310"/>
      <c r="AD194" s="310"/>
      <c r="AE194" s="310"/>
      <c r="AF194" s="310"/>
      <c r="AG194" s="310">
        <f t="shared" si="44"/>
        <v>19150558.27</v>
      </c>
      <c r="AH194" s="310">
        <f t="shared" si="45"/>
        <v>19150558.27</v>
      </c>
      <c r="AI194" s="310">
        <f t="shared" si="46"/>
        <v>0</v>
      </c>
      <c r="AJ194" s="310"/>
      <c r="AK194" s="310"/>
      <c r="AL194" s="310"/>
      <c r="AM194" s="310"/>
      <c r="AN194" s="310">
        <f t="shared" si="47"/>
        <v>0</v>
      </c>
      <c r="AO194" s="310"/>
      <c r="AP194" s="310"/>
      <c r="AQ194" s="310"/>
      <c r="AR194" s="310"/>
      <c r="AS194" s="310">
        <f t="shared" si="48"/>
        <v>0</v>
      </c>
      <c r="AT194" s="310"/>
      <c r="AU194" s="310"/>
      <c r="AV194" s="310"/>
      <c r="AW194" s="310"/>
      <c r="AX194" s="310">
        <f t="shared" si="49"/>
        <v>19150558.27</v>
      </c>
      <c r="AY194" s="310"/>
      <c r="AZ194" s="310">
        <v>19150558.27</v>
      </c>
      <c r="BA194" s="310"/>
      <c r="BB194" s="310"/>
      <c r="BC194" s="310"/>
      <c r="BD194" s="310"/>
      <c r="BE194" s="312"/>
      <c r="BF194" s="134" t="s">
        <v>56</v>
      </c>
      <c r="BG194" s="315" t="s">
        <v>167</v>
      </c>
      <c r="BH194" s="137" t="s">
        <v>323</v>
      </c>
    </row>
    <row r="195" s="78" customFormat="1" ht="15" hidden="1" spans="1:60">
      <c r="A195" s="301">
        <v>188</v>
      </c>
      <c r="B195" s="307" t="s">
        <v>19</v>
      </c>
      <c r="C195" s="307" t="s">
        <v>20</v>
      </c>
      <c r="D195" s="308">
        <v>2021</v>
      </c>
      <c r="E195" s="313" t="s">
        <v>340</v>
      </c>
      <c r="F195" s="308" t="s">
        <v>53</v>
      </c>
      <c r="G195" s="127" t="s">
        <v>56</v>
      </c>
      <c r="H195" s="310">
        <f t="shared" si="38"/>
        <v>46558200</v>
      </c>
      <c r="I195" s="310">
        <f t="shared" si="39"/>
        <v>46558200</v>
      </c>
      <c r="J195" s="310">
        <f t="shared" si="40"/>
        <v>0</v>
      </c>
      <c r="K195" s="310"/>
      <c r="L195" s="310"/>
      <c r="M195" s="310"/>
      <c r="N195" s="310"/>
      <c r="O195" s="310">
        <f t="shared" si="41"/>
        <v>0</v>
      </c>
      <c r="P195" s="310"/>
      <c r="Q195" s="310"/>
      <c r="R195" s="310"/>
      <c r="S195" s="310"/>
      <c r="T195" s="310">
        <f t="shared" si="42"/>
        <v>0</v>
      </c>
      <c r="U195" s="310"/>
      <c r="V195" s="310"/>
      <c r="W195" s="310"/>
      <c r="X195" s="310"/>
      <c r="Y195" s="310">
        <f t="shared" si="43"/>
        <v>46558200</v>
      </c>
      <c r="Z195" s="310"/>
      <c r="AA195" s="310">
        <v>46558200</v>
      </c>
      <c r="AB195" s="310"/>
      <c r="AC195" s="310"/>
      <c r="AD195" s="310"/>
      <c r="AE195" s="310"/>
      <c r="AF195" s="310"/>
      <c r="AG195" s="310">
        <f t="shared" si="44"/>
        <v>44021210.21</v>
      </c>
      <c r="AH195" s="310">
        <f t="shared" si="45"/>
        <v>44021210.21</v>
      </c>
      <c r="AI195" s="310">
        <f t="shared" si="46"/>
        <v>0</v>
      </c>
      <c r="AJ195" s="310"/>
      <c r="AK195" s="310"/>
      <c r="AL195" s="310"/>
      <c r="AM195" s="310"/>
      <c r="AN195" s="310">
        <f t="shared" si="47"/>
        <v>0</v>
      </c>
      <c r="AO195" s="310"/>
      <c r="AP195" s="310"/>
      <c r="AQ195" s="310"/>
      <c r="AR195" s="310"/>
      <c r="AS195" s="310">
        <f t="shared" si="48"/>
        <v>0</v>
      </c>
      <c r="AT195" s="310"/>
      <c r="AU195" s="310"/>
      <c r="AV195" s="310"/>
      <c r="AW195" s="310"/>
      <c r="AX195" s="310">
        <f t="shared" si="49"/>
        <v>44021210.21</v>
      </c>
      <c r="AY195" s="310"/>
      <c r="AZ195" s="310">
        <v>44021210.21</v>
      </c>
      <c r="BA195" s="310"/>
      <c r="BB195" s="310"/>
      <c r="BC195" s="310"/>
      <c r="BD195" s="310"/>
      <c r="BE195" s="312"/>
      <c r="BF195" s="134" t="s">
        <v>56</v>
      </c>
      <c r="BG195" s="315" t="s">
        <v>341</v>
      </c>
      <c r="BH195" s="137" t="s">
        <v>323</v>
      </c>
    </row>
    <row r="196" s="78" customFormat="1" ht="15" hidden="1" spans="1:60">
      <c r="A196" s="301">
        <v>189</v>
      </c>
      <c r="B196" s="307" t="s">
        <v>19</v>
      </c>
      <c r="C196" s="307" t="s">
        <v>20</v>
      </c>
      <c r="D196" s="308">
        <v>2023</v>
      </c>
      <c r="E196" s="313" t="s">
        <v>342</v>
      </c>
      <c r="F196" s="308" t="s">
        <v>53</v>
      </c>
      <c r="G196" s="127" t="s">
        <v>56</v>
      </c>
      <c r="H196" s="310">
        <f t="shared" si="38"/>
        <v>12000000</v>
      </c>
      <c r="I196" s="310">
        <f t="shared" si="39"/>
        <v>12000000</v>
      </c>
      <c r="J196" s="310">
        <f t="shared" si="40"/>
        <v>0</v>
      </c>
      <c r="K196" s="310"/>
      <c r="L196" s="310"/>
      <c r="M196" s="310"/>
      <c r="N196" s="310"/>
      <c r="O196" s="310">
        <f t="shared" si="41"/>
        <v>0</v>
      </c>
      <c r="P196" s="310"/>
      <c r="Q196" s="310"/>
      <c r="R196" s="310"/>
      <c r="S196" s="310"/>
      <c r="T196" s="310">
        <f t="shared" si="42"/>
        <v>0</v>
      </c>
      <c r="U196" s="310"/>
      <c r="V196" s="310"/>
      <c r="W196" s="310"/>
      <c r="X196" s="310"/>
      <c r="Y196" s="310">
        <f t="shared" si="43"/>
        <v>12000000</v>
      </c>
      <c r="Z196" s="310"/>
      <c r="AA196" s="310">
        <v>12000000</v>
      </c>
      <c r="AB196" s="310"/>
      <c r="AC196" s="310"/>
      <c r="AD196" s="310"/>
      <c r="AE196" s="310"/>
      <c r="AF196" s="310"/>
      <c r="AG196" s="310">
        <f t="shared" si="44"/>
        <v>10947519.9</v>
      </c>
      <c r="AH196" s="310">
        <f t="shared" si="45"/>
        <v>10947519.9</v>
      </c>
      <c r="AI196" s="310">
        <f t="shared" si="46"/>
        <v>0</v>
      </c>
      <c r="AJ196" s="310"/>
      <c r="AK196" s="310"/>
      <c r="AL196" s="310"/>
      <c r="AM196" s="310"/>
      <c r="AN196" s="310">
        <f t="shared" si="47"/>
        <v>0</v>
      </c>
      <c r="AO196" s="310"/>
      <c r="AP196" s="310"/>
      <c r="AQ196" s="310"/>
      <c r="AR196" s="310"/>
      <c r="AS196" s="310">
        <f t="shared" si="48"/>
        <v>0</v>
      </c>
      <c r="AT196" s="310"/>
      <c r="AU196" s="310"/>
      <c r="AV196" s="310"/>
      <c r="AW196" s="310"/>
      <c r="AX196" s="310">
        <f t="shared" si="49"/>
        <v>10947519.9</v>
      </c>
      <c r="AY196" s="310"/>
      <c r="AZ196" s="310">
        <v>10947519.9</v>
      </c>
      <c r="BA196" s="310"/>
      <c r="BB196" s="310"/>
      <c r="BC196" s="310"/>
      <c r="BD196" s="310"/>
      <c r="BE196" s="312"/>
      <c r="BF196" s="134" t="s">
        <v>56</v>
      </c>
      <c r="BG196" s="315" t="s">
        <v>167</v>
      </c>
      <c r="BH196" s="137" t="s">
        <v>343</v>
      </c>
    </row>
    <row r="197" s="78" customFormat="1" ht="15" hidden="1" spans="1:60">
      <c r="A197" s="301">
        <v>190</v>
      </c>
      <c r="B197" s="307" t="s">
        <v>19</v>
      </c>
      <c r="C197" s="307" t="s">
        <v>20</v>
      </c>
      <c r="D197" s="308">
        <v>2023</v>
      </c>
      <c r="E197" s="313" t="s">
        <v>344</v>
      </c>
      <c r="F197" s="308" t="s">
        <v>53</v>
      </c>
      <c r="G197" s="127" t="s">
        <v>53</v>
      </c>
      <c r="H197" s="310">
        <f t="shared" si="38"/>
        <v>47000000</v>
      </c>
      <c r="I197" s="310">
        <f t="shared" si="39"/>
        <v>47000000</v>
      </c>
      <c r="J197" s="310">
        <f t="shared" si="40"/>
        <v>0</v>
      </c>
      <c r="K197" s="310"/>
      <c r="L197" s="310"/>
      <c r="M197" s="310"/>
      <c r="N197" s="310"/>
      <c r="O197" s="310">
        <f t="shared" si="41"/>
        <v>0</v>
      </c>
      <c r="P197" s="310"/>
      <c r="Q197" s="310"/>
      <c r="R197" s="310"/>
      <c r="S197" s="310"/>
      <c r="T197" s="310">
        <f t="shared" si="42"/>
        <v>0</v>
      </c>
      <c r="U197" s="310"/>
      <c r="V197" s="310"/>
      <c r="W197" s="310"/>
      <c r="X197" s="310"/>
      <c r="Y197" s="310">
        <f t="shared" si="43"/>
        <v>47000000</v>
      </c>
      <c r="Z197" s="310"/>
      <c r="AA197" s="310">
        <v>47000000</v>
      </c>
      <c r="AB197" s="310"/>
      <c r="AC197" s="310"/>
      <c r="AD197" s="310"/>
      <c r="AE197" s="310"/>
      <c r="AF197" s="310"/>
      <c r="AG197" s="310">
        <f t="shared" si="44"/>
        <v>44084700.34</v>
      </c>
      <c r="AH197" s="310">
        <f t="shared" si="45"/>
        <v>44084700.34</v>
      </c>
      <c r="AI197" s="310">
        <f t="shared" si="46"/>
        <v>0</v>
      </c>
      <c r="AJ197" s="310"/>
      <c r="AK197" s="310"/>
      <c r="AL197" s="310"/>
      <c r="AM197" s="310"/>
      <c r="AN197" s="310">
        <f t="shared" si="47"/>
        <v>0</v>
      </c>
      <c r="AO197" s="310"/>
      <c r="AP197" s="310"/>
      <c r="AQ197" s="310"/>
      <c r="AR197" s="310"/>
      <c r="AS197" s="310">
        <f t="shared" si="48"/>
        <v>0</v>
      </c>
      <c r="AT197" s="310"/>
      <c r="AU197" s="310"/>
      <c r="AV197" s="310"/>
      <c r="AW197" s="310"/>
      <c r="AX197" s="310">
        <f t="shared" si="49"/>
        <v>44084700.34</v>
      </c>
      <c r="AY197" s="310"/>
      <c r="AZ197" s="310">
        <v>44084700.34</v>
      </c>
      <c r="BA197" s="310"/>
      <c r="BB197" s="310"/>
      <c r="BC197" s="310"/>
      <c r="BD197" s="310"/>
      <c r="BE197" s="312">
        <v>0</v>
      </c>
      <c r="BF197" s="134" t="s">
        <v>56</v>
      </c>
      <c r="BG197" s="315" t="s">
        <v>239</v>
      </c>
      <c r="BH197" s="137" t="s">
        <v>131</v>
      </c>
    </row>
    <row r="198" s="78" customFormat="1" ht="15" hidden="1" spans="1:60">
      <c r="A198" s="301">
        <v>191</v>
      </c>
      <c r="B198" s="307" t="s">
        <v>19</v>
      </c>
      <c r="C198" s="307" t="s">
        <v>20</v>
      </c>
      <c r="D198" s="308">
        <v>2023</v>
      </c>
      <c r="E198" s="313" t="s">
        <v>345</v>
      </c>
      <c r="F198" s="308" t="s">
        <v>53</v>
      </c>
      <c r="G198" s="127" t="s">
        <v>56</v>
      </c>
      <c r="H198" s="310">
        <f t="shared" ref="H198:H223" si="50">I198+AF198</f>
        <v>8000000</v>
      </c>
      <c r="I198" s="310">
        <f t="shared" ref="I198:I223" si="51">O198+J198+T198+Y198+AE198+AC198+AD198</f>
        <v>8000000</v>
      </c>
      <c r="J198" s="310">
        <f t="shared" ref="J198:J223" si="52">N198+M198+L198+K198</f>
        <v>0</v>
      </c>
      <c r="K198" s="310"/>
      <c r="L198" s="310"/>
      <c r="M198" s="310"/>
      <c r="N198" s="310"/>
      <c r="O198" s="310">
        <f t="shared" ref="O198:O223" si="53">S198+R198+Q198+P198</f>
        <v>0</v>
      </c>
      <c r="P198" s="310"/>
      <c r="Q198" s="310"/>
      <c r="R198" s="310"/>
      <c r="S198" s="310"/>
      <c r="T198" s="310">
        <f t="shared" ref="T198:T223" si="54">U198+V198+W198+X198</f>
        <v>0</v>
      </c>
      <c r="U198" s="310"/>
      <c r="V198" s="310"/>
      <c r="W198" s="310"/>
      <c r="X198" s="310"/>
      <c r="Y198" s="310">
        <f t="shared" ref="Y198:Y223" si="55">AA198+Z198+AB198</f>
        <v>8000000</v>
      </c>
      <c r="Z198" s="310"/>
      <c r="AA198" s="310">
        <v>8000000</v>
      </c>
      <c r="AB198" s="310"/>
      <c r="AC198" s="310"/>
      <c r="AD198" s="310"/>
      <c r="AE198" s="310"/>
      <c r="AF198" s="310"/>
      <c r="AG198" s="310">
        <f t="shared" ref="AG198:AG223" si="56">AH198+BE198</f>
        <v>7200707.99</v>
      </c>
      <c r="AH198" s="310">
        <f t="shared" ref="AH198:AH223" si="57">AN198+AI198+AS198+AX198+BD198+BB198+BC198</f>
        <v>7200707.99</v>
      </c>
      <c r="AI198" s="310">
        <f t="shared" ref="AI198:AI223" si="58">AM198+AL198+AK198+AJ198</f>
        <v>0</v>
      </c>
      <c r="AJ198" s="310"/>
      <c r="AK198" s="310"/>
      <c r="AL198" s="310"/>
      <c r="AM198" s="310"/>
      <c r="AN198" s="310">
        <f t="shared" ref="AN198:AN223" si="59">AR198+AQ198+AP198+AO198</f>
        <v>0</v>
      </c>
      <c r="AO198" s="310"/>
      <c r="AP198" s="310"/>
      <c r="AQ198" s="310"/>
      <c r="AR198" s="310"/>
      <c r="AS198" s="310">
        <f t="shared" ref="AS198:AS223" si="60">AW198+AV198+AU198+AT198</f>
        <v>0</v>
      </c>
      <c r="AT198" s="310"/>
      <c r="AU198" s="310"/>
      <c r="AV198" s="310"/>
      <c r="AW198" s="310"/>
      <c r="AX198" s="310">
        <f t="shared" ref="AX198:AX223" si="61">AZ198+AY198+BA198</f>
        <v>7200707.99</v>
      </c>
      <c r="AY198" s="314"/>
      <c r="AZ198" s="310">
        <v>7200707.99</v>
      </c>
      <c r="BA198" s="310"/>
      <c r="BB198" s="310"/>
      <c r="BC198" s="310"/>
      <c r="BD198" s="310"/>
      <c r="BE198" s="312"/>
      <c r="BF198" s="134" t="s">
        <v>56</v>
      </c>
      <c r="BG198" s="315" t="s">
        <v>167</v>
      </c>
      <c r="BH198" s="137" t="s">
        <v>140</v>
      </c>
    </row>
    <row r="199" s="78" customFormat="1" ht="15" hidden="1" spans="1:60">
      <c r="A199" s="301">
        <v>192</v>
      </c>
      <c r="B199" s="307" t="s">
        <v>19</v>
      </c>
      <c r="C199" s="307" t="s">
        <v>20</v>
      </c>
      <c r="D199" s="308">
        <v>2013</v>
      </c>
      <c r="E199" s="313" t="s">
        <v>346</v>
      </c>
      <c r="F199" s="308" t="s">
        <v>53</v>
      </c>
      <c r="G199" s="127" t="s">
        <v>56</v>
      </c>
      <c r="H199" s="310">
        <f t="shared" si="50"/>
        <v>7349200</v>
      </c>
      <c r="I199" s="310">
        <f t="shared" si="51"/>
        <v>7349200</v>
      </c>
      <c r="J199" s="310">
        <f t="shared" si="52"/>
        <v>0</v>
      </c>
      <c r="K199" s="310"/>
      <c r="L199" s="310"/>
      <c r="M199" s="310"/>
      <c r="N199" s="310"/>
      <c r="O199" s="310">
        <f t="shared" si="53"/>
        <v>0</v>
      </c>
      <c r="P199" s="310"/>
      <c r="Q199" s="310"/>
      <c r="R199" s="310"/>
      <c r="S199" s="310"/>
      <c r="T199" s="310">
        <f t="shared" si="54"/>
        <v>0</v>
      </c>
      <c r="U199" s="310"/>
      <c r="V199" s="310"/>
      <c r="W199" s="310"/>
      <c r="X199" s="310"/>
      <c r="Y199" s="310">
        <f t="shared" si="55"/>
        <v>7349200</v>
      </c>
      <c r="Z199" s="310"/>
      <c r="AA199" s="310">
        <v>7349200</v>
      </c>
      <c r="AB199" s="310"/>
      <c r="AC199" s="310"/>
      <c r="AD199" s="310"/>
      <c r="AE199" s="310"/>
      <c r="AF199" s="310"/>
      <c r="AG199" s="310">
        <f t="shared" si="56"/>
        <v>6776245.53</v>
      </c>
      <c r="AH199" s="310">
        <f t="shared" si="57"/>
        <v>6776245.53</v>
      </c>
      <c r="AI199" s="310">
        <f t="shared" si="58"/>
        <v>0</v>
      </c>
      <c r="AJ199" s="310"/>
      <c r="AK199" s="310"/>
      <c r="AL199" s="310"/>
      <c r="AM199" s="310"/>
      <c r="AN199" s="310">
        <f t="shared" si="59"/>
        <v>0</v>
      </c>
      <c r="AO199" s="310"/>
      <c r="AP199" s="310"/>
      <c r="AQ199" s="310"/>
      <c r="AR199" s="310"/>
      <c r="AS199" s="310">
        <f t="shared" si="60"/>
        <v>0</v>
      </c>
      <c r="AT199" s="310"/>
      <c r="AU199" s="310"/>
      <c r="AV199" s="310"/>
      <c r="AW199" s="310"/>
      <c r="AX199" s="310">
        <f t="shared" si="61"/>
        <v>6776245.53</v>
      </c>
      <c r="AY199" s="310"/>
      <c r="AZ199" s="310">
        <v>6776245.53</v>
      </c>
      <c r="BA199" s="310"/>
      <c r="BB199" s="310"/>
      <c r="BC199" s="310"/>
      <c r="BD199" s="310"/>
      <c r="BE199" s="312"/>
      <c r="BF199" s="134" t="s">
        <v>56</v>
      </c>
      <c r="BG199" s="315" t="s">
        <v>314</v>
      </c>
      <c r="BH199" s="137" t="s">
        <v>157</v>
      </c>
    </row>
    <row r="200" s="270" customFormat="1" ht="15" hidden="1" spans="1:60">
      <c r="A200" s="301">
        <v>193</v>
      </c>
      <c r="B200" s="302" t="s">
        <v>19</v>
      </c>
      <c r="C200" s="302" t="s">
        <v>20</v>
      </c>
      <c r="D200" s="301">
        <v>2013</v>
      </c>
      <c r="E200" s="303" t="s">
        <v>347</v>
      </c>
      <c r="F200" s="301" t="s">
        <v>53</v>
      </c>
      <c r="G200" s="238" t="s">
        <v>56</v>
      </c>
      <c r="H200" s="304">
        <f t="shared" si="50"/>
        <v>770000</v>
      </c>
      <c r="I200" s="304">
        <f t="shared" si="51"/>
        <v>710000</v>
      </c>
      <c r="J200" s="304">
        <f t="shared" si="52"/>
        <v>710000</v>
      </c>
      <c r="K200" s="304">
        <v>710000</v>
      </c>
      <c r="L200" s="304"/>
      <c r="M200" s="304"/>
      <c r="N200" s="304"/>
      <c r="O200" s="304">
        <f t="shared" si="53"/>
        <v>0</v>
      </c>
      <c r="P200" s="304"/>
      <c r="Q200" s="304"/>
      <c r="R200" s="304"/>
      <c r="S200" s="304"/>
      <c r="T200" s="304">
        <f t="shared" si="54"/>
        <v>0</v>
      </c>
      <c r="U200" s="304"/>
      <c r="V200" s="304"/>
      <c r="W200" s="304"/>
      <c r="X200" s="304"/>
      <c r="Y200" s="304">
        <f t="shared" si="55"/>
        <v>0</v>
      </c>
      <c r="Z200" s="304"/>
      <c r="AA200" s="304"/>
      <c r="AB200" s="304"/>
      <c r="AC200" s="304"/>
      <c r="AD200" s="304"/>
      <c r="AE200" s="304"/>
      <c r="AF200" s="304">
        <v>60000</v>
      </c>
      <c r="AG200" s="304">
        <f t="shared" si="56"/>
        <v>770000</v>
      </c>
      <c r="AH200" s="304">
        <f t="shared" si="57"/>
        <v>710000</v>
      </c>
      <c r="AI200" s="304">
        <f t="shared" si="58"/>
        <v>710000</v>
      </c>
      <c r="AJ200" s="304">
        <v>710000</v>
      </c>
      <c r="AK200" s="304"/>
      <c r="AL200" s="304"/>
      <c r="AM200" s="304"/>
      <c r="AN200" s="304">
        <f t="shared" si="59"/>
        <v>0</v>
      </c>
      <c r="AO200" s="304"/>
      <c r="AP200" s="304"/>
      <c r="AQ200" s="304"/>
      <c r="AR200" s="304"/>
      <c r="AS200" s="304">
        <f t="shared" si="60"/>
        <v>0</v>
      </c>
      <c r="AT200" s="304"/>
      <c r="AU200" s="304"/>
      <c r="AV200" s="304"/>
      <c r="AW200" s="304"/>
      <c r="AX200" s="304">
        <f t="shared" si="61"/>
        <v>0</v>
      </c>
      <c r="AY200" s="304"/>
      <c r="AZ200" s="304"/>
      <c r="BA200" s="304"/>
      <c r="BB200" s="304"/>
      <c r="BC200" s="304"/>
      <c r="BD200" s="304"/>
      <c r="BE200" s="305">
        <v>60000</v>
      </c>
      <c r="BF200" s="238" t="s">
        <v>53</v>
      </c>
      <c r="BG200" s="263" t="s">
        <v>70</v>
      </c>
      <c r="BH200" s="306"/>
    </row>
    <row r="201" s="77" customFormat="1" ht="15" hidden="1" spans="1:60">
      <c r="A201" s="301">
        <v>194</v>
      </c>
      <c r="B201" s="307" t="s">
        <v>19</v>
      </c>
      <c r="C201" s="307" t="s">
        <v>20</v>
      </c>
      <c r="D201" s="308">
        <v>2013</v>
      </c>
      <c r="E201" s="58" t="s">
        <v>348</v>
      </c>
      <c r="F201" s="308" t="s">
        <v>53</v>
      </c>
      <c r="G201" s="127" t="s">
        <v>56</v>
      </c>
      <c r="H201" s="310">
        <f t="shared" si="50"/>
        <v>336200</v>
      </c>
      <c r="I201" s="310">
        <f t="shared" si="51"/>
        <v>336200</v>
      </c>
      <c r="J201" s="310">
        <f t="shared" si="52"/>
        <v>336200</v>
      </c>
      <c r="K201" s="310"/>
      <c r="L201" s="310"/>
      <c r="M201" s="310"/>
      <c r="N201" s="310">
        <v>336200</v>
      </c>
      <c r="O201" s="310">
        <f t="shared" si="53"/>
        <v>0</v>
      </c>
      <c r="P201" s="310"/>
      <c r="Q201" s="310"/>
      <c r="R201" s="310"/>
      <c r="S201" s="310"/>
      <c r="T201" s="310">
        <f t="shared" si="54"/>
        <v>0</v>
      </c>
      <c r="U201" s="310"/>
      <c r="V201" s="310"/>
      <c r="W201" s="310"/>
      <c r="X201" s="310"/>
      <c r="Y201" s="310">
        <f t="shared" si="55"/>
        <v>0</v>
      </c>
      <c r="Z201" s="310"/>
      <c r="AA201" s="310"/>
      <c r="AB201" s="310"/>
      <c r="AC201" s="310"/>
      <c r="AD201" s="310"/>
      <c r="AE201" s="310"/>
      <c r="AF201" s="310"/>
      <c r="AG201" s="310">
        <f t="shared" si="56"/>
        <v>336200</v>
      </c>
      <c r="AH201" s="310">
        <f t="shared" si="57"/>
        <v>336200</v>
      </c>
      <c r="AI201" s="310">
        <f t="shared" si="58"/>
        <v>336200</v>
      </c>
      <c r="AJ201" s="310"/>
      <c r="AK201" s="310">
        <v>336200</v>
      </c>
      <c r="AL201" s="310"/>
      <c r="AM201" s="310"/>
      <c r="AN201" s="310">
        <f t="shared" si="59"/>
        <v>0</v>
      </c>
      <c r="AO201" s="310"/>
      <c r="AP201" s="310"/>
      <c r="AQ201" s="310"/>
      <c r="AR201" s="310"/>
      <c r="AS201" s="310">
        <f t="shared" si="60"/>
        <v>0</v>
      </c>
      <c r="AT201" s="310"/>
      <c r="AU201" s="310"/>
      <c r="AV201" s="310"/>
      <c r="AW201" s="310"/>
      <c r="AX201" s="310">
        <f t="shared" si="61"/>
        <v>0</v>
      </c>
      <c r="AY201" s="310"/>
      <c r="AZ201" s="310"/>
      <c r="BA201" s="310"/>
      <c r="BB201" s="310"/>
      <c r="BC201" s="310"/>
      <c r="BD201" s="310"/>
      <c r="BE201" s="312"/>
      <c r="BF201" s="127" t="s">
        <v>56</v>
      </c>
      <c r="BG201" s="184" t="s">
        <v>349</v>
      </c>
      <c r="BH201" s="133"/>
    </row>
    <row r="202" s="77" customFormat="1" ht="15" hidden="1" spans="1:60">
      <c r="A202" s="301">
        <v>195</v>
      </c>
      <c r="B202" s="307" t="s">
        <v>19</v>
      </c>
      <c r="C202" s="307" t="s">
        <v>20</v>
      </c>
      <c r="D202" s="308">
        <v>2013</v>
      </c>
      <c r="E202" s="313" t="s">
        <v>350</v>
      </c>
      <c r="F202" s="308" t="s">
        <v>53</v>
      </c>
      <c r="G202" s="127" t="s">
        <v>56</v>
      </c>
      <c r="H202" s="310">
        <f t="shared" si="50"/>
        <v>800000</v>
      </c>
      <c r="I202" s="310">
        <f t="shared" si="51"/>
        <v>800000</v>
      </c>
      <c r="J202" s="310">
        <f t="shared" si="52"/>
        <v>800000</v>
      </c>
      <c r="K202" s="310"/>
      <c r="L202" s="310"/>
      <c r="M202" s="310">
        <v>800000</v>
      </c>
      <c r="N202" s="310"/>
      <c r="O202" s="310">
        <f t="shared" si="53"/>
        <v>0</v>
      </c>
      <c r="P202" s="310"/>
      <c r="Q202" s="310"/>
      <c r="R202" s="310"/>
      <c r="S202" s="310"/>
      <c r="T202" s="310">
        <f t="shared" si="54"/>
        <v>0</v>
      </c>
      <c r="U202" s="310"/>
      <c r="V202" s="310"/>
      <c r="W202" s="310"/>
      <c r="X202" s="310"/>
      <c r="Y202" s="310">
        <f t="shared" si="55"/>
        <v>0</v>
      </c>
      <c r="Z202" s="310"/>
      <c r="AA202" s="310"/>
      <c r="AB202" s="310"/>
      <c r="AC202" s="310"/>
      <c r="AD202" s="310"/>
      <c r="AE202" s="310"/>
      <c r="AF202" s="310"/>
      <c r="AG202" s="310">
        <f t="shared" si="56"/>
        <v>800000</v>
      </c>
      <c r="AH202" s="310">
        <f t="shared" si="57"/>
        <v>800000</v>
      </c>
      <c r="AI202" s="310">
        <f t="shared" si="58"/>
        <v>800000</v>
      </c>
      <c r="AJ202" s="310"/>
      <c r="AK202" s="310">
        <v>800000</v>
      </c>
      <c r="AL202" s="310"/>
      <c r="AM202" s="310"/>
      <c r="AN202" s="310">
        <f t="shared" si="59"/>
        <v>0</v>
      </c>
      <c r="AO202" s="310"/>
      <c r="AP202" s="310"/>
      <c r="AQ202" s="310"/>
      <c r="AR202" s="310"/>
      <c r="AS202" s="310">
        <f t="shared" si="60"/>
        <v>0</v>
      </c>
      <c r="AT202" s="310"/>
      <c r="AU202" s="310"/>
      <c r="AV202" s="310"/>
      <c r="AW202" s="310"/>
      <c r="AX202" s="310">
        <f t="shared" si="61"/>
        <v>0</v>
      </c>
      <c r="AY202" s="310"/>
      <c r="AZ202" s="310"/>
      <c r="BA202" s="310"/>
      <c r="BB202" s="310"/>
      <c r="BC202" s="310"/>
      <c r="BD202" s="310"/>
      <c r="BE202" s="312"/>
      <c r="BF202" s="127" t="s">
        <v>56</v>
      </c>
      <c r="BG202" s="184" t="s">
        <v>349</v>
      </c>
      <c r="BH202" s="133"/>
    </row>
    <row r="203" s="77" customFormat="1" ht="15" hidden="1" spans="1:60">
      <c r="A203" s="301">
        <v>196</v>
      </c>
      <c r="B203" s="307" t="s">
        <v>19</v>
      </c>
      <c r="C203" s="307" t="s">
        <v>20</v>
      </c>
      <c r="D203" s="308">
        <v>2013</v>
      </c>
      <c r="E203" s="313" t="s">
        <v>351</v>
      </c>
      <c r="F203" s="308" t="s">
        <v>53</v>
      </c>
      <c r="G203" s="127" t="s">
        <v>56</v>
      </c>
      <c r="H203" s="310">
        <f t="shared" si="50"/>
        <v>30000</v>
      </c>
      <c r="I203" s="310">
        <f t="shared" si="51"/>
        <v>30000</v>
      </c>
      <c r="J203" s="310">
        <f t="shared" si="52"/>
        <v>30000</v>
      </c>
      <c r="K203" s="310"/>
      <c r="L203" s="310"/>
      <c r="M203" s="310"/>
      <c r="N203" s="310">
        <v>30000</v>
      </c>
      <c r="O203" s="310">
        <f t="shared" si="53"/>
        <v>0</v>
      </c>
      <c r="P203" s="310"/>
      <c r="Q203" s="310"/>
      <c r="R203" s="310"/>
      <c r="S203" s="310"/>
      <c r="T203" s="310">
        <f t="shared" si="54"/>
        <v>0</v>
      </c>
      <c r="U203" s="310"/>
      <c r="V203" s="310"/>
      <c r="W203" s="310"/>
      <c r="X203" s="310"/>
      <c r="Y203" s="310">
        <f t="shared" si="55"/>
        <v>0</v>
      </c>
      <c r="Z203" s="310"/>
      <c r="AA203" s="310"/>
      <c r="AB203" s="310"/>
      <c r="AC203" s="310"/>
      <c r="AD203" s="310"/>
      <c r="AE203" s="310"/>
      <c r="AF203" s="310"/>
      <c r="AG203" s="310">
        <f t="shared" si="56"/>
        <v>30000</v>
      </c>
      <c r="AH203" s="310">
        <f t="shared" si="57"/>
        <v>30000</v>
      </c>
      <c r="AI203" s="310">
        <f t="shared" si="58"/>
        <v>30000</v>
      </c>
      <c r="AJ203" s="310"/>
      <c r="AK203" s="310"/>
      <c r="AL203" s="310">
        <v>30000</v>
      </c>
      <c r="AM203" s="310"/>
      <c r="AN203" s="310">
        <f t="shared" si="59"/>
        <v>0</v>
      </c>
      <c r="AO203" s="310"/>
      <c r="AP203" s="310"/>
      <c r="AQ203" s="310"/>
      <c r="AR203" s="310"/>
      <c r="AS203" s="310">
        <f t="shared" si="60"/>
        <v>0</v>
      </c>
      <c r="AT203" s="310"/>
      <c r="AU203" s="310"/>
      <c r="AV203" s="310"/>
      <c r="AW203" s="310"/>
      <c r="AX203" s="310">
        <f t="shared" si="61"/>
        <v>0</v>
      </c>
      <c r="AY203" s="310"/>
      <c r="AZ203" s="310"/>
      <c r="BA203" s="310"/>
      <c r="BB203" s="310"/>
      <c r="BC203" s="310"/>
      <c r="BD203" s="310"/>
      <c r="BE203" s="312"/>
      <c r="BF203" s="127" t="s">
        <v>56</v>
      </c>
      <c r="BG203" s="184" t="s">
        <v>349</v>
      </c>
      <c r="BH203" s="133"/>
    </row>
    <row r="204" s="77" customFormat="1" ht="15" hidden="1" spans="1:60">
      <c r="A204" s="301">
        <v>197</v>
      </c>
      <c r="B204" s="307" t="s">
        <v>19</v>
      </c>
      <c r="C204" s="307" t="s">
        <v>20</v>
      </c>
      <c r="D204" s="308">
        <v>2013</v>
      </c>
      <c r="E204" s="313" t="s">
        <v>352</v>
      </c>
      <c r="F204" s="308" t="s">
        <v>53</v>
      </c>
      <c r="G204" s="127" t="s">
        <v>56</v>
      </c>
      <c r="H204" s="310">
        <f t="shared" si="50"/>
        <v>380000</v>
      </c>
      <c r="I204" s="310">
        <f t="shared" si="51"/>
        <v>380000</v>
      </c>
      <c r="J204" s="310">
        <f t="shared" si="52"/>
        <v>380000</v>
      </c>
      <c r="K204" s="310"/>
      <c r="L204" s="310"/>
      <c r="M204" s="310">
        <v>380000</v>
      </c>
      <c r="N204" s="310"/>
      <c r="O204" s="310">
        <f t="shared" si="53"/>
        <v>0</v>
      </c>
      <c r="P204" s="310"/>
      <c r="Q204" s="310"/>
      <c r="R204" s="310"/>
      <c r="S204" s="310"/>
      <c r="T204" s="310">
        <f t="shared" si="54"/>
        <v>0</v>
      </c>
      <c r="U204" s="310"/>
      <c r="V204" s="310"/>
      <c r="W204" s="310"/>
      <c r="X204" s="310"/>
      <c r="Y204" s="310">
        <f t="shared" si="55"/>
        <v>0</v>
      </c>
      <c r="Z204" s="310"/>
      <c r="AA204" s="310"/>
      <c r="AB204" s="310"/>
      <c r="AC204" s="310"/>
      <c r="AD204" s="310"/>
      <c r="AE204" s="310"/>
      <c r="AF204" s="310"/>
      <c r="AG204" s="310">
        <f t="shared" si="56"/>
        <v>380000</v>
      </c>
      <c r="AH204" s="310">
        <f t="shared" si="57"/>
        <v>380000</v>
      </c>
      <c r="AI204" s="310">
        <f t="shared" si="58"/>
        <v>380000</v>
      </c>
      <c r="AJ204" s="310"/>
      <c r="AK204" s="310">
        <v>380000</v>
      </c>
      <c r="AL204" s="310"/>
      <c r="AM204" s="310"/>
      <c r="AN204" s="310">
        <f t="shared" si="59"/>
        <v>0</v>
      </c>
      <c r="AO204" s="310"/>
      <c r="AP204" s="310"/>
      <c r="AQ204" s="310"/>
      <c r="AR204" s="310"/>
      <c r="AS204" s="310">
        <f t="shared" si="60"/>
        <v>0</v>
      </c>
      <c r="AT204" s="310"/>
      <c r="AU204" s="310"/>
      <c r="AV204" s="310"/>
      <c r="AW204" s="310"/>
      <c r="AX204" s="310">
        <f t="shared" si="61"/>
        <v>0</v>
      </c>
      <c r="AY204" s="310"/>
      <c r="AZ204" s="310"/>
      <c r="BA204" s="310"/>
      <c r="BB204" s="310"/>
      <c r="BC204" s="310"/>
      <c r="BD204" s="310"/>
      <c r="BE204" s="312"/>
      <c r="BF204" s="127" t="s">
        <v>56</v>
      </c>
      <c r="BG204" s="128" t="s">
        <v>349</v>
      </c>
      <c r="BH204" s="133"/>
    </row>
    <row r="205" s="77" customFormat="1" ht="13.5" hidden="1" customHeight="1" spans="1:60">
      <c r="A205" s="301">
        <v>198</v>
      </c>
      <c r="B205" s="307" t="s">
        <v>19</v>
      </c>
      <c r="C205" s="307" t="s">
        <v>20</v>
      </c>
      <c r="D205" s="308">
        <v>2013</v>
      </c>
      <c r="E205" s="313" t="s">
        <v>353</v>
      </c>
      <c r="F205" s="308" t="s">
        <v>53</v>
      </c>
      <c r="G205" s="127" t="s">
        <v>56</v>
      </c>
      <c r="H205" s="310">
        <f t="shared" si="50"/>
        <v>380000</v>
      </c>
      <c r="I205" s="310">
        <f t="shared" si="51"/>
        <v>380000</v>
      </c>
      <c r="J205" s="310">
        <f t="shared" si="52"/>
        <v>380000</v>
      </c>
      <c r="K205" s="310"/>
      <c r="L205" s="310"/>
      <c r="M205" s="310">
        <v>380000</v>
      </c>
      <c r="N205" s="310"/>
      <c r="O205" s="310">
        <f t="shared" si="53"/>
        <v>0</v>
      </c>
      <c r="P205" s="310"/>
      <c r="Q205" s="310"/>
      <c r="R205" s="310"/>
      <c r="S205" s="310"/>
      <c r="T205" s="310">
        <f t="shared" si="54"/>
        <v>0</v>
      </c>
      <c r="U205" s="310"/>
      <c r="V205" s="310"/>
      <c r="W205" s="310"/>
      <c r="X205" s="310"/>
      <c r="Y205" s="310">
        <f t="shared" si="55"/>
        <v>0</v>
      </c>
      <c r="Z205" s="310"/>
      <c r="AA205" s="310"/>
      <c r="AB205" s="310"/>
      <c r="AC205" s="310"/>
      <c r="AD205" s="310"/>
      <c r="AE205" s="310"/>
      <c r="AF205" s="310"/>
      <c r="AG205" s="310">
        <f t="shared" si="56"/>
        <v>380000</v>
      </c>
      <c r="AH205" s="310">
        <f t="shared" si="57"/>
        <v>380000</v>
      </c>
      <c r="AI205" s="310">
        <f t="shared" si="58"/>
        <v>380000</v>
      </c>
      <c r="AJ205" s="310"/>
      <c r="AK205" s="310">
        <v>380000</v>
      </c>
      <c r="AL205" s="310"/>
      <c r="AM205" s="310"/>
      <c r="AN205" s="310">
        <f t="shared" si="59"/>
        <v>0</v>
      </c>
      <c r="AO205" s="310"/>
      <c r="AP205" s="310"/>
      <c r="AQ205" s="310"/>
      <c r="AR205" s="310"/>
      <c r="AS205" s="310">
        <f t="shared" si="60"/>
        <v>0</v>
      </c>
      <c r="AT205" s="310"/>
      <c r="AU205" s="310"/>
      <c r="AV205" s="310"/>
      <c r="AW205" s="310"/>
      <c r="AX205" s="310">
        <f t="shared" si="61"/>
        <v>0</v>
      </c>
      <c r="AY205" s="310"/>
      <c r="AZ205" s="310"/>
      <c r="BA205" s="310"/>
      <c r="BB205" s="310"/>
      <c r="BC205" s="310"/>
      <c r="BD205" s="310"/>
      <c r="BE205" s="312"/>
      <c r="BF205" s="127" t="s">
        <v>56</v>
      </c>
      <c r="BG205" s="128" t="s">
        <v>349</v>
      </c>
      <c r="BH205" s="133"/>
    </row>
    <row r="206" s="77" customFormat="1" ht="15" hidden="1" spans="1:60">
      <c r="A206" s="301">
        <v>199</v>
      </c>
      <c r="B206" s="307" t="s">
        <v>19</v>
      </c>
      <c r="C206" s="307" t="s">
        <v>20</v>
      </c>
      <c r="D206" s="308">
        <v>2013</v>
      </c>
      <c r="E206" s="313" t="s">
        <v>354</v>
      </c>
      <c r="F206" s="308" t="s">
        <v>53</v>
      </c>
      <c r="G206" s="127" t="s">
        <v>56</v>
      </c>
      <c r="H206" s="310">
        <f t="shared" si="50"/>
        <v>400000</v>
      </c>
      <c r="I206" s="310">
        <f t="shared" si="51"/>
        <v>400000</v>
      </c>
      <c r="J206" s="310">
        <f t="shared" si="52"/>
        <v>400000</v>
      </c>
      <c r="K206" s="310"/>
      <c r="L206" s="310"/>
      <c r="M206" s="310">
        <v>400000</v>
      </c>
      <c r="N206" s="310"/>
      <c r="O206" s="310">
        <f t="shared" si="53"/>
        <v>0</v>
      </c>
      <c r="P206" s="310"/>
      <c r="Q206" s="310"/>
      <c r="R206" s="310"/>
      <c r="S206" s="310"/>
      <c r="T206" s="310">
        <f t="shared" si="54"/>
        <v>0</v>
      </c>
      <c r="U206" s="310"/>
      <c r="V206" s="310"/>
      <c r="W206" s="310"/>
      <c r="X206" s="310"/>
      <c r="Y206" s="310">
        <f t="shared" si="55"/>
        <v>0</v>
      </c>
      <c r="Z206" s="310"/>
      <c r="AA206" s="310"/>
      <c r="AB206" s="310"/>
      <c r="AC206" s="310"/>
      <c r="AD206" s="310"/>
      <c r="AE206" s="310"/>
      <c r="AF206" s="310"/>
      <c r="AG206" s="310">
        <f t="shared" si="56"/>
        <v>400000</v>
      </c>
      <c r="AH206" s="310">
        <f t="shared" si="57"/>
        <v>400000</v>
      </c>
      <c r="AI206" s="310">
        <f t="shared" si="58"/>
        <v>400000</v>
      </c>
      <c r="AJ206" s="310"/>
      <c r="AK206" s="310">
        <v>400000</v>
      </c>
      <c r="AL206" s="310"/>
      <c r="AM206" s="310"/>
      <c r="AN206" s="310">
        <f t="shared" si="59"/>
        <v>0</v>
      </c>
      <c r="AO206" s="310"/>
      <c r="AP206" s="310"/>
      <c r="AQ206" s="310"/>
      <c r="AR206" s="310"/>
      <c r="AS206" s="310">
        <f t="shared" si="60"/>
        <v>0</v>
      </c>
      <c r="AT206" s="310"/>
      <c r="AU206" s="310"/>
      <c r="AV206" s="310"/>
      <c r="AW206" s="310"/>
      <c r="AX206" s="310">
        <f t="shared" si="61"/>
        <v>0</v>
      </c>
      <c r="AY206" s="310"/>
      <c r="AZ206" s="310"/>
      <c r="BA206" s="310"/>
      <c r="BB206" s="310"/>
      <c r="BC206" s="310"/>
      <c r="BD206" s="310"/>
      <c r="BE206" s="312"/>
      <c r="BF206" s="127" t="s">
        <v>56</v>
      </c>
      <c r="BG206" s="128" t="s">
        <v>349</v>
      </c>
      <c r="BH206" s="133"/>
    </row>
    <row r="207" s="77" customFormat="1" ht="15" hidden="1" spans="1:60">
      <c r="A207" s="301">
        <v>200</v>
      </c>
      <c r="B207" s="307" t="s">
        <v>19</v>
      </c>
      <c r="C207" s="307" t="s">
        <v>20</v>
      </c>
      <c r="D207" s="308">
        <v>2013</v>
      </c>
      <c r="E207" s="313" t="s">
        <v>355</v>
      </c>
      <c r="F207" s="308" t="s">
        <v>53</v>
      </c>
      <c r="G207" s="127" t="s">
        <v>56</v>
      </c>
      <c r="H207" s="310">
        <f t="shared" si="50"/>
        <v>295000</v>
      </c>
      <c r="I207" s="310">
        <f t="shared" si="51"/>
        <v>295000</v>
      </c>
      <c r="J207" s="310">
        <f t="shared" si="52"/>
        <v>295000</v>
      </c>
      <c r="K207" s="310"/>
      <c r="L207" s="310"/>
      <c r="M207" s="310">
        <v>295000</v>
      </c>
      <c r="N207" s="310"/>
      <c r="O207" s="310">
        <f t="shared" si="53"/>
        <v>0</v>
      </c>
      <c r="P207" s="310"/>
      <c r="Q207" s="310"/>
      <c r="R207" s="310"/>
      <c r="S207" s="310"/>
      <c r="T207" s="310">
        <f t="shared" si="54"/>
        <v>0</v>
      </c>
      <c r="U207" s="310"/>
      <c r="V207" s="310"/>
      <c r="W207" s="310"/>
      <c r="X207" s="310"/>
      <c r="Y207" s="310">
        <f t="shared" si="55"/>
        <v>0</v>
      </c>
      <c r="Z207" s="310"/>
      <c r="AA207" s="310"/>
      <c r="AB207" s="310"/>
      <c r="AC207" s="310"/>
      <c r="AD207" s="310"/>
      <c r="AE207" s="310"/>
      <c r="AF207" s="310"/>
      <c r="AG207" s="310">
        <f t="shared" si="56"/>
        <v>295000</v>
      </c>
      <c r="AH207" s="310">
        <f t="shared" si="57"/>
        <v>295000</v>
      </c>
      <c r="AI207" s="310">
        <f t="shared" si="58"/>
        <v>295000</v>
      </c>
      <c r="AJ207" s="310"/>
      <c r="AK207" s="310"/>
      <c r="AL207" s="310">
        <v>295000</v>
      </c>
      <c r="AM207" s="310"/>
      <c r="AN207" s="310">
        <f t="shared" si="59"/>
        <v>0</v>
      </c>
      <c r="AO207" s="310"/>
      <c r="AP207" s="310"/>
      <c r="AQ207" s="310"/>
      <c r="AR207" s="310"/>
      <c r="AS207" s="310">
        <f t="shared" si="60"/>
        <v>0</v>
      </c>
      <c r="AT207" s="310"/>
      <c r="AU207" s="310"/>
      <c r="AV207" s="310"/>
      <c r="AW207" s="310"/>
      <c r="AX207" s="310">
        <f t="shared" si="61"/>
        <v>0</v>
      </c>
      <c r="AY207" s="310"/>
      <c r="AZ207" s="310"/>
      <c r="BA207" s="310"/>
      <c r="BB207" s="310"/>
      <c r="BC207" s="310"/>
      <c r="BD207" s="310"/>
      <c r="BE207" s="312"/>
      <c r="BF207" s="127" t="s">
        <v>56</v>
      </c>
      <c r="BG207" s="128" t="s">
        <v>349</v>
      </c>
      <c r="BH207" s="133"/>
    </row>
    <row r="208" s="77" customFormat="1" ht="15" hidden="1" spans="1:60">
      <c r="A208" s="301">
        <v>201</v>
      </c>
      <c r="B208" s="307" t="s">
        <v>19</v>
      </c>
      <c r="C208" s="307" t="s">
        <v>20</v>
      </c>
      <c r="D208" s="308">
        <v>2014</v>
      </c>
      <c r="E208" s="313" t="s">
        <v>356</v>
      </c>
      <c r="F208" s="308" t="s">
        <v>53</v>
      </c>
      <c r="G208" s="127" t="s">
        <v>53</v>
      </c>
      <c r="H208" s="310">
        <f t="shared" si="50"/>
        <v>240000</v>
      </c>
      <c r="I208" s="310">
        <f t="shared" si="51"/>
        <v>240000</v>
      </c>
      <c r="J208" s="310">
        <f t="shared" si="52"/>
        <v>240000</v>
      </c>
      <c r="K208" s="310"/>
      <c r="L208" s="310"/>
      <c r="M208" s="310">
        <v>240000</v>
      </c>
      <c r="N208" s="310"/>
      <c r="O208" s="310">
        <f t="shared" si="53"/>
        <v>0</v>
      </c>
      <c r="P208" s="310"/>
      <c r="Q208" s="310"/>
      <c r="R208" s="310"/>
      <c r="S208" s="310"/>
      <c r="T208" s="310">
        <f t="shared" si="54"/>
        <v>0</v>
      </c>
      <c r="U208" s="310"/>
      <c r="V208" s="310"/>
      <c r="W208" s="310"/>
      <c r="X208" s="310"/>
      <c r="Y208" s="310">
        <f t="shared" si="55"/>
        <v>0</v>
      </c>
      <c r="Z208" s="310"/>
      <c r="AA208" s="310"/>
      <c r="AB208" s="310"/>
      <c r="AC208" s="310"/>
      <c r="AD208" s="310"/>
      <c r="AE208" s="310"/>
      <c r="AF208" s="310"/>
      <c r="AG208" s="310">
        <f t="shared" si="56"/>
        <v>240000</v>
      </c>
      <c r="AH208" s="310">
        <f t="shared" si="57"/>
        <v>240000</v>
      </c>
      <c r="AI208" s="310">
        <f t="shared" si="58"/>
        <v>240000</v>
      </c>
      <c r="AJ208" s="310"/>
      <c r="AK208" s="310"/>
      <c r="AL208" s="310">
        <v>240000</v>
      </c>
      <c r="AM208" s="310"/>
      <c r="AN208" s="310">
        <f t="shared" si="59"/>
        <v>0</v>
      </c>
      <c r="AO208" s="310"/>
      <c r="AP208" s="310"/>
      <c r="AQ208" s="310"/>
      <c r="AR208" s="310"/>
      <c r="AS208" s="310">
        <f t="shared" si="60"/>
        <v>0</v>
      </c>
      <c r="AT208" s="310"/>
      <c r="AU208" s="310"/>
      <c r="AV208" s="310"/>
      <c r="AW208" s="310"/>
      <c r="AX208" s="310">
        <f t="shared" si="61"/>
        <v>0</v>
      </c>
      <c r="AY208" s="310"/>
      <c r="AZ208" s="310"/>
      <c r="BA208" s="310"/>
      <c r="BB208" s="310"/>
      <c r="BC208" s="310"/>
      <c r="BD208" s="310"/>
      <c r="BE208" s="312">
        <v>0</v>
      </c>
      <c r="BF208" s="127" t="s">
        <v>56</v>
      </c>
      <c r="BG208" s="128" t="s">
        <v>239</v>
      </c>
      <c r="BH208" s="133" t="s">
        <v>124</v>
      </c>
    </row>
    <row r="209" s="77" customFormat="1" ht="15" hidden="1" spans="1:60">
      <c r="A209" s="301">
        <v>202</v>
      </c>
      <c r="B209" s="307" t="s">
        <v>19</v>
      </c>
      <c r="C209" s="307" t="s">
        <v>20</v>
      </c>
      <c r="D209" s="308">
        <v>2014</v>
      </c>
      <c r="E209" s="313" t="s">
        <v>357</v>
      </c>
      <c r="F209" s="308" t="s">
        <v>53</v>
      </c>
      <c r="G209" s="127" t="s">
        <v>56</v>
      </c>
      <c r="H209" s="310">
        <f t="shared" si="50"/>
        <v>30000000</v>
      </c>
      <c r="I209" s="310">
        <f t="shared" si="51"/>
        <v>30000000</v>
      </c>
      <c r="J209" s="310">
        <f t="shared" si="52"/>
        <v>30000000</v>
      </c>
      <c r="K209" s="310">
        <v>30000000</v>
      </c>
      <c r="L209" s="310"/>
      <c r="M209" s="310"/>
      <c r="N209" s="310"/>
      <c r="O209" s="310">
        <f t="shared" si="53"/>
        <v>0</v>
      </c>
      <c r="P209" s="310"/>
      <c r="Q209" s="310"/>
      <c r="R209" s="310"/>
      <c r="S209" s="310"/>
      <c r="T209" s="310">
        <f t="shared" si="54"/>
        <v>0</v>
      </c>
      <c r="U209" s="310"/>
      <c r="V209" s="310"/>
      <c r="W209" s="310"/>
      <c r="X209" s="310"/>
      <c r="Y209" s="310">
        <f t="shared" si="55"/>
        <v>0</v>
      </c>
      <c r="Z209" s="310"/>
      <c r="AA209" s="310"/>
      <c r="AB209" s="310"/>
      <c r="AC209" s="310"/>
      <c r="AD209" s="310"/>
      <c r="AE209" s="310"/>
      <c r="AF209" s="310"/>
      <c r="AG209" s="310">
        <f t="shared" si="56"/>
        <v>30000000</v>
      </c>
      <c r="AH209" s="310">
        <f t="shared" si="57"/>
        <v>30000000</v>
      </c>
      <c r="AI209" s="310">
        <f t="shared" si="58"/>
        <v>30000000</v>
      </c>
      <c r="AJ209" s="310">
        <v>30000000</v>
      </c>
      <c r="AK209" s="310"/>
      <c r="AL209" s="310"/>
      <c r="AM209" s="310"/>
      <c r="AN209" s="310">
        <f t="shared" si="59"/>
        <v>0</v>
      </c>
      <c r="AO209" s="310"/>
      <c r="AP209" s="310"/>
      <c r="AQ209" s="310"/>
      <c r="AR209" s="310"/>
      <c r="AS209" s="310">
        <f t="shared" si="60"/>
        <v>0</v>
      </c>
      <c r="AT209" s="310"/>
      <c r="AU209" s="310"/>
      <c r="AV209" s="310"/>
      <c r="AW209" s="310"/>
      <c r="AX209" s="310">
        <f t="shared" si="61"/>
        <v>0</v>
      </c>
      <c r="AY209" s="310"/>
      <c r="AZ209" s="310"/>
      <c r="BA209" s="310"/>
      <c r="BB209" s="310"/>
      <c r="BC209" s="310"/>
      <c r="BD209" s="310"/>
      <c r="BE209" s="312"/>
      <c r="BF209" s="127" t="s">
        <v>56</v>
      </c>
      <c r="BG209" s="128" t="s">
        <v>358</v>
      </c>
      <c r="BH209" s="133"/>
    </row>
    <row r="210" s="77" customFormat="1" ht="15" hidden="1" spans="1:60">
      <c r="A210" s="301">
        <v>203</v>
      </c>
      <c r="B210" s="307" t="s">
        <v>19</v>
      </c>
      <c r="C210" s="307" t="s">
        <v>20</v>
      </c>
      <c r="D210" s="308">
        <v>2014</v>
      </c>
      <c r="E210" s="313" t="s">
        <v>359</v>
      </c>
      <c r="F210" s="308" t="s">
        <v>53</v>
      </c>
      <c r="G210" s="127" t="s">
        <v>56</v>
      </c>
      <c r="H210" s="310">
        <f t="shared" si="50"/>
        <v>21000000</v>
      </c>
      <c r="I210" s="310">
        <f t="shared" si="51"/>
        <v>21000000</v>
      </c>
      <c r="J210" s="310">
        <f t="shared" si="52"/>
        <v>21000000</v>
      </c>
      <c r="K210" s="310">
        <v>21000000</v>
      </c>
      <c r="L210" s="310"/>
      <c r="M210" s="310"/>
      <c r="N210" s="310"/>
      <c r="O210" s="310">
        <f t="shared" si="53"/>
        <v>0</v>
      </c>
      <c r="P210" s="310"/>
      <c r="Q210" s="310"/>
      <c r="R210" s="310"/>
      <c r="S210" s="310"/>
      <c r="T210" s="310">
        <f t="shared" si="54"/>
        <v>0</v>
      </c>
      <c r="U210" s="310"/>
      <c r="V210" s="310"/>
      <c r="W210" s="310"/>
      <c r="X210" s="310"/>
      <c r="Y210" s="310">
        <f t="shared" si="55"/>
        <v>0</v>
      </c>
      <c r="Z210" s="310"/>
      <c r="AA210" s="310"/>
      <c r="AB210" s="310"/>
      <c r="AC210" s="310"/>
      <c r="AD210" s="310"/>
      <c r="AE210" s="310"/>
      <c r="AF210" s="310"/>
      <c r="AG210" s="310">
        <f t="shared" si="56"/>
        <v>21000000</v>
      </c>
      <c r="AH210" s="310">
        <f t="shared" si="57"/>
        <v>21000000</v>
      </c>
      <c r="AI210" s="310">
        <f t="shared" si="58"/>
        <v>21000000</v>
      </c>
      <c r="AJ210" s="310">
        <v>21000000</v>
      </c>
      <c r="AK210" s="310"/>
      <c r="AL210" s="310"/>
      <c r="AM210" s="310"/>
      <c r="AN210" s="310">
        <f t="shared" si="59"/>
        <v>0</v>
      </c>
      <c r="AO210" s="310"/>
      <c r="AP210" s="310"/>
      <c r="AQ210" s="310"/>
      <c r="AR210" s="310"/>
      <c r="AS210" s="310">
        <f t="shared" si="60"/>
        <v>0</v>
      </c>
      <c r="AT210" s="310"/>
      <c r="AU210" s="310"/>
      <c r="AV210" s="310"/>
      <c r="AW210" s="310"/>
      <c r="AX210" s="310">
        <f t="shared" si="61"/>
        <v>0</v>
      </c>
      <c r="AY210" s="310"/>
      <c r="AZ210" s="310"/>
      <c r="BA210" s="310"/>
      <c r="BB210" s="310"/>
      <c r="BC210" s="310"/>
      <c r="BD210" s="310"/>
      <c r="BE210" s="312"/>
      <c r="BF210" s="127" t="s">
        <v>56</v>
      </c>
      <c r="BG210" s="128" t="s">
        <v>358</v>
      </c>
      <c r="BH210" s="133"/>
    </row>
    <row r="211" s="77" customFormat="1" ht="15" hidden="1" spans="1:60">
      <c r="A211" s="301">
        <v>204</v>
      </c>
      <c r="B211" s="307" t="s">
        <v>19</v>
      </c>
      <c r="C211" s="307" t="s">
        <v>20</v>
      </c>
      <c r="D211" s="308">
        <v>2014</v>
      </c>
      <c r="E211" s="313" t="s">
        <v>360</v>
      </c>
      <c r="F211" s="308" t="s">
        <v>53</v>
      </c>
      <c r="G211" s="127" t="s">
        <v>56</v>
      </c>
      <c r="H211" s="310">
        <f t="shared" si="50"/>
        <v>15000000</v>
      </c>
      <c r="I211" s="310">
        <f t="shared" si="51"/>
        <v>15000000</v>
      </c>
      <c r="J211" s="310">
        <f t="shared" si="52"/>
        <v>15000000</v>
      </c>
      <c r="K211" s="310"/>
      <c r="L211" s="310">
        <v>15000000</v>
      </c>
      <c r="M211" s="310"/>
      <c r="N211" s="310"/>
      <c r="O211" s="310">
        <f t="shared" si="53"/>
        <v>0</v>
      </c>
      <c r="P211" s="310"/>
      <c r="Q211" s="310"/>
      <c r="R211" s="310"/>
      <c r="S211" s="310"/>
      <c r="T211" s="310">
        <f t="shared" si="54"/>
        <v>0</v>
      </c>
      <c r="U211" s="310"/>
      <c r="V211" s="310"/>
      <c r="W211" s="310"/>
      <c r="X211" s="310"/>
      <c r="Y211" s="310">
        <f t="shared" si="55"/>
        <v>0</v>
      </c>
      <c r="Z211" s="310"/>
      <c r="AA211" s="310"/>
      <c r="AB211" s="310"/>
      <c r="AC211" s="310"/>
      <c r="AD211" s="310"/>
      <c r="AE211" s="310"/>
      <c r="AF211" s="310"/>
      <c r="AG211" s="310">
        <f t="shared" si="56"/>
        <v>15000000</v>
      </c>
      <c r="AH211" s="310">
        <f t="shared" si="57"/>
        <v>15000000</v>
      </c>
      <c r="AI211" s="310">
        <f t="shared" si="58"/>
        <v>15000000</v>
      </c>
      <c r="AJ211" s="310">
        <v>15000000</v>
      </c>
      <c r="AK211" s="310"/>
      <c r="AL211" s="310"/>
      <c r="AM211" s="310"/>
      <c r="AN211" s="310">
        <f t="shared" si="59"/>
        <v>0</v>
      </c>
      <c r="AO211" s="310"/>
      <c r="AP211" s="310"/>
      <c r="AQ211" s="310"/>
      <c r="AR211" s="310"/>
      <c r="AS211" s="310">
        <f t="shared" si="60"/>
        <v>0</v>
      </c>
      <c r="AT211" s="310"/>
      <c r="AU211" s="310"/>
      <c r="AV211" s="310"/>
      <c r="AW211" s="310"/>
      <c r="AX211" s="310">
        <f t="shared" si="61"/>
        <v>0</v>
      </c>
      <c r="AY211" s="310"/>
      <c r="AZ211" s="310"/>
      <c r="BA211" s="310"/>
      <c r="BB211" s="310"/>
      <c r="BC211" s="310"/>
      <c r="BD211" s="310"/>
      <c r="BE211" s="312"/>
      <c r="BF211" s="127" t="s">
        <v>56</v>
      </c>
      <c r="BG211" s="128" t="s">
        <v>358</v>
      </c>
      <c r="BH211" s="133"/>
    </row>
    <row r="212" s="77" customFormat="1" ht="15" hidden="1" spans="1:60">
      <c r="A212" s="301">
        <v>205</v>
      </c>
      <c r="B212" s="307" t="s">
        <v>19</v>
      </c>
      <c r="C212" s="307" t="s">
        <v>20</v>
      </c>
      <c r="D212" s="308">
        <v>2015</v>
      </c>
      <c r="E212" s="313" t="s">
        <v>361</v>
      </c>
      <c r="F212" s="308" t="s">
        <v>53</v>
      </c>
      <c r="G212" s="127" t="s">
        <v>56</v>
      </c>
      <c r="H212" s="310">
        <f t="shared" si="50"/>
        <v>278641.83</v>
      </c>
      <c r="I212" s="310">
        <f t="shared" si="51"/>
        <v>278641.83</v>
      </c>
      <c r="J212" s="310">
        <f t="shared" si="52"/>
        <v>278641.83</v>
      </c>
      <c r="K212" s="310"/>
      <c r="L212" s="310"/>
      <c r="M212" s="310"/>
      <c r="N212" s="310">
        <v>278641.83</v>
      </c>
      <c r="O212" s="310">
        <f t="shared" si="53"/>
        <v>0</v>
      </c>
      <c r="P212" s="310"/>
      <c r="Q212" s="310"/>
      <c r="R212" s="310"/>
      <c r="S212" s="310"/>
      <c r="T212" s="310">
        <f t="shared" si="54"/>
        <v>0</v>
      </c>
      <c r="U212" s="310"/>
      <c r="V212" s="310"/>
      <c r="W212" s="310"/>
      <c r="X212" s="310"/>
      <c r="Y212" s="310">
        <f t="shared" si="55"/>
        <v>0</v>
      </c>
      <c r="Z212" s="310"/>
      <c r="AA212" s="310"/>
      <c r="AB212" s="310"/>
      <c r="AC212" s="310"/>
      <c r="AD212" s="310"/>
      <c r="AE212" s="310"/>
      <c r="AF212" s="310"/>
      <c r="AG212" s="310">
        <f t="shared" si="56"/>
        <v>278641.83</v>
      </c>
      <c r="AH212" s="310">
        <f t="shared" si="57"/>
        <v>278641.83</v>
      </c>
      <c r="AI212" s="310">
        <f t="shared" si="58"/>
        <v>278641.83</v>
      </c>
      <c r="AJ212" s="310"/>
      <c r="AK212" s="310"/>
      <c r="AL212" s="310">
        <v>278641.83</v>
      </c>
      <c r="AM212" s="310"/>
      <c r="AN212" s="310">
        <f t="shared" si="59"/>
        <v>0</v>
      </c>
      <c r="AO212" s="310"/>
      <c r="AP212" s="310"/>
      <c r="AQ212" s="310"/>
      <c r="AR212" s="310"/>
      <c r="AS212" s="310">
        <f t="shared" si="60"/>
        <v>0</v>
      </c>
      <c r="AT212" s="310"/>
      <c r="AU212" s="310"/>
      <c r="AV212" s="310"/>
      <c r="AW212" s="310"/>
      <c r="AX212" s="310">
        <f t="shared" si="61"/>
        <v>0</v>
      </c>
      <c r="AY212" s="310"/>
      <c r="AZ212" s="310"/>
      <c r="BA212" s="310"/>
      <c r="BB212" s="310"/>
      <c r="BC212" s="310"/>
      <c r="BD212" s="310"/>
      <c r="BE212" s="312"/>
      <c r="BF212" s="127" t="s">
        <v>56</v>
      </c>
      <c r="BG212" s="184" t="s">
        <v>349</v>
      </c>
      <c r="BH212" s="133"/>
    </row>
    <row r="213" s="77" customFormat="1" ht="15" hidden="1" spans="1:60">
      <c r="A213" s="301">
        <v>206</v>
      </c>
      <c r="B213" s="307" t="s">
        <v>19</v>
      </c>
      <c r="C213" s="307" t="s">
        <v>20</v>
      </c>
      <c r="D213" s="308">
        <v>2015</v>
      </c>
      <c r="E213" s="313" t="s">
        <v>362</v>
      </c>
      <c r="F213" s="308" t="s">
        <v>53</v>
      </c>
      <c r="G213" s="127" t="s">
        <v>56</v>
      </c>
      <c r="H213" s="310">
        <f t="shared" si="50"/>
        <v>16000</v>
      </c>
      <c r="I213" s="310">
        <f t="shared" si="51"/>
        <v>16000</v>
      </c>
      <c r="J213" s="310">
        <f t="shared" si="52"/>
        <v>16000</v>
      </c>
      <c r="K213" s="310"/>
      <c r="L213" s="310"/>
      <c r="M213" s="310"/>
      <c r="N213" s="310">
        <v>16000</v>
      </c>
      <c r="O213" s="310">
        <f t="shared" si="53"/>
        <v>0</v>
      </c>
      <c r="P213" s="310"/>
      <c r="Q213" s="310"/>
      <c r="R213" s="310"/>
      <c r="S213" s="310"/>
      <c r="T213" s="310">
        <f t="shared" si="54"/>
        <v>0</v>
      </c>
      <c r="U213" s="310"/>
      <c r="V213" s="310"/>
      <c r="W213" s="310"/>
      <c r="X213" s="310"/>
      <c r="Y213" s="310">
        <f t="shared" si="55"/>
        <v>0</v>
      </c>
      <c r="Z213" s="310"/>
      <c r="AA213" s="310"/>
      <c r="AB213" s="310"/>
      <c r="AC213" s="310"/>
      <c r="AD213" s="310"/>
      <c r="AE213" s="310"/>
      <c r="AF213" s="310"/>
      <c r="AG213" s="310">
        <f t="shared" si="56"/>
        <v>16000</v>
      </c>
      <c r="AH213" s="310">
        <f t="shared" si="57"/>
        <v>16000</v>
      </c>
      <c r="AI213" s="310">
        <f t="shared" si="58"/>
        <v>16000</v>
      </c>
      <c r="AJ213" s="310"/>
      <c r="AK213" s="310"/>
      <c r="AL213" s="310"/>
      <c r="AM213" s="310">
        <v>16000</v>
      </c>
      <c r="AN213" s="310">
        <f t="shared" si="59"/>
        <v>0</v>
      </c>
      <c r="AO213" s="310"/>
      <c r="AP213" s="310"/>
      <c r="AQ213" s="310"/>
      <c r="AR213" s="310"/>
      <c r="AS213" s="310">
        <f t="shared" si="60"/>
        <v>0</v>
      </c>
      <c r="AT213" s="310"/>
      <c r="AU213" s="310"/>
      <c r="AV213" s="310"/>
      <c r="AW213" s="310"/>
      <c r="AX213" s="310">
        <f t="shared" si="61"/>
        <v>0</v>
      </c>
      <c r="AY213" s="310"/>
      <c r="AZ213" s="310"/>
      <c r="BA213" s="310"/>
      <c r="BB213" s="310"/>
      <c r="BC213" s="310"/>
      <c r="BD213" s="310"/>
      <c r="BE213" s="312"/>
      <c r="BF213" s="127" t="s">
        <v>56</v>
      </c>
      <c r="BG213" s="184" t="s">
        <v>349</v>
      </c>
      <c r="BH213" s="133"/>
    </row>
    <row r="214" s="77" customFormat="1" ht="15" hidden="1" spans="1:60">
      <c r="A214" s="301">
        <v>207</v>
      </c>
      <c r="B214" s="307" t="s">
        <v>19</v>
      </c>
      <c r="C214" s="307" t="s">
        <v>20</v>
      </c>
      <c r="D214" s="308">
        <v>2015</v>
      </c>
      <c r="E214" s="313" t="s">
        <v>363</v>
      </c>
      <c r="F214" s="308" t="s">
        <v>53</v>
      </c>
      <c r="G214" s="127" t="s">
        <v>56</v>
      </c>
      <c r="H214" s="310">
        <f t="shared" si="50"/>
        <v>5000000</v>
      </c>
      <c r="I214" s="310">
        <f t="shared" si="51"/>
        <v>5000000</v>
      </c>
      <c r="J214" s="310">
        <f t="shared" si="52"/>
        <v>0</v>
      </c>
      <c r="K214" s="310"/>
      <c r="L214" s="310"/>
      <c r="M214" s="310"/>
      <c r="N214" s="310"/>
      <c r="O214" s="310">
        <f t="shared" si="53"/>
        <v>0</v>
      </c>
      <c r="P214" s="310"/>
      <c r="Q214" s="310"/>
      <c r="R214" s="310"/>
      <c r="S214" s="310"/>
      <c r="T214" s="310">
        <f t="shared" si="54"/>
        <v>0</v>
      </c>
      <c r="U214" s="310"/>
      <c r="V214" s="310"/>
      <c r="W214" s="310"/>
      <c r="X214" s="310"/>
      <c r="Y214" s="310">
        <f t="shared" si="55"/>
        <v>5000000</v>
      </c>
      <c r="Z214" s="310"/>
      <c r="AA214" s="310">
        <v>5000000</v>
      </c>
      <c r="AB214" s="310"/>
      <c r="AC214" s="310"/>
      <c r="AD214" s="310"/>
      <c r="AE214" s="310"/>
      <c r="AF214" s="310"/>
      <c r="AG214" s="310">
        <f t="shared" si="56"/>
        <v>5000000</v>
      </c>
      <c r="AH214" s="310">
        <f t="shared" si="57"/>
        <v>5000000</v>
      </c>
      <c r="AI214" s="310">
        <f t="shared" si="58"/>
        <v>0</v>
      </c>
      <c r="AJ214" s="310"/>
      <c r="AK214" s="310"/>
      <c r="AL214" s="310"/>
      <c r="AM214" s="310"/>
      <c r="AN214" s="310">
        <f t="shared" si="59"/>
        <v>0</v>
      </c>
      <c r="AO214" s="310"/>
      <c r="AP214" s="310"/>
      <c r="AQ214" s="310"/>
      <c r="AR214" s="310"/>
      <c r="AS214" s="310">
        <f t="shared" si="60"/>
        <v>0</v>
      </c>
      <c r="AT214" s="310"/>
      <c r="AU214" s="310"/>
      <c r="AV214" s="310"/>
      <c r="AW214" s="310"/>
      <c r="AX214" s="310">
        <f t="shared" si="61"/>
        <v>5000000</v>
      </c>
      <c r="AY214" s="310"/>
      <c r="AZ214" s="310">
        <v>5000000</v>
      </c>
      <c r="BA214" s="310"/>
      <c r="BB214" s="310"/>
      <c r="BC214" s="310"/>
      <c r="BD214" s="310"/>
      <c r="BE214" s="312"/>
      <c r="BF214" s="127" t="s">
        <v>56</v>
      </c>
      <c r="BG214" s="184" t="s">
        <v>358</v>
      </c>
      <c r="BH214" s="330" t="s">
        <v>364</v>
      </c>
    </row>
    <row r="215" s="77" customFormat="1" ht="15" hidden="1" spans="1:60">
      <c r="A215" s="301">
        <v>208</v>
      </c>
      <c r="B215" s="307" t="s">
        <v>19</v>
      </c>
      <c r="C215" s="307" t="s">
        <v>20</v>
      </c>
      <c r="D215" s="308">
        <v>2015</v>
      </c>
      <c r="E215" s="313" t="s">
        <v>365</v>
      </c>
      <c r="F215" s="308" t="s">
        <v>53</v>
      </c>
      <c r="G215" s="127" t="s">
        <v>56</v>
      </c>
      <c r="H215" s="310">
        <f t="shared" si="50"/>
        <v>3000000</v>
      </c>
      <c r="I215" s="310">
        <f t="shared" si="51"/>
        <v>3000000</v>
      </c>
      <c r="J215" s="310">
        <f t="shared" si="52"/>
        <v>0</v>
      </c>
      <c r="K215" s="310"/>
      <c r="L215" s="310"/>
      <c r="M215" s="310"/>
      <c r="N215" s="310"/>
      <c r="O215" s="310">
        <f t="shared" si="53"/>
        <v>0</v>
      </c>
      <c r="P215" s="310"/>
      <c r="Q215" s="310"/>
      <c r="R215" s="310"/>
      <c r="S215" s="310"/>
      <c r="T215" s="310">
        <f t="shared" si="54"/>
        <v>0</v>
      </c>
      <c r="U215" s="310"/>
      <c r="V215" s="310"/>
      <c r="W215" s="310"/>
      <c r="X215" s="310"/>
      <c r="Y215" s="310">
        <f t="shared" si="55"/>
        <v>3000000</v>
      </c>
      <c r="Z215" s="310"/>
      <c r="AA215" s="310">
        <v>3000000</v>
      </c>
      <c r="AB215" s="310"/>
      <c r="AC215" s="310"/>
      <c r="AD215" s="310"/>
      <c r="AE215" s="310"/>
      <c r="AF215" s="310"/>
      <c r="AG215" s="310">
        <f t="shared" si="56"/>
        <v>3000000</v>
      </c>
      <c r="AH215" s="310">
        <f t="shared" si="57"/>
        <v>3000000</v>
      </c>
      <c r="AI215" s="310">
        <f t="shared" si="58"/>
        <v>0</v>
      </c>
      <c r="AJ215" s="310"/>
      <c r="AK215" s="310"/>
      <c r="AL215" s="310"/>
      <c r="AM215" s="310"/>
      <c r="AN215" s="310">
        <f t="shared" si="59"/>
        <v>0</v>
      </c>
      <c r="AO215" s="310"/>
      <c r="AP215" s="310"/>
      <c r="AQ215" s="310"/>
      <c r="AR215" s="310"/>
      <c r="AS215" s="310">
        <f t="shared" si="60"/>
        <v>0</v>
      </c>
      <c r="AT215" s="310"/>
      <c r="AU215" s="310"/>
      <c r="AV215" s="310"/>
      <c r="AW215" s="310"/>
      <c r="AX215" s="310">
        <f t="shared" si="61"/>
        <v>3000000</v>
      </c>
      <c r="AY215" s="310"/>
      <c r="AZ215" s="310">
        <v>3000000</v>
      </c>
      <c r="BA215" s="310"/>
      <c r="BB215" s="310"/>
      <c r="BC215" s="310"/>
      <c r="BD215" s="310"/>
      <c r="BE215" s="312"/>
      <c r="BF215" s="127" t="s">
        <v>56</v>
      </c>
      <c r="BG215" s="128" t="s">
        <v>358</v>
      </c>
      <c r="BH215" s="330" t="s">
        <v>364</v>
      </c>
    </row>
    <row r="216" s="77" customFormat="1" ht="15" hidden="1" spans="1:60">
      <c r="A216" s="301">
        <v>209</v>
      </c>
      <c r="B216" s="307" t="s">
        <v>19</v>
      </c>
      <c r="C216" s="307" t="s">
        <v>20</v>
      </c>
      <c r="D216" s="308">
        <v>2015</v>
      </c>
      <c r="E216" s="313" t="s">
        <v>366</v>
      </c>
      <c r="F216" s="308" t="s">
        <v>53</v>
      </c>
      <c r="G216" s="127" t="s">
        <v>56</v>
      </c>
      <c r="H216" s="310">
        <f t="shared" si="50"/>
        <v>4500000</v>
      </c>
      <c r="I216" s="310">
        <f t="shared" si="51"/>
        <v>4500000</v>
      </c>
      <c r="J216" s="310">
        <f t="shared" si="52"/>
        <v>0</v>
      </c>
      <c r="K216" s="310"/>
      <c r="L216" s="310"/>
      <c r="M216" s="310"/>
      <c r="N216" s="310"/>
      <c r="O216" s="310">
        <f t="shared" si="53"/>
        <v>0</v>
      </c>
      <c r="P216" s="310"/>
      <c r="Q216" s="310"/>
      <c r="R216" s="310"/>
      <c r="S216" s="310"/>
      <c r="T216" s="310">
        <f t="shared" si="54"/>
        <v>0</v>
      </c>
      <c r="U216" s="310"/>
      <c r="V216" s="310"/>
      <c r="W216" s="310"/>
      <c r="X216" s="310"/>
      <c r="Y216" s="310">
        <f t="shared" si="55"/>
        <v>4500000</v>
      </c>
      <c r="Z216" s="310"/>
      <c r="AA216" s="310">
        <v>4500000</v>
      </c>
      <c r="AB216" s="310"/>
      <c r="AC216" s="310"/>
      <c r="AD216" s="310"/>
      <c r="AE216" s="310"/>
      <c r="AF216" s="310"/>
      <c r="AG216" s="310">
        <f t="shared" si="56"/>
        <v>4500000</v>
      </c>
      <c r="AH216" s="310">
        <f t="shared" si="57"/>
        <v>4500000</v>
      </c>
      <c r="AI216" s="310">
        <f t="shared" si="58"/>
        <v>0</v>
      </c>
      <c r="AJ216" s="310"/>
      <c r="AK216" s="310"/>
      <c r="AL216" s="310"/>
      <c r="AM216" s="310"/>
      <c r="AN216" s="310">
        <f t="shared" si="59"/>
        <v>0</v>
      </c>
      <c r="AO216" s="310"/>
      <c r="AP216" s="310"/>
      <c r="AQ216" s="310"/>
      <c r="AR216" s="310"/>
      <c r="AS216" s="310">
        <f t="shared" si="60"/>
        <v>0</v>
      </c>
      <c r="AT216" s="310"/>
      <c r="AU216" s="310"/>
      <c r="AV216" s="310"/>
      <c r="AW216" s="310"/>
      <c r="AX216" s="310">
        <f t="shared" si="61"/>
        <v>4500000</v>
      </c>
      <c r="AY216" s="310"/>
      <c r="AZ216" s="310">
        <v>4500000</v>
      </c>
      <c r="BA216" s="310"/>
      <c r="BB216" s="310"/>
      <c r="BC216" s="310"/>
      <c r="BD216" s="310"/>
      <c r="BE216" s="312"/>
      <c r="BF216" s="127" t="s">
        <v>56</v>
      </c>
      <c r="BG216" s="128" t="s">
        <v>358</v>
      </c>
      <c r="BH216" s="330" t="s">
        <v>364</v>
      </c>
    </row>
    <row r="217" s="77" customFormat="1" ht="15" hidden="1" spans="1:60">
      <c r="A217" s="301">
        <v>210</v>
      </c>
      <c r="B217" s="307" t="s">
        <v>19</v>
      </c>
      <c r="C217" s="307" t="s">
        <v>20</v>
      </c>
      <c r="D217" s="308">
        <v>2015</v>
      </c>
      <c r="E217" s="313" t="s">
        <v>367</v>
      </c>
      <c r="F217" s="308" t="s">
        <v>53</v>
      </c>
      <c r="G217" s="127" t="s">
        <v>56</v>
      </c>
      <c r="H217" s="310">
        <f t="shared" si="50"/>
        <v>5000000</v>
      </c>
      <c r="I217" s="310">
        <f t="shared" si="51"/>
        <v>5000000</v>
      </c>
      <c r="J217" s="310">
        <f t="shared" si="52"/>
        <v>0</v>
      </c>
      <c r="K217" s="310"/>
      <c r="L217" s="310"/>
      <c r="M217" s="310"/>
      <c r="N217" s="310"/>
      <c r="O217" s="310">
        <f t="shared" si="53"/>
        <v>0</v>
      </c>
      <c r="P217" s="310"/>
      <c r="Q217" s="310"/>
      <c r="R217" s="310"/>
      <c r="S217" s="310"/>
      <c r="T217" s="310">
        <f t="shared" si="54"/>
        <v>0</v>
      </c>
      <c r="U217" s="310"/>
      <c r="V217" s="310"/>
      <c r="W217" s="310"/>
      <c r="X217" s="310"/>
      <c r="Y217" s="310">
        <f t="shared" si="55"/>
        <v>5000000</v>
      </c>
      <c r="Z217" s="310"/>
      <c r="AA217" s="310">
        <v>5000000</v>
      </c>
      <c r="AB217" s="310"/>
      <c r="AC217" s="310"/>
      <c r="AD217" s="310"/>
      <c r="AE217" s="310"/>
      <c r="AF217" s="310"/>
      <c r="AG217" s="310">
        <f t="shared" si="56"/>
        <v>5000000</v>
      </c>
      <c r="AH217" s="310">
        <f t="shared" si="57"/>
        <v>5000000</v>
      </c>
      <c r="AI217" s="310">
        <f t="shared" si="58"/>
        <v>0</v>
      </c>
      <c r="AJ217" s="310"/>
      <c r="AK217" s="310"/>
      <c r="AL217" s="310"/>
      <c r="AM217" s="310"/>
      <c r="AN217" s="310">
        <f t="shared" si="59"/>
        <v>0</v>
      </c>
      <c r="AO217" s="310"/>
      <c r="AP217" s="310"/>
      <c r="AQ217" s="310"/>
      <c r="AR217" s="310"/>
      <c r="AS217" s="310">
        <f t="shared" si="60"/>
        <v>0</v>
      </c>
      <c r="AT217" s="310"/>
      <c r="AU217" s="310"/>
      <c r="AV217" s="310"/>
      <c r="AW217" s="310"/>
      <c r="AX217" s="310">
        <f t="shared" si="61"/>
        <v>5000000</v>
      </c>
      <c r="AY217" s="310"/>
      <c r="AZ217" s="310">
        <v>5000000</v>
      </c>
      <c r="BA217" s="310"/>
      <c r="BB217" s="310"/>
      <c r="BC217" s="310"/>
      <c r="BD217" s="310"/>
      <c r="BE217" s="312"/>
      <c r="BF217" s="127" t="s">
        <v>56</v>
      </c>
      <c r="BG217" s="128" t="s">
        <v>358</v>
      </c>
      <c r="BH217" s="330" t="s">
        <v>364</v>
      </c>
    </row>
    <row r="218" s="77" customFormat="1" ht="15" hidden="1" spans="1:60">
      <c r="A218" s="301">
        <v>211</v>
      </c>
      <c r="B218" s="307" t="s">
        <v>19</v>
      </c>
      <c r="C218" s="307" t="s">
        <v>20</v>
      </c>
      <c r="D218" s="308">
        <v>2015</v>
      </c>
      <c r="E218" s="313" t="s">
        <v>368</v>
      </c>
      <c r="F218" s="308" t="s">
        <v>53</v>
      </c>
      <c r="G218" s="127" t="s">
        <v>56</v>
      </c>
      <c r="H218" s="310">
        <f t="shared" si="50"/>
        <v>11617300</v>
      </c>
      <c r="I218" s="310">
        <f t="shared" si="51"/>
        <v>11617300</v>
      </c>
      <c r="J218" s="310">
        <f t="shared" si="52"/>
        <v>0</v>
      </c>
      <c r="K218" s="310"/>
      <c r="L218" s="310"/>
      <c r="M218" s="310"/>
      <c r="N218" s="310"/>
      <c r="O218" s="310">
        <f t="shared" si="53"/>
        <v>0</v>
      </c>
      <c r="P218" s="310"/>
      <c r="Q218" s="310"/>
      <c r="R218" s="310"/>
      <c r="S218" s="310"/>
      <c r="T218" s="310">
        <f t="shared" si="54"/>
        <v>0</v>
      </c>
      <c r="U218" s="310"/>
      <c r="V218" s="310"/>
      <c r="W218" s="310"/>
      <c r="X218" s="310"/>
      <c r="Y218" s="310">
        <f t="shared" si="55"/>
        <v>11617300</v>
      </c>
      <c r="Z218" s="310"/>
      <c r="AA218" s="310">
        <v>11617300</v>
      </c>
      <c r="AB218" s="310"/>
      <c r="AC218" s="310"/>
      <c r="AD218" s="310"/>
      <c r="AE218" s="310"/>
      <c r="AF218" s="310"/>
      <c r="AG218" s="310">
        <f t="shared" si="56"/>
        <v>11617300</v>
      </c>
      <c r="AH218" s="310">
        <f t="shared" si="57"/>
        <v>11617300</v>
      </c>
      <c r="AI218" s="310">
        <f t="shared" si="58"/>
        <v>0</v>
      </c>
      <c r="AJ218" s="310"/>
      <c r="AK218" s="310"/>
      <c r="AL218" s="310"/>
      <c r="AM218" s="310"/>
      <c r="AN218" s="310">
        <f t="shared" si="59"/>
        <v>0</v>
      </c>
      <c r="AO218" s="310"/>
      <c r="AP218" s="310"/>
      <c r="AQ218" s="310"/>
      <c r="AR218" s="310"/>
      <c r="AS218" s="310">
        <f t="shared" si="60"/>
        <v>0</v>
      </c>
      <c r="AT218" s="310"/>
      <c r="AU218" s="310"/>
      <c r="AV218" s="310"/>
      <c r="AW218" s="310"/>
      <c r="AX218" s="310">
        <f t="shared" si="61"/>
        <v>11617300</v>
      </c>
      <c r="AY218" s="310"/>
      <c r="AZ218" s="310">
        <v>11617300</v>
      </c>
      <c r="BA218" s="310"/>
      <c r="BB218" s="310"/>
      <c r="BC218" s="310"/>
      <c r="BD218" s="310"/>
      <c r="BE218" s="312"/>
      <c r="BF218" s="127" t="s">
        <v>56</v>
      </c>
      <c r="BG218" s="128" t="s">
        <v>358</v>
      </c>
      <c r="BH218" s="345" t="s">
        <v>364</v>
      </c>
    </row>
    <row r="219" s="77" customFormat="1" ht="15" hidden="1" spans="1:60">
      <c r="A219" s="301">
        <v>212</v>
      </c>
      <c r="B219" s="307" t="s">
        <v>19</v>
      </c>
      <c r="C219" s="307" t="s">
        <v>20</v>
      </c>
      <c r="D219" s="308">
        <v>2015</v>
      </c>
      <c r="E219" s="313" t="s">
        <v>369</v>
      </c>
      <c r="F219" s="308" t="s">
        <v>53</v>
      </c>
      <c r="G219" s="127" t="s">
        <v>53</v>
      </c>
      <c r="H219" s="310">
        <f t="shared" si="50"/>
        <v>5000000</v>
      </c>
      <c r="I219" s="310">
        <f t="shared" si="51"/>
        <v>5000000</v>
      </c>
      <c r="J219" s="310">
        <f t="shared" si="52"/>
        <v>0</v>
      </c>
      <c r="K219" s="310"/>
      <c r="L219" s="310"/>
      <c r="M219" s="310"/>
      <c r="N219" s="310"/>
      <c r="O219" s="310">
        <f t="shared" si="53"/>
        <v>0</v>
      </c>
      <c r="P219" s="310"/>
      <c r="Q219" s="310"/>
      <c r="R219" s="310"/>
      <c r="S219" s="310"/>
      <c r="T219" s="310">
        <f t="shared" si="54"/>
        <v>0</v>
      </c>
      <c r="U219" s="310"/>
      <c r="V219" s="310"/>
      <c r="W219" s="310"/>
      <c r="X219" s="310"/>
      <c r="Y219" s="310">
        <f t="shared" si="55"/>
        <v>5000000</v>
      </c>
      <c r="Z219" s="310"/>
      <c r="AA219" s="310">
        <v>5000000</v>
      </c>
      <c r="AB219" s="310"/>
      <c r="AC219" s="310"/>
      <c r="AD219" s="310"/>
      <c r="AE219" s="310"/>
      <c r="AF219" s="310"/>
      <c r="AG219" s="310">
        <f t="shared" si="56"/>
        <v>5000000</v>
      </c>
      <c r="AH219" s="310">
        <f t="shared" si="57"/>
        <v>5000000</v>
      </c>
      <c r="AI219" s="310">
        <f t="shared" si="58"/>
        <v>0</v>
      </c>
      <c r="AJ219" s="310"/>
      <c r="AK219" s="310"/>
      <c r="AL219" s="310"/>
      <c r="AM219" s="310"/>
      <c r="AN219" s="310">
        <f t="shared" si="59"/>
        <v>0</v>
      </c>
      <c r="AO219" s="310"/>
      <c r="AP219" s="310"/>
      <c r="AQ219" s="310"/>
      <c r="AR219" s="310"/>
      <c r="AS219" s="310">
        <f t="shared" si="60"/>
        <v>0</v>
      </c>
      <c r="AT219" s="310"/>
      <c r="AU219" s="310"/>
      <c r="AV219" s="310"/>
      <c r="AW219" s="310"/>
      <c r="AX219" s="310">
        <f t="shared" si="61"/>
        <v>5000000</v>
      </c>
      <c r="AY219" s="310"/>
      <c r="AZ219" s="310">
        <v>5000000</v>
      </c>
      <c r="BA219" s="310"/>
      <c r="BB219" s="310"/>
      <c r="BC219" s="310"/>
      <c r="BD219" s="310"/>
      <c r="BE219" s="312">
        <v>0</v>
      </c>
      <c r="BF219" s="127" t="s">
        <v>56</v>
      </c>
      <c r="BG219" s="128" t="s">
        <v>370</v>
      </c>
      <c r="BH219" s="330" t="s">
        <v>371</v>
      </c>
    </row>
    <row r="220" s="77" customFormat="1" ht="15" hidden="1" spans="1:60">
      <c r="A220" s="301">
        <v>213</v>
      </c>
      <c r="B220" s="307" t="s">
        <v>19</v>
      </c>
      <c r="C220" s="307" t="s">
        <v>20</v>
      </c>
      <c r="D220" s="308">
        <v>2015</v>
      </c>
      <c r="E220" s="313" t="s">
        <v>372</v>
      </c>
      <c r="F220" s="308" t="s">
        <v>53</v>
      </c>
      <c r="G220" s="127" t="s">
        <v>56</v>
      </c>
      <c r="H220" s="310">
        <f t="shared" si="50"/>
        <v>16500000</v>
      </c>
      <c r="I220" s="310">
        <f t="shared" si="51"/>
        <v>16500000</v>
      </c>
      <c r="J220" s="310">
        <f t="shared" si="52"/>
        <v>0</v>
      </c>
      <c r="K220" s="310"/>
      <c r="L220" s="310"/>
      <c r="M220" s="310"/>
      <c r="N220" s="310"/>
      <c r="O220" s="310">
        <f t="shared" si="53"/>
        <v>0</v>
      </c>
      <c r="P220" s="310"/>
      <c r="Q220" s="310"/>
      <c r="R220" s="310"/>
      <c r="S220" s="310"/>
      <c r="T220" s="310">
        <f t="shared" si="54"/>
        <v>0</v>
      </c>
      <c r="U220" s="310"/>
      <c r="V220" s="310"/>
      <c r="W220" s="310"/>
      <c r="X220" s="310"/>
      <c r="Y220" s="310">
        <f t="shared" si="55"/>
        <v>16500000</v>
      </c>
      <c r="Z220" s="310"/>
      <c r="AA220" s="310">
        <v>16500000</v>
      </c>
      <c r="AB220" s="310"/>
      <c r="AC220" s="310"/>
      <c r="AD220" s="310"/>
      <c r="AE220" s="310"/>
      <c r="AF220" s="310"/>
      <c r="AG220" s="310">
        <f t="shared" si="56"/>
        <v>16500000</v>
      </c>
      <c r="AH220" s="310">
        <f t="shared" si="57"/>
        <v>16500000</v>
      </c>
      <c r="AI220" s="310">
        <f t="shared" si="58"/>
        <v>0</v>
      </c>
      <c r="AJ220" s="310"/>
      <c r="AK220" s="310"/>
      <c r="AL220" s="310"/>
      <c r="AM220" s="310"/>
      <c r="AN220" s="310">
        <f t="shared" si="59"/>
        <v>0</v>
      </c>
      <c r="AO220" s="310"/>
      <c r="AP220" s="310"/>
      <c r="AQ220" s="310"/>
      <c r="AR220" s="310"/>
      <c r="AS220" s="310">
        <f t="shared" si="60"/>
        <v>0</v>
      </c>
      <c r="AT220" s="310"/>
      <c r="AU220" s="310"/>
      <c r="AV220" s="310"/>
      <c r="AW220" s="310"/>
      <c r="AX220" s="310">
        <f t="shared" si="61"/>
        <v>16500000</v>
      </c>
      <c r="AY220" s="310"/>
      <c r="AZ220" s="310">
        <v>16500000</v>
      </c>
      <c r="BA220" s="310"/>
      <c r="BB220" s="310"/>
      <c r="BC220" s="310"/>
      <c r="BD220" s="310"/>
      <c r="BE220" s="312"/>
      <c r="BF220" s="127" t="s">
        <v>56</v>
      </c>
      <c r="BG220" s="128" t="s">
        <v>358</v>
      </c>
      <c r="BH220" s="330" t="s">
        <v>364</v>
      </c>
    </row>
    <row r="221" s="77" customFormat="1" ht="15" hidden="1" spans="1:60">
      <c r="A221" s="301">
        <v>214</v>
      </c>
      <c r="B221" s="307" t="s">
        <v>19</v>
      </c>
      <c r="C221" s="307" t="s">
        <v>20</v>
      </c>
      <c r="D221" s="308">
        <v>2015</v>
      </c>
      <c r="E221" s="313" t="s">
        <v>373</v>
      </c>
      <c r="F221" s="308" t="s">
        <v>53</v>
      </c>
      <c r="G221" s="127" t="s">
        <v>56</v>
      </c>
      <c r="H221" s="310">
        <f t="shared" si="50"/>
        <v>197300</v>
      </c>
      <c r="I221" s="310">
        <f t="shared" si="51"/>
        <v>197300</v>
      </c>
      <c r="J221" s="310">
        <f t="shared" si="52"/>
        <v>197300</v>
      </c>
      <c r="K221" s="310"/>
      <c r="L221" s="310"/>
      <c r="M221" s="310"/>
      <c r="N221" s="310">
        <v>197300</v>
      </c>
      <c r="O221" s="310">
        <f t="shared" si="53"/>
        <v>0</v>
      </c>
      <c r="P221" s="310"/>
      <c r="Q221" s="310"/>
      <c r="R221" s="310"/>
      <c r="S221" s="310"/>
      <c r="T221" s="310">
        <f t="shared" si="54"/>
        <v>0</v>
      </c>
      <c r="U221" s="310"/>
      <c r="V221" s="310"/>
      <c r="W221" s="310"/>
      <c r="X221" s="310"/>
      <c r="Y221" s="310">
        <f t="shared" si="55"/>
        <v>0</v>
      </c>
      <c r="Z221" s="310"/>
      <c r="AA221" s="310"/>
      <c r="AB221" s="310"/>
      <c r="AC221" s="310"/>
      <c r="AD221" s="310"/>
      <c r="AE221" s="310"/>
      <c r="AF221" s="310"/>
      <c r="AG221" s="310">
        <f t="shared" si="56"/>
        <v>197300</v>
      </c>
      <c r="AH221" s="310">
        <f t="shared" si="57"/>
        <v>197300</v>
      </c>
      <c r="AI221" s="310">
        <f t="shared" si="58"/>
        <v>197300</v>
      </c>
      <c r="AJ221" s="310"/>
      <c r="AK221" s="310"/>
      <c r="AL221" s="310">
        <v>197300</v>
      </c>
      <c r="AM221" s="310"/>
      <c r="AN221" s="310">
        <f t="shared" si="59"/>
        <v>0</v>
      </c>
      <c r="AO221" s="310"/>
      <c r="AP221" s="310"/>
      <c r="AQ221" s="310"/>
      <c r="AR221" s="310"/>
      <c r="AS221" s="310">
        <f t="shared" si="60"/>
        <v>0</v>
      </c>
      <c r="AT221" s="310"/>
      <c r="AU221" s="310"/>
      <c r="AV221" s="310"/>
      <c r="AW221" s="310"/>
      <c r="AX221" s="310">
        <f t="shared" si="61"/>
        <v>0</v>
      </c>
      <c r="AY221" s="310"/>
      <c r="AZ221" s="310"/>
      <c r="BA221" s="310"/>
      <c r="BB221" s="310"/>
      <c r="BC221" s="310"/>
      <c r="BD221" s="310"/>
      <c r="BE221" s="312"/>
      <c r="BF221" s="127" t="s">
        <v>56</v>
      </c>
      <c r="BG221" s="184" t="s">
        <v>349</v>
      </c>
      <c r="BH221" s="133"/>
    </row>
    <row r="222" s="77" customFormat="1" ht="15" hidden="1" spans="1:60">
      <c r="A222" s="301">
        <v>215</v>
      </c>
      <c r="B222" s="307" t="s">
        <v>19</v>
      </c>
      <c r="C222" s="307" t="s">
        <v>20</v>
      </c>
      <c r="D222" s="308">
        <v>2015</v>
      </c>
      <c r="E222" s="313" t="s">
        <v>374</v>
      </c>
      <c r="F222" s="308" t="s">
        <v>53</v>
      </c>
      <c r="G222" s="127" t="s">
        <v>53</v>
      </c>
      <c r="H222" s="310">
        <f t="shared" si="50"/>
        <v>288000</v>
      </c>
      <c r="I222" s="310">
        <f t="shared" si="51"/>
        <v>288000</v>
      </c>
      <c r="J222" s="310">
        <f t="shared" si="52"/>
        <v>288000</v>
      </c>
      <c r="K222" s="310"/>
      <c r="L222" s="310"/>
      <c r="M222" s="310"/>
      <c r="N222" s="310">
        <v>288000</v>
      </c>
      <c r="O222" s="310">
        <f t="shared" si="53"/>
        <v>0</v>
      </c>
      <c r="P222" s="310"/>
      <c r="Q222" s="310"/>
      <c r="R222" s="310"/>
      <c r="S222" s="310"/>
      <c r="T222" s="310">
        <f t="shared" si="54"/>
        <v>0</v>
      </c>
      <c r="U222" s="310"/>
      <c r="V222" s="310"/>
      <c r="W222" s="310"/>
      <c r="X222" s="310"/>
      <c r="Y222" s="310">
        <f t="shared" si="55"/>
        <v>0</v>
      </c>
      <c r="Z222" s="310"/>
      <c r="AA222" s="310"/>
      <c r="AB222" s="310"/>
      <c r="AC222" s="310"/>
      <c r="AD222" s="310"/>
      <c r="AE222" s="310"/>
      <c r="AF222" s="310"/>
      <c r="AG222" s="310">
        <f t="shared" si="56"/>
        <v>288000</v>
      </c>
      <c r="AH222" s="310">
        <f t="shared" si="57"/>
        <v>288000</v>
      </c>
      <c r="AI222" s="310">
        <f t="shared" si="58"/>
        <v>288000</v>
      </c>
      <c r="AJ222" s="310"/>
      <c r="AK222" s="310"/>
      <c r="AL222" s="310">
        <v>288000</v>
      </c>
      <c r="AM222" s="310"/>
      <c r="AN222" s="310">
        <f t="shared" si="59"/>
        <v>0</v>
      </c>
      <c r="AO222" s="310"/>
      <c r="AP222" s="310"/>
      <c r="AQ222" s="310"/>
      <c r="AR222" s="310"/>
      <c r="AS222" s="310">
        <f t="shared" si="60"/>
        <v>0</v>
      </c>
      <c r="AT222" s="310"/>
      <c r="AU222" s="310"/>
      <c r="AV222" s="310"/>
      <c r="AW222" s="310"/>
      <c r="AX222" s="310">
        <f t="shared" si="61"/>
        <v>0</v>
      </c>
      <c r="AY222" s="310"/>
      <c r="AZ222" s="310"/>
      <c r="BA222" s="310"/>
      <c r="BB222" s="310"/>
      <c r="BC222" s="310"/>
      <c r="BD222" s="310"/>
      <c r="BE222" s="312"/>
      <c r="BF222" s="127" t="s">
        <v>56</v>
      </c>
      <c r="BG222" s="128" t="s">
        <v>239</v>
      </c>
      <c r="BH222" s="133" t="s">
        <v>375</v>
      </c>
    </row>
    <row r="223" s="77" customFormat="1" ht="15" hidden="1" spans="1:60">
      <c r="A223" s="301">
        <v>216</v>
      </c>
      <c r="B223" s="307" t="s">
        <v>19</v>
      </c>
      <c r="C223" s="307" t="s">
        <v>20</v>
      </c>
      <c r="D223" s="308">
        <v>2015</v>
      </c>
      <c r="E223" s="313" t="s">
        <v>376</v>
      </c>
      <c r="F223" s="308" t="s">
        <v>53</v>
      </c>
      <c r="G223" s="127" t="s">
        <v>56</v>
      </c>
      <c r="H223" s="310">
        <f t="shared" si="50"/>
        <v>100000</v>
      </c>
      <c r="I223" s="310">
        <f t="shared" si="51"/>
        <v>100000</v>
      </c>
      <c r="J223" s="310">
        <f t="shared" si="52"/>
        <v>100000</v>
      </c>
      <c r="K223" s="310"/>
      <c r="L223" s="310"/>
      <c r="M223" s="310"/>
      <c r="N223" s="310">
        <v>100000</v>
      </c>
      <c r="O223" s="310">
        <f t="shared" si="53"/>
        <v>0</v>
      </c>
      <c r="P223" s="310"/>
      <c r="Q223" s="310"/>
      <c r="R223" s="310"/>
      <c r="S223" s="310"/>
      <c r="T223" s="310">
        <f t="shared" si="54"/>
        <v>0</v>
      </c>
      <c r="U223" s="310"/>
      <c r="V223" s="310"/>
      <c r="W223" s="310"/>
      <c r="X223" s="310"/>
      <c r="Y223" s="310">
        <f t="shared" si="55"/>
        <v>0</v>
      </c>
      <c r="Z223" s="310"/>
      <c r="AA223" s="310"/>
      <c r="AB223" s="310"/>
      <c r="AC223" s="310"/>
      <c r="AD223" s="310"/>
      <c r="AE223" s="310"/>
      <c r="AF223" s="310"/>
      <c r="AG223" s="310">
        <f t="shared" si="56"/>
        <v>100000</v>
      </c>
      <c r="AH223" s="310">
        <f t="shared" si="57"/>
        <v>100000</v>
      </c>
      <c r="AI223" s="310">
        <f t="shared" si="58"/>
        <v>100000</v>
      </c>
      <c r="AJ223" s="310"/>
      <c r="AK223" s="310"/>
      <c r="AL223" s="310">
        <v>100000</v>
      </c>
      <c r="AM223" s="310"/>
      <c r="AN223" s="310">
        <f t="shared" si="59"/>
        <v>0</v>
      </c>
      <c r="AO223" s="310"/>
      <c r="AP223" s="310"/>
      <c r="AQ223" s="310"/>
      <c r="AR223" s="310"/>
      <c r="AS223" s="310">
        <f t="shared" si="60"/>
        <v>0</v>
      </c>
      <c r="AT223" s="310"/>
      <c r="AU223" s="310"/>
      <c r="AV223" s="310"/>
      <c r="AW223" s="310"/>
      <c r="AX223" s="310">
        <f t="shared" si="61"/>
        <v>0</v>
      </c>
      <c r="AY223" s="310"/>
      <c r="AZ223" s="310"/>
      <c r="BA223" s="310"/>
      <c r="BB223" s="310"/>
      <c r="BC223" s="310"/>
      <c r="BD223" s="310"/>
      <c r="BE223" s="312"/>
      <c r="BF223" s="127" t="s">
        <v>56</v>
      </c>
      <c r="BG223" s="184" t="s">
        <v>377</v>
      </c>
      <c r="BH223" s="330" t="s">
        <v>378</v>
      </c>
    </row>
    <row r="224" s="273" customFormat="1" ht="15" hidden="1" spans="1:60">
      <c r="A224" s="301">
        <v>217</v>
      </c>
      <c r="B224" s="334" t="s">
        <v>19</v>
      </c>
      <c r="C224" s="334" t="s">
        <v>20</v>
      </c>
      <c r="D224" s="335">
        <v>2016</v>
      </c>
      <c r="E224" s="340" t="s">
        <v>379</v>
      </c>
      <c r="F224" s="335" t="s">
        <v>53</v>
      </c>
      <c r="G224" s="146" t="s">
        <v>53</v>
      </c>
      <c r="H224" s="337">
        <f t="shared" ref="H224:H248" si="62">I224+AF224</f>
        <v>2000000</v>
      </c>
      <c r="I224" s="337">
        <f t="shared" ref="I224:I248" si="63">O224+J224+T224+Y224+AE224+AC224+AD224</f>
        <v>2000000</v>
      </c>
      <c r="J224" s="337">
        <f t="shared" ref="J224:J248" si="64">N224+M224+L224+K224</f>
        <v>2000000</v>
      </c>
      <c r="K224" s="337">
        <v>2000000</v>
      </c>
      <c r="L224" s="337"/>
      <c r="M224" s="337"/>
      <c r="N224" s="337"/>
      <c r="O224" s="337">
        <f t="shared" ref="O224:O248" si="65">S224+R224+Q224+P224</f>
        <v>0</v>
      </c>
      <c r="P224" s="337"/>
      <c r="Q224" s="337"/>
      <c r="R224" s="337"/>
      <c r="S224" s="337"/>
      <c r="T224" s="337">
        <f t="shared" ref="T224:T248" si="66">U224+V224+W224+X224</f>
        <v>0</v>
      </c>
      <c r="U224" s="337"/>
      <c r="V224" s="337"/>
      <c r="W224" s="337"/>
      <c r="X224" s="337"/>
      <c r="Y224" s="337">
        <f t="shared" ref="Y224:Y248" si="67">AA224+Z224+AB224</f>
        <v>0</v>
      </c>
      <c r="Z224" s="337"/>
      <c r="AA224" s="337"/>
      <c r="AB224" s="337"/>
      <c r="AC224" s="337"/>
      <c r="AD224" s="337"/>
      <c r="AE224" s="337"/>
      <c r="AF224" s="337"/>
      <c r="AG224" s="337">
        <f t="shared" ref="AG224:AG248" si="68">AH224+BE224</f>
        <v>2000000</v>
      </c>
      <c r="AH224" s="337">
        <f t="shared" ref="AH224:AH248" si="69">AN224+AI224+AS224+AX224+BD224+BB224+BC224</f>
        <v>2000000</v>
      </c>
      <c r="AI224" s="337">
        <f t="shared" ref="AI224:AI248" si="70">AM224+AL224+AK224+AJ224</f>
        <v>2000000</v>
      </c>
      <c r="AJ224" s="337">
        <v>2000000</v>
      </c>
      <c r="AK224" s="337"/>
      <c r="AL224" s="337"/>
      <c r="AM224" s="337"/>
      <c r="AN224" s="337">
        <f t="shared" ref="AN224:AN248" si="71">AR224+AQ224+AP224+AO224</f>
        <v>0</v>
      </c>
      <c r="AO224" s="337"/>
      <c r="AP224" s="337"/>
      <c r="AQ224" s="337"/>
      <c r="AR224" s="337"/>
      <c r="AS224" s="337">
        <f t="shared" ref="AS224:AS248" si="72">AW224+AV224+AU224+AT224</f>
        <v>0</v>
      </c>
      <c r="AT224" s="337"/>
      <c r="AU224" s="337"/>
      <c r="AV224" s="337"/>
      <c r="AW224" s="337"/>
      <c r="AX224" s="337">
        <f t="shared" ref="AX224:AX248" si="73">AZ224+AY224+BA224</f>
        <v>0</v>
      </c>
      <c r="AY224" s="337"/>
      <c r="AZ224" s="337"/>
      <c r="BA224" s="337"/>
      <c r="BB224" s="337"/>
      <c r="BC224" s="337"/>
      <c r="BD224" s="337"/>
      <c r="BE224" s="338">
        <v>0</v>
      </c>
      <c r="BF224" s="146" t="s">
        <v>56</v>
      </c>
      <c r="BG224" s="346" t="s">
        <v>380</v>
      </c>
      <c r="BH224" s="347" t="s">
        <v>381</v>
      </c>
    </row>
    <row r="225" s="77" customFormat="1" ht="15" hidden="1" spans="1:60">
      <c r="A225" s="301">
        <v>218</v>
      </c>
      <c r="B225" s="307" t="s">
        <v>19</v>
      </c>
      <c r="C225" s="307" t="s">
        <v>20</v>
      </c>
      <c r="D225" s="308">
        <v>2016</v>
      </c>
      <c r="E225" s="313" t="s">
        <v>382</v>
      </c>
      <c r="F225" s="308" t="s">
        <v>53</v>
      </c>
      <c r="G225" s="127" t="s">
        <v>56</v>
      </c>
      <c r="H225" s="310">
        <f t="shared" si="62"/>
        <v>37102717.65</v>
      </c>
      <c r="I225" s="310">
        <f t="shared" si="63"/>
        <v>37102717.65</v>
      </c>
      <c r="J225" s="310">
        <f t="shared" si="64"/>
        <v>0</v>
      </c>
      <c r="K225" s="310"/>
      <c r="L225" s="310"/>
      <c r="M225" s="310"/>
      <c r="N225" s="310"/>
      <c r="O225" s="310">
        <f t="shared" si="65"/>
        <v>37102717.65</v>
      </c>
      <c r="P225" s="310"/>
      <c r="Q225" s="310">
        <v>7748000</v>
      </c>
      <c r="R225" s="310">
        <v>29354717.65</v>
      </c>
      <c r="S225" s="310"/>
      <c r="T225" s="310">
        <f t="shared" si="66"/>
        <v>0</v>
      </c>
      <c r="U225" s="310"/>
      <c r="V225" s="310"/>
      <c r="W225" s="310"/>
      <c r="X225" s="310"/>
      <c r="Y225" s="310">
        <f t="shared" si="67"/>
        <v>0</v>
      </c>
      <c r="Z225" s="310"/>
      <c r="AA225" s="310"/>
      <c r="AB225" s="310"/>
      <c r="AC225" s="310"/>
      <c r="AD225" s="310"/>
      <c r="AE225" s="310"/>
      <c r="AF225" s="310"/>
      <c r="AG225" s="310">
        <f t="shared" si="68"/>
        <v>37102717.65</v>
      </c>
      <c r="AH225" s="310">
        <f t="shared" si="69"/>
        <v>37102717.65</v>
      </c>
      <c r="AI225" s="310">
        <f t="shared" si="70"/>
        <v>0</v>
      </c>
      <c r="AJ225" s="310"/>
      <c r="AK225" s="310"/>
      <c r="AL225" s="310"/>
      <c r="AM225" s="310"/>
      <c r="AN225" s="310">
        <f t="shared" si="71"/>
        <v>37102717.65</v>
      </c>
      <c r="AO225" s="310"/>
      <c r="AP225" s="310">
        <v>7748000</v>
      </c>
      <c r="AQ225" s="310">
        <v>29354717.65</v>
      </c>
      <c r="AR225" s="310"/>
      <c r="AS225" s="310">
        <f t="shared" si="72"/>
        <v>0</v>
      </c>
      <c r="AT225" s="310"/>
      <c r="AU225" s="310"/>
      <c r="AV225" s="310"/>
      <c r="AW225" s="310"/>
      <c r="AX225" s="310">
        <f t="shared" si="73"/>
        <v>0</v>
      </c>
      <c r="AY225" s="310"/>
      <c r="AZ225" s="310"/>
      <c r="BA225" s="310"/>
      <c r="BB225" s="310"/>
      <c r="BC225" s="310"/>
      <c r="BD225" s="310"/>
      <c r="BE225" s="312"/>
      <c r="BF225" s="127" t="s">
        <v>56</v>
      </c>
      <c r="BG225" s="184" t="s">
        <v>383</v>
      </c>
      <c r="BH225" s="330" t="s">
        <v>279</v>
      </c>
    </row>
    <row r="226" s="77" customFormat="1" ht="15" hidden="1" spans="1:60">
      <c r="A226" s="301">
        <v>219</v>
      </c>
      <c r="B226" s="307" t="s">
        <v>19</v>
      </c>
      <c r="C226" s="307" t="s">
        <v>20</v>
      </c>
      <c r="D226" s="308">
        <v>2016</v>
      </c>
      <c r="E226" s="313" t="s">
        <v>384</v>
      </c>
      <c r="F226" s="308" t="s">
        <v>53</v>
      </c>
      <c r="G226" s="127" t="s">
        <v>56</v>
      </c>
      <c r="H226" s="310">
        <f t="shared" si="62"/>
        <v>11377282.35</v>
      </c>
      <c r="I226" s="310">
        <f t="shared" si="63"/>
        <v>11377282.35</v>
      </c>
      <c r="J226" s="310">
        <f t="shared" si="64"/>
        <v>0</v>
      </c>
      <c r="K226" s="310"/>
      <c r="L226" s="310"/>
      <c r="M226" s="310"/>
      <c r="N226" s="310"/>
      <c r="O226" s="310">
        <f t="shared" si="65"/>
        <v>11377282.35</v>
      </c>
      <c r="P226" s="310"/>
      <c r="Q226" s="310"/>
      <c r="R226" s="310">
        <v>11377282.35</v>
      </c>
      <c r="S226" s="310"/>
      <c r="T226" s="310">
        <f t="shared" si="66"/>
        <v>0</v>
      </c>
      <c r="U226" s="310"/>
      <c r="V226" s="310"/>
      <c r="W226" s="310"/>
      <c r="X226" s="310"/>
      <c r="Y226" s="310">
        <f t="shared" si="67"/>
        <v>0</v>
      </c>
      <c r="Z226" s="310"/>
      <c r="AA226" s="310"/>
      <c r="AB226" s="310"/>
      <c r="AC226" s="310"/>
      <c r="AD226" s="310"/>
      <c r="AE226" s="310"/>
      <c r="AF226" s="310"/>
      <c r="AG226" s="310">
        <f t="shared" si="68"/>
        <v>11377282.35</v>
      </c>
      <c r="AH226" s="310">
        <f t="shared" si="69"/>
        <v>11377282.35</v>
      </c>
      <c r="AI226" s="310">
        <f t="shared" si="70"/>
        <v>0</v>
      </c>
      <c r="AJ226" s="310"/>
      <c r="AK226" s="310"/>
      <c r="AL226" s="310"/>
      <c r="AM226" s="310"/>
      <c r="AN226" s="310">
        <f t="shared" si="71"/>
        <v>11377282.35</v>
      </c>
      <c r="AO226" s="310"/>
      <c r="AP226" s="310"/>
      <c r="AQ226" s="310">
        <v>11377282.35</v>
      </c>
      <c r="AR226" s="310"/>
      <c r="AS226" s="310">
        <f t="shared" si="72"/>
        <v>0</v>
      </c>
      <c r="AT226" s="310"/>
      <c r="AU226" s="310"/>
      <c r="AV226" s="310"/>
      <c r="AW226" s="310"/>
      <c r="AX226" s="310">
        <f t="shared" si="73"/>
        <v>0</v>
      </c>
      <c r="AY226" s="310"/>
      <c r="AZ226" s="310"/>
      <c r="BA226" s="310"/>
      <c r="BB226" s="310"/>
      <c r="BC226" s="310"/>
      <c r="BD226" s="310"/>
      <c r="BE226" s="312"/>
      <c r="BF226" s="127" t="s">
        <v>56</v>
      </c>
      <c r="BG226" s="184" t="s">
        <v>383</v>
      </c>
      <c r="BH226" s="330" t="s">
        <v>279</v>
      </c>
    </row>
    <row r="227" s="77" customFormat="1" ht="15" hidden="1" spans="1:60">
      <c r="A227" s="301">
        <v>220</v>
      </c>
      <c r="B227" s="307" t="s">
        <v>19</v>
      </c>
      <c r="C227" s="307" t="s">
        <v>20</v>
      </c>
      <c r="D227" s="308">
        <v>2016</v>
      </c>
      <c r="E227" s="313" t="s">
        <v>385</v>
      </c>
      <c r="F227" s="308" t="s">
        <v>53</v>
      </c>
      <c r="G227" s="127" t="s">
        <v>56</v>
      </c>
      <c r="H227" s="310">
        <f t="shared" si="62"/>
        <v>2400000</v>
      </c>
      <c r="I227" s="310">
        <f t="shared" si="63"/>
        <v>2400000</v>
      </c>
      <c r="J227" s="310">
        <f t="shared" si="64"/>
        <v>0</v>
      </c>
      <c r="K227" s="310"/>
      <c r="L227" s="310"/>
      <c r="M227" s="310"/>
      <c r="N227" s="310"/>
      <c r="O227" s="310">
        <f t="shared" si="65"/>
        <v>2400000</v>
      </c>
      <c r="P227" s="310"/>
      <c r="Q227" s="310"/>
      <c r="R227" s="310">
        <v>2400000</v>
      </c>
      <c r="S227" s="310"/>
      <c r="T227" s="310">
        <f t="shared" si="66"/>
        <v>0</v>
      </c>
      <c r="U227" s="310"/>
      <c r="V227" s="310"/>
      <c r="W227" s="310"/>
      <c r="X227" s="310"/>
      <c r="Y227" s="310">
        <f t="shared" si="67"/>
        <v>0</v>
      </c>
      <c r="Z227" s="310"/>
      <c r="AA227" s="310"/>
      <c r="AB227" s="310"/>
      <c r="AC227" s="310"/>
      <c r="AD227" s="310"/>
      <c r="AE227" s="310"/>
      <c r="AF227" s="310"/>
      <c r="AG227" s="310">
        <f t="shared" si="68"/>
        <v>2400000</v>
      </c>
      <c r="AH227" s="310">
        <f t="shared" si="69"/>
        <v>2400000</v>
      </c>
      <c r="AI227" s="310">
        <f t="shared" si="70"/>
        <v>0</v>
      </c>
      <c r="AJ227" s="310"/>
      <c r="AK227" s="310"/>
      <c r="AL227" s="310"/>
      <c r="AM227" s="310"/>
      <c r="AN227" s="310">
        <f t="shared" si="71"/>
        <v>2400000</v>
      </c>
      <c r="AO227" s="310"/>
      <c r="AP227" s="310"/>
      <c r="AQ227" s="310">
        <v>2400000</v>
      </c>
      <c r="AR227" s="310"/>
      <c r="AS227" s="310">
        <f t="shared" si="72"/>
        <v>0</v>
      </c>
      <c r="AT227" s="310"/>
      <c r="AU227" s="310"/>
      <c r="AV227" s="310"/>
      <c r="AW227" s="310"/>
      <c r="AX227" s="310">
        <f t="shared" si="73"/>
        <v>0</v>
      </c>
      <c r="AY227" s="310"/>
      <c r="AZ227" s="310"/>
      <c r="BA227" s="310"/>
      <c r="BB227" s="310"/>
      <c r="BC227" s="310"/>
      <c r="BD227" s="310"/>
      <c r="BE227" s="312"/>
      <c r="BF227" s="127" t="s">
        <v>56</v>
      </c>
      <c r="BG227" s="184" t="s">
        <v>383</v>
      </c>
      <c r="BH227" s="330" t="s">
        <v>279</v>
      </c>
    </row>
    <row r="228" s="78" customFormat="1" ht="15" hidden="1" spans="1:60">
      <c r="A228" s="301">
        <v>221</v>
      </c>
      <c r="B228" s="307" t="s">
        <v>19</v>
      </c>
      <c r="C228" s="307" t="s">
        <v>20</v>
      </c>
      <c r="D228" s="308">
        <v>2016</v>
      </c>
      <c r="E228" s="313" t="s">
        <v>386</v>
      </c>
      <c r="F228" s="308" t="s">
        <v>53</v>
      </c>
      <c r="G228" s="127" t="s">
        <v>56</v>
      </c>
      <c r="H228" s="310">
        <f t="shared" si="62"/>
        <v>4000000</v>
      </c>
      <c r="I228" s="310">
        <f t="shared" si="63"/>
        <v>4000000</v>
      </c>
      <c r="J228" s="310">
        <f t="shared" si="64"/>
        <v>0</v>
      </c>
      <c r="K228" s="310"/>
      <c r="L228" s="310"/>
      <c r="M228" s="310"/>
      <c r="N228" s="310"/>
      <c r="O228" s="310">
        <f t="shared" si="65"/>
        <v>4000000</v>
      </c>
      <c r="P228" s="310"/>
      <c r="Q228" s="310"/>
      <c r="R228" s="310"/>
      <c r="S228" s="310">
        <v>4000000</v>
      </c>
      <c r="T228" s="310">
        <f t="shared" si="66"/>
        <v>0</v>
      </c>
      <c r="U228" s="310"/>
      <c r="V228" s="310"/>
      <c r="W228" s="310"/>
      <c r="X228" s="310"/>
      <c r="Y228" s="310">
        <f t="shared" si="67"/>
        <v>0</v>
      </c>
      <c r="Z228" s="310"/>
      <c r="AA228" s="310"/>
      <c r="AB228" s="310"/>
      <c r="AC228" s="310"/>
      <c r="AD228" s="310"/>
      <c r="AE228" s="310"/>
      <c r="AF228" s="310"/>
      <c r="AG228" s="310">
        <f t="shared" si="68"/>
        <v>4000000</v>
      </c>
      <c r="AH228" s="310">
        <f t="shared" si="69"/>
        <v>4000000</v>
      </c>
      <c r="AI228" s="310">
        <f t="shared" si="70"/>
        <v>0</v>
      </c>
      <c r="AJ228" s="310"/>
      <c r="AK228" s="310"/>
      <c r="AL228" s="310"/>
      <c r="AM228" s="310"/>
      <c r="AN228" s="310">
        <f t="shared" si="71"/>
        <v>4000000</v>
      </c>
      <c r="AO228" s="310"/>
      <c r="AP228" s="310"/>
      <c r="AQ228" s="310"/>
      <c r="AR228" s="310">
        <v>4000000</v>
      </c>
      <c r="AS228" s="310">
        <f t="shared" si="72"/>
        <v>0</v>
      </c>
      <c r="AT228" s="310"/>
      <c r="AU228" s="310"/>
      <c r="AV228" s="310"/>
      <c r="AW228" s="310"/>
      <c r="AX228" s="310">
        <f t="shared" si="73"/>
        <v>0</v>
      </c>
      <c r="AY228" s="310"/>
      <c r="AZ228" s="310"/>
      <c r="BA228" s="310"/>
      <c r="BB228" s="310"/>
      <c r="BC228" s="310"/>
      <c r="BD228" s="310"/>
      <c r="BE228" s="312"/>
      <c r="BF228" s="134" t="s">
        <v>139</v>
      </c>
      <c r="BG228" s="348" t="s">
        <v>387</v>
      </c>
      <c r="BH228" s="349" t="s">
        <v>388</v>
      </c>
    </row>
    <row r="229" s="77" customFormat="1" ht="15" hidden="1" spans="1:60">
      <c r="A229" s="301">
        <v>222</v>
      </c>
      <c r="B229" s="307" t="s">
        <v>19</v>
      </c>
      <c r="C229" s="307" t="s">
        <v>20</v>
      </c>
      <c r="D229" s="308">
        <v>2016</v>
      </c>
      <c r="E229" s="313" t="s">
        <v>389</v>
      </c>
      <c r="F229" s="308" t="s">
        <v>53</v>
      </c>
      <c r="G229" s="127" t="s">
        <v>53</v>
      </c>
      <c r="H229" s="310">
        <f t="shared" si="62"/>
        <v>1500000</v>
      </c>
      <c r="I229" s="310">
        <f t="shared" si="63"/>
        <v>1500000</v>
      </c>
      <c r="J229" s="310">
        <f t="shared" si="64"/>
        <v>0</v>
      </c>
      <c r="K229" s="310"/>
      <c r="L229" s="310"/>
      <c r="M229" s="310"/>
      <c r="N229" s="310"/>
      <c r="O229" s="310">
        <f t="shared" si="65"/>
        <v>1500000</v>
      </c>
      <c r="P229" s="310"/>
      <c r="Q229" s="310"/>
      <c r="R229" s="310">
        <v>1500000</v>
      </c>
      <c r="S229" s="310"/>
      <c r="T229" s="310">
        <f t="shared" si="66"/>
        <v>0</v>
      </c>
      <c r="U229" s="310"/>
      <c r="V229" s="310"/>
      <c r="W229" s="310"/>
      <c r="X229" s="310"/>
      <c r="Y229" s="310">
        <f t="shared" si="67"/>
        <v>0</v>
      </c>
      <c r="Z229" s="310"/>
      <c r="AA229" s="310"/>
      <c r="AB229" s="310"/>
      <c r="AC229" s="310"/>
      <c r="AD229" s="310"/>
      <c r="AE229" s="310"/>
      <c r="AF229" s="310"/>
      <c r="AG229" s="310">
        <f t="shared" si="68"/>
        <v>600000</v>
      </c>
      <c r="AH229" s="310">
        <f t="shared" si="69"/>
        <v>600000</v>
      </c>
      <c r="AI229" s="310">
        <f t="shared" si="70"/>
        <v>0</v>
      </c>
      <c r="AJ229" s="310"/>
      <c r="AK229" s="310"/>
      <c r="AL229" s="310"/>
      <c r="AM229" s="310"/>
      <c r="AN229" s="310">
        <f t="shared" si="71"/>
        <v>600000</v>
      </c>
      <c r="AO229" s="310"/>
      <c r="AP229" s="310"/>
      <c r="AQ229" s="310">
        <v>600000</v>
      </c>
      <c r="AR229" s="310"/>
      <c r="AS229" s="310">
        <f t="shared" si="72"/>
        <v>0</v>
      </c>
      <c r="AT229" s="310"/>
      <c r="AU229" s="310"/>
      <c r="AV229" s="310"/>
      <c r="AW229" s="310"/>
      <c r="AX229" s="310">
        <f t="shared" si="73"/>
        <v>0</v>
      </c>
      <c r="AY229" s="310"/>
      <c r="AZ229" s="310"/>
      <c r="BA229" s="310"/>
      <c r="BB229" s="310"/>
      <c r="BC229" s="310"/>
      <c r="BD229" s="310"/>
      <c r="BE229" s="312">
        <v>0</v>
      </c>
      <c r="BF229" s="127" t="s">
        <v>56</v>
      </c>
      <c r="BG229" s="184" t="s">
        <v>390</v>
      </c>
      <c r="BH229" s="133" t="s">
        <v>76</v>
      </c>
    </row>
    <row r="230" s="77" customFormat="1" ht="15" hidden="1" spans="1:60">
      <c r="A230" s="301">
        <v>223</v>
      </c>
      <c r="B230" s="307" t="s">
        <v>19</v>
      </c>
      <c r="C230" s="307" t="s">
        <v>20</v>
      </c>
      <c r="D230" s="308">
        <v>2016</v>
      </c>
      <c r="E230" s="313" t="s">
        <v>391</v>
      </c>
      <c r="F230" s="308" t="s">
        <v>53</v>
      </c>
      <c r="G230" s="127" t="s">
        <v>56</v>
      </c>
      <c r="H230" s="310">
        <f t="shared" si="62"/>
        <v>1920000</v>
      </c>
      <c r="I230" s="310">
        <f t="shared" si="63"/>
        <v>1920000</v>
      </c>
      <c r="J230" s="310">
        <f t="shared" si="64"/>
        <v>0</v>
      </c>
      <c r="K230" s="310"/>
      <c r="L230" s="310"/>
      <c r="M230" s="310"/>
      <c r="N230" s="310"/>
      <c r="O230" s="310">
        <f t="shared" si="65"/>
        <v>1920000</v>
      </c>
      <c r="P230" s="310"/>
      <c r="Q230" s="310"/>
      <c r="R230" s="310">
        <v>1920000</v>
      </c>
      <c r="S230" s="310"/>
      <c r="T230" s="310">
        <f t="shared" si="66"/>
        <v>0</v>
      </c>
      <c r="U230" s="310"/>
      <c r="V230" s="310"/>
      <c r="W230" s="310"/>
      <c r="X230" s="310"/>
      <c r="Y230" s="310">
        <f t="shared" si="67"/>
        <v>0</v>
      </c>
      <c r="Z230" s="310"/>
      <c r="AA230" s="310"/>
      <c r="AB230" s="310"/>
      <c r="AC230" s="310"/>
      <c r="AD230" s="310"/>
      <c r="AE230" s="310"/>
      <c r="AF230" s="310"/>
      <c r="AG230" s="310">
        <f t="shared" si="68"/>
        <v>1920000</v>
      </c>
      <c r="AH230" s="310">
        <f t="shared" si="69"/>
        <v>1920000</v>
      </c>
      <c r="AI230" s="310">
        <f t="shared" si="70"/>
        <v>0</v>
      </c>
      <c r="AJ230" s="310"/>
      <c r="AK230" s="310"/>
      <c r="AL230" s="310"/>
      <c r="AM230" s="310"/>
      <c r="AN230" s="310">
        <f t="shared" si="71"/>
        <v>1920000</v>
      </c>
      <c r="AO230" s="310"/>
      <c r="AP230" s="310">
        <v>1920000</v>
      </c>
      <c r="AQ230" s="310"/>
      <c r="AR230" s="310"/>
      <c r="AS230" s="310">
        <f t="shared" si="72"/>
        <v>0</v>
      </c>
      <c r="AT230" s="310"/>
      <c r="AU230" s="310"/>
      <c r="AV230" s="310"/>
      <c r="AW230" s="310"/>
      <c r="AX230" s="310">
        <f t="shared" si="73"/>
        <v>0</v>
      </c>
      <c r="AY230" s="310"/>
      <c r="AZ230" s="310"/>
      <c r="BA230" s="310"/>
      <c r="BB230" s="310"/>
      <c r="BC230" s="310"/>
      <c r="BD230" s="310"/>
      <c r="BE230" s="312"/>
      <c r="BF230" s="127" t="s">
        <v>56</v>
      </c>
      <c r="BG230" s="184" t="s">
        <v>392</v>
      </c>
      <c r="BH230" s="330" t="s">
        <v>176</v>
      </c>
    </row>
    <row r="231" s="77" customFormat="1" ht="15" hidden="1" spans="1:60">
      <c r="A231" s="301">
        <v>224</v>
      </c>
      <c r="B231" s="307" t="s">
        <v>19</v>
      </c>
      <c r="C231" s="307" t="s">
        <v>20</v>
      </c>
      <c r="D231" s="308">
        <v>2016</v>
      </c>
      <c r="E231" s="313" t="s">
        <v>393</v>
      </c>
      <c r="F231" s="308" t="s">
        <v>53</v>
      </c>
      <c r="G231" s="127" t="s">
        <v>56</v>
      </c>
      <c r="H231" s="310">
        <f t="shared" si="62"/>
        <v>3100000</v>
      </c>
      <c r="I231" s="310">
        <f t="shared" si="63"/>
        <v>3100000</v>
      </c>
      <c r="J231" s="310">
        <f t="shared" si="64"/>
        <v>0</v>
      </c>
      <c r="K231" s="310"/>
      <c r="L231" s="310"/>
      <c r="M231" s="310"/>
      <c r="N231" s="310"/>
      <c r="O231" s="310">
        <f t="shared" si="65"/>
        <v>3100000</v>
      </c>
      <c r="P231" s="310"/>
      <c r="Q231" s="310">
        <v>3100000</v>
      </c>
      <c r="R231" s="310"/>
      <c r="S231" s="310"/>
      <c r="T231" s="310">
        <f t="shared" si="66"/>
        <v>0</v>
      </c>
      <c r="U231" s="310"/>
      <c r="V231" s="310"/>
      <c r="W231" s="310"/>
      <c r="X231" s="310"/>
      <c r="Y231" s="310">
        <f t="shared" si="67"/>
        <v>0</v>
      </c>
      <c r="Z231" s="310"/>
      <c r="AA231" s="310"/>
      <c r="AB231" s="310"/>
      <c r="AC231" s="310"/>
      <c r="AD231" s="310"/>
      <c r="AE231" s="310"/>
      <c r="AF231" s="310"/>
      <c r="AG231" s="310">
        <f t="shared" si="68"/>
        <v>3100000</v>
      </c>
      <c r="AH231" s="310">
        <f t="shared" si="69"/>
        <v>3100000</v>
      </c>
      <c r="AI231" s="310">
        <f t="shared" si="70"/>
        <v>0</v>
      </c>
      <c r="AJ231" s="310"/>
      <c r="AK231" s="310"/>
      <c r="AL231" s="310"/>
      <c r="AM231" s="310"/>
      <c r="AN231" s="310">
        <f t="shared" si="71"/>
        <v>3100000</v>
      </c>
      <c r="AO231" s="310"/>
      <c r="AP231" s="310">
        <v>3100000</v>
      </c>
      <c r="AQ231" s="310"/>
      <c r="AR231" s="310"/>
      <c r="AS231" s="310">
        <f t="shared" si="72"/>
        <v>0</v>
      </c>
      <c r="AT231" s="310"/>
      <c r="AU231" s="310"/>
      <c r="AV231" s="310"/>
      <c r="AW231" s="310"/>
      <c r="AX231" s="310">
        <f t="shared" si="73"/>
        <v>0</v>
      </c>
      <c r="AY231" s="310"/>
      <c r="AZ231" s="310"/>
      <c r="BA231" s="310"/>
      <c r="BB231" s="310"/>
      <c r="BC231" s="310"/>
      <c r="BD231" s="310"/>
      <c r="BE231" s="312"/>
      <c r="BF231" s="127" t="s">
        <v>56</v>
      </c>
      <c r="BG231" s="184" t="s">
        <v>392</v>
      </c>
      <c r="BH231" s="330" t="s">
        <v>176</v>
      </c>
    </row>
    <row r="232" s="77" customFormat="1" ht="15" hidden="1" spans="1:60">
      <c r="A232" s="301">
        <v>225</v>
      </c>
      <c r="B232" s="307" t="s">
        <v>19</v>
      </c>
      <c r="C232" s="307" t="s">
        <v>20</v>
      </c>
      <c r="D232" s="308">
        <v>2016</v>
      </c>
      <c r="E232" s="313" t="s">
        <v>394</v>
      </c>
      <c r="F232" s="308" t="s">
        <v>53</v>
      </c>
      <c r="G232" s="127" t="s">
        <v>56</v>
      </c>
      <c r="H232" s="310">
        <f t="shared" si="62"/>
        <v>440000</v>
      </c>
      <c r="I232" s="310">
        <f t="shared" si="63"/>
        <v>440000</v>
      </c>
      <c r="J232" s="310">
        <f t="shared" si="64"/>
        <v>0</v>
      </c>
      <c r="K232" s="310"/>
      <c r="L232" s="310"/>
      <c r="M232" s="310"/>
      <c r="N232" s="310"/>
      <c r="O232" s="310">
        <f t="shared" si="65"/>
        <v>440000</v>
      </c>
      <c r="P232" s="310"/>
      <c r="Q232" s="310"/>
      <c r="R232" s="310"/>
      <c r="S232" s="310">
        <v>440000</v>
      </c>
      <c r="T232" s="310">
        <f t="shared" si="66"/>
        <v>0</v>
      </c>
      <c r="U232" s="310"/>
      <c r="V232" s="310"/>
      <c r="W232" s="310"/>
      <c r="X232" s="310"/>
      <c r="Y232" s="310">
        <f t="shared" si="67"/>
        <v>0</v>
      </c>
      <c r="Z232" s="310"/>
      <c r="AA232" s="310"/>
      <c r="AB232" s="310"/>
      <c r="AC232" s="310"/>
      <c r="AD232" s="310"/>
      <c r="AE232" s="310"/>
      <c r="AF232" s="310"/>
      <c r="AG232" s="310">
        <f t="shared" si="68"/>
        <v>440000</v>
      </c>
      <c r="AH232" s="310">
        <f t="shared" si="69"/>
        <v>440000</v>
      </c>
      <c r="AI232" s="310">
        <f t="shared" si="70"/>
        <v>0</v>
      </c>
      <c r="AJ232" s="310"/>
      <c r="AK232" s="310"/>
      <c r="AL232" s="310"/>
      <c r="AM232" s="310"/>
      <c r="AN232" s="310">
        <f t="shared" si="71"/>
        <v>440000</v>
      </c>
      <c r="AO232" s="310"/>
      <c r="AP232" s="310"/>
      <c r="AQ232" s="310"/>
      <c r="AR232" s="310">
        <v>440000</v>
      </c>
      <c r="AS232" s="310">
        <f t="shared" si="72"/>
        <v>0</v>
      </c>
      <c r="AT232" s="310"/>
      <c r="AU232" s="310"/>
      <c r="AV232" s="310"/>
      <c r="AW232" s="310"/>
      <c r="AX232" s="310">
        <f t="shared" si="73"/>
        <v>0</v>
      </c>
      <c r="AY232" s="310"/>
      <c r="AZ232" s="310"/>
      <c r="BA232" s="310"/>
      <c r="BB232" s="310"/>
      <c r="BC232" s="310"/>
      <c r="BD232" s="310"/>
      <c r="BE232" s="312"/>
      <c r="BF232" s="127" t="s">
        <v>56</v>
      </c>
      <c r="BG232" s="184" t="s">
        <v>392</v>
      </c>
      <c r="BH232" s="330" t="s">
        <v>176</v>
      </c>
    </row>
    <row r="233" s="77" customFormat="1" ht="15" hidden="1" spans="1:60">
      <c r="A233" s="301">
        <v>226</v>
      </c>
      <c r="B233" s="307" t="s">
        <v>19</v>
      </c>
      <c r="C233" s="307" t="s">
        <v>20</v>
      </c>
      <c r="D233" s="308">
        <v>2016</v>
      </c>
      <c r="E233" s="313" t="s">
        <v>395</v>
      </c>
      <c r="F233" s="308" t="s">
        <v>53</v>
      </c>
      <c r="G233" s="127" t="s">
        <v>56</v>
      </c>
      <c r="H233" s="310">
        <f t="shared" si="62"/>
        <v>6120000</v>
      </c>
      <c r="I233" s="310">
        <f t="shared" si="63"/>
        <v>6120000</v>
      </c>
      <c r="J233" s="310">
        <f t="shared" si="64"/>
        <v>0</v>
      </c>
      <c r="K233" s="310"/>
      <c r="L233" s="310"/>
      <c r="M233" s="310"/>
      <c r="N233" s="310"/>
      <c r="O233" s="310">
        <f t="shared" si="65"/>
        <v>6120000</v>
      </c>
      <c r="P233" s="310">
        <v>6120000</v>
      </c>
      <c r="Q233" s="310"/>
      <c r="R233" s="310"/>
      <c r="S233" s="310"/>
      <c r="T233" s="310">
        <f t="shared" si="66"/>
        <v>0</v>
      </c>
      <c r="U233" s="310"/>
      <c r="V233" s="310"/>
      <c r="W233" s="310"/>
      <c r="X233" s="310"/>
      <c r="Y233" s="310">
        <f t="shared" si="67"/>
        <v>0</v>
      </c>
      <c r="Z233" s="310"/>
      <c r="AA233" s="310"/>
      <c r="AB233" s="310"/>
      <c r="AC233" s="310"/>
      <c r="AD233" s="310"/>
      <c r="AE233" s="310"/>
      <c r="AF233" s="310"/>
      <c r="AG233" s="310">
        <f t="shared" si="68"/>
        <v>6120000</v>
      </c>
      <c r="AH233" s="310">
        <f t="shared" si="69"/>
        <v>6120000</v>
      </c>
      <c r="AI233" s="310">
        <f t="shared" si="70"/>
        <v>0</v>
      </c>
      <c r="AJ233" s="310"/>
      <c r="AK233" s="310"/>
      <c r="AL233" s="310"/>
      <c r="AM233" s="310"/>
      <c r="AN233" s="310">
        <f t="shared" si="71"/>
        <v>6120000</v>
      </c>
      <c r="AO233" s="310">
        <v>6120000</v>
      </c>
      <c r="AP233" s="310"/>
      <c r="AQ233" s="310"/>
      <c r="AR233" s="310"/>
      <c r="AS233" s="310">
        <f t="shared" si="72"/>
        <v>0</v>
      </c>
      <c r="AT233" s="310"/>
      <c r="AU233" s="310"/>
      <c r="AV233" s="310"/>
      <c r="AW233" s="310"/>
      <c r="AX233" s="310">
        <f t="shared" si="73"/>
        <v>0</v>
      </c>
      <c r="AY233" s="310"/>
      <c r="AZ233" s="310"/>
      <c r="BA233" s="310"/>
      <c r="BB233" s="310"/>
      <c r="BC233" s="310"/>
      <c r="BD233" s="310"/>
      <c r="BE233" s="312"/>
      <c r="BF233" s="127" t="s">
        <v>56</v>
      </c>
      <c r="BG233" s="184" t="s">
        <v>392</v>
      </c>
      <c r="BH233" s="330" t="s">
        <v>176</v>
      </c>
    </row>
    <row r="234" s="77" customFormat="1" ht="15" hidden="1" spans="1:60">
      <c r="A234" s="301">
        <v>227</v>
      </c>
      <c r="B234" s="307" t="s">
        <v>19</v>
      </c>
      <c r="C234" s="307" t="s">
        <v>20</v>
      </c>
      <c r="D234" s="308">
        <v>2016</v>
      </c>
      <c r="E234" s="313" t="s">
        <v>396</v>
      </c>
      <c r="F234" s="308" t="s">
        <v>53</v>
      </c>
      <c r="G234" s="127" t="s">
        <v>53</v>
      </c>
      <c r="H234" s="310">
        <f t="shared" si="62"/>
        <v>1790000</v>
      </c>
      <c r="I234" s="310">
        <f t="shared" si="63"/>
        <v>1790000</v>
      </c>
      <c r="J234" s="310">
        <f t="shared" si="64"/>
        <v>0</v>
      </c>
      <c r="K234" s="310"/>
      <c r="L234" s="310"/>
      <c r="M234" s="310"/>
      <c r="N234" s="310"/>
      <c r="O234" s="310">
        <f t="shared" si="65"/>
        <v>1790000</v>
      </c>
      <c r="P234" s="310"/>
      <c r="Q234" s="310"/>
      <c r="R234" s="310">
        <v>1790000</v>
      </c>
      <c r="S234" s="310"/>
      <c r="T234" s="310">
        <f t="shared" si="66"/>
        <v>0</v>
      </c>
      <c r="U234" s="310"/>
      <c r="V234" s="310"/>
      <c r="W234" s="310"/>
      <c r="X234" s="310"/>
      <c r="Y234" s="310">
        <f t="shared" si="67"/>
        <v>0</v>
      </c>
      <c r="Z234" s="310"/>
      <c r="AA234" s="310"/>
      <c r="AB234" s="310"/>
      <c r="AC234" s="310"/>
      <c r="AD234" s="310"/>
      <c r="AE234" s="310"/>
      <c r="AF234" s="310"/>
      <c r="AG234" s="310">
        <f t="shared" si="68"/>
        <v>1790000</v>
      </c>
      <c r="AH234" s="310">
        <f t="shared" si="69"/>
        <v>1790000</v>
      </c>
      <c r="AI234" s="310">
        <f t="shared" si="70"/>
        <v>0</v>
      </c>
      <c r="AJ234" s="310"/>
      <c r="AK234" s="310"/>
      <c r="AL234" s="310"/>
      <c r="AM234" s="310"/>
      <c r="AN234" s="310">
        <f t="shared" si="71"/>
        <v>1790000</v>
      </c>
      <c r="AO234" s="310"/>
      <c r="AP234" s="310">
        <v>1790000</v>
      </c>
      <c r="AQ234" s="310"/>
      <c r="AR234" s="310"/>
      <c r="AS234" s="310">
        <f t="shared" si="72"/>
        <v>0</v>
      </c>
      <c r="AT234" s="310"/>
      <c r="AU234" s="310"/>
      <c r="AV234" s="310"/>
      <c r="AW234" s="310"/>
      <c r="AX234" s="310">
        <f t="shared" si="73"/>
        <v>0</v>
      </c>
      <c r="AY234" s="310"/>
      <c r="AZ234" s="310"/>
      <c r="BA234" s="310"/>
      <c r="BB234" s="310"/>
      <c r="BC234" s="310"/>
      <c r="BD234" s="310"/>
      <c r="BE234" s="312"/>
      <c r="BF234" s="127" t="s">
        <v>56</v>
      </c>
      <c r="BG234" s="184" t="s">
        <v>390</v>
      </c>
      <c r="BH234" s="133" t="s">
        <v>131</v>
      </c>
    </row>
    <row r="235" s="77" customFormat="1" ht="15" hidden="1" spans="1:60">
      <c r="A235" s="301">
        <v>228</v>
      </c>
      <c r="B235" s="307" t="s">
        <v>19</v>
      </c>
      <c r="C235" s="307" t="s">
        <v>20</v>
      </c>
      <c r="D235" s="308">
        <v>2016</v>
      </c>
      <c r="E235" s="313" t="s">
        <v>397</v>
      </c>
      <c r="F235" s="308" t="s">
        <v>53</v>
      </c>
      <c r="G235" s="127" t="s">
        <v>53</v>
      </c>
      <c r="H235" s="310">
        <f t="shared" si="62"/>
        <v>5770000</v>
      </c>
      <c r="I235" s="310">
        <f t="shared" si="63"/>
        <v>5770000</v>
      </c>
      <c r="J235" s="310">
        <f t="shared" si="64"/>
        <v>0</v>
      </c>
      <c r="K235" s="310"/>
      <c r="L235" s="310"/>
      <c r="M235" s="310"/>
      <c r="N235" s="310"/>
      <c r="O235" s="310">
        <f t="shared" si="65"/>
        <v>5770000</v>
      </c>
      <c r="P235" s="310">
        <v>5770000</v>
      </c>
      <c r="Q235" s="310"/>
      <c r="R235" s="310"/>
      <c r="S235" s="310"/>
      <c r="T235" s="310">
        <f t="shared" si="66"/>
        <v>0</v>
      </c>
      <c r="U235" s="310"/>
      <c r="V235" s="310"/>
      <c r="W235" s="310"/>
      <c r="X235" s="310"/>
      <c r="Y235" s="310">
        <f t="shared" si="67"/>
        <v>0</v>
      </c>
      <c r="Z235" s="310"/>
      <c r="AA235" s="310"/>
      <c r="AB235" s="310"/>
      <c r="AC235" s="310"/>
      <c r="AD235" s="310"/>
      <c r="AE235" s="310"/>
      <c r="AF235" s="310"/>
      <c r="AG235" s="310">
        <f t="shared" si="68"/>
        <v>5770000</v>
      </c>
      <c r="AH235" s="310">
        <f t="shared" si="69"/>
        <v>5770000</v>
      </c>
      <c r="AI235" s="310">
        <f t="shared" si="70"/>
        <v>0</v>
      </c>
      <c r="AJ235" s="310"/>
      <c r="AK235" s="310"/>
      <c r="AL235" s="310"/>
      <c r="AM235" s="310"/>
      <c r="AN235" s="310">
        <f t="shared" si="71"/>
        <v>5770000</v>
      </c>
      <c r="AO235" s="310">
        <v>5770000</v>
      </c>
      <c r="AP235" s="310"/>
      <c r="AQ235" s="310"/>
      <c r="AR235" s="310"/>
      <c r="AS235" s="310">
        <f t="shared" si="72"/>
        <v>0</v>
      </c>
      <c r="AT235" s="310"/>
      <c r="AU235" s="310"/>
      <c r="AV235" s="310"/>
      <c r="AW235" s="310"/>
      <c r="AX235" s="310">
        <f t="shared" si="73"/>
        <v>0</v>
      </c>
      <c r="AY235" s="310"/>
      <c r="AZ235" s="310"/>
      <c r="BA235" s="310"/>
      <c r="BB235" s="310"/>
      <c r="BC235" s="310"/>
      <c r="BD235" s="310"/>
      <c r="BE235" s="312">
        <v>0</v>
      </c>
      <c r="BF235" s="127" t="s">
        <v>56</v>
      </c>
      <c r="BG235" s="184" t="s">
        <v>390</v>
      </c>
      <c r="BH235" s="133" t="s">
        <v>176</v>
      </c>
    </row>
    <row r="236" s="77" customFormat="1" ht="15" hidden="1" spans="1:60">
      <c r="A236" s="301">
        <v>229</v>
      </c>
      <c r="B236" s="307" t="s">
        <v>19</v>
      </c>
      <c r="C236" s="307" t="s">
        <v>20</v>
      </c>
      <c r="D236" s="308">
        <v>2016</v>
      </c>
      <c r="E236" s="313" t="s">
        <v>398</v>
      </c>
      <c r="F236" s="308" t="s">
        <v>53</v>
      </c>
      <c r="G236" s="127" t="s">
        <v>53</v>
      </c>
      <c r="H236" s="310">
        <f t="shared" si="62"/>
        <v>300000</v>
      </c>
      <c r="I236" s="310">
        <f t="shared" si="63"/>
        <v>300000</v>
      </c>
      <c r="J236" s="310">
        <f t="shared" si="64"/>
        <v>0</v>
      </c>
      <c r="K236" s="310"/>
      <c r="L236" s="310"/>
      <c r="M236" s="310"/>
      <c r="N236" s="310"/>
      <c r="O236" s="310">
        <f t="shared" si="65"/>
        <v>300000</v>
      </c>
      <c r="P236" s="310"/>
      <c r="Q236" s="310"/>
      <c r="R236" s="310"/>
      <c r="S236" s="310">
        <v>300000</v>
      </c>
      <c r="T236" s="310">
        <f t="shared" si="66"/>
        <v>0</v>
      </c>
      <c r="U236" s="310"/>
      <c r="V236" s="310"/>
      <c r="W236" s="310"/>
      <c r="X236" s="310"/>
      <c r="Y236" s="310">
        <f t="shared" si="67"/>
        <v>0</v>
      </c>
      <c r="Z236" s="310"/>
      <c r="AA236" s="310"/>
      <c r="AB236" s="310"/>
      <c r="AC236" s="310"/>
      <c r="AD236" s="310"/>
      <c r="AE236" s="310"/>
      <c r="AF236" s="310"/>
      <c r="AG236" s="310">
        <f t="shared" si="68"/>
        <v>300000</v>
      </c>
      <c r="AH236" s="310">
        <f t="shared" si="69"/>
        <v>300000</v>
      </c>
      <c r="AI236" s="310">
        <f t="shared" si="70"/>
        <v>0</v>
      </c>
      <c r="AJ236" s="310"/>
      <c r="AK236" s="310"/>
      <c r="AL236" s="310"/>
      <c r="AM236" s="310"/>
      <c r="AN236" s="310">
        <f t="shared" si="71"/>
        <v>300000</v>
      </c>
      <c r="AO236" s="310"/>
      <c r="AP236" s="310"/>
      <c r="AQ236" s="310">
        <v>300000</v>
      </c>
      <c r="AR236" s="310"/>
      <c r="AS236" s="310">
        <f t="shared" si="72"/>
        <v>0</v>
      </c>
      <c r="AT236" s="310"/>
      <c r="AU236" s="310"/>
      <c r="AV236" s="310"/>
      <c r="AW236" s="310"/>
      <c r="AX236" s="310">
        <f t="shared" si="73"/>
        <v>0</v>
      </c>
      <c r="AY236" s="310"/>
      <c r="AZ236" s="310"/>
      <c r="BA236" s="310"/>
      <c r="BB236" s="310"/>
      <c r="BC236" s="310"/>
      <c r="BD236" s="310"/>
      <c r="BE236" s="312">
        <v>0</v>
      </c>
      <c r="BF236" s="127" t="s">
        <v>56</v>
      </c>
      <c r="BG236" s="184" t="s">
        <v>390</v>
      </c>
      <c r="BH236" s="133" t="s">
        <v>76</v>
      </c>
    </row>
    <row r="237" s="77" customFormat="1" ht="15" hidden="1" spans="1:60">
      <c r="A237" s="301">
        <v>230</v>
      </c>
      <c r="B237" s="307" t="s">
        <v>19</v>
      </c>
      <c r="C237" s="307" t="s">
        <v>20</v>
      </c>
      <c r="D237" s="308">
        <v>2016</v>
      </c>
      <c r="E237" s="313" t="s">
        <v>399</v>
      </c>
      <c r="F237" s="308" t="s">
        <v>53</v>
      </c>
      <c r="G237" s="127" t="s">
        <v>53</v>
      </c>
      <c r="H237" s="310">
        <f t="shared" si="62"/>
        <v>270000</v>
      </c>
      <c r="I237" s="310">
        <f t="shared" si="63"/>
        <v>270000</v>
      </c>
      <c r="J237" s="310">
        <f t="shared" si="64"/>
        <v>0</v>
      </c>
      <c r="K237" s="310"/>
      <c r="L237" s="310"/>
      <c r="M237" s="310"/>
      <c r="N237" s="310"/>
      <c r="O237" s="310">
        <f t="shared" si="65"/>
        <v>270000</v>
      </c>
      <c r="P237" s="310"/>
      <c r="Q237" s="310"/>
      <c r="R237" s="310"/>
      <c r="S237" s="310">
        <v>270000</v>
      </c>
      <c r="T237" s="310">
        <f t="shared" si="66"/>
        <v>0</v>
      </c>
      <c r="U237" s="310"/>
      <c r="V237" s="310"/>
      <c r="W237" s="310"/>
      <c r="X237" s="310"/>
      <c r="Y237" s="310">
        <f t="shared" si="67"/>
        <v>0</v>
      </c>
      <c r="Z237" s="310"/>
      <c r="AA237" s="310"/>
      <c r="AB237" s="310"/>
      <c r="AC237" s="310"/>
      <c r="AD237" s="310"/>
      <c r="AE237" s="310"/>
      <c r="AF237" s="310"/>
      <c r="AG237" s="310">
        <f t="shared" si="68"/>
        <v>270000</v>
      </c>
      <c r="AH237" s="310">
        <f t="shared" si="69"/>
        <v>270000</v>
      </c>
      <c r="AI237" s="310">
        <f t="shared" si="70"/>
        <v>0</v>
      </c>
      <c r="AJ237" s="310"/>
      <c r="AK237" s="310"/>
      <c r="AL237" s="310"/>
      <c r="AM237" s="310"/>
      <c r="AN237" s="310">
        <f t="shared" si="71"/>
        <v>270000</v>
      </c>
      <c r="AO237" s="310"/>
      <c r="AP237" s="310"/>
      <c r="AQ237" s="310">
        <v>270000</v>
      </c>
      <c r="AR237" s="310"/>
      <c r="AS237" s="310">
        <f t="shared" si="72"/>
        <v>0</v>
      </c>
      <c r="AT237" s="310"/>
      <c r="AU237" s="310"/>
      <c r="AV237" s="310"/>
      <c r="AW237" s="310"/>
      <c r="AX237" s="310">
        <f t="shared" si="73"/>
        <v>0</v>
      </c>
      <c r="AY237" s="310"/>
      <c r="AZ237" s="310"/>
      <c r="BA237" s="310"/>
      <c r="BB237" s="310"/>
      <c r="BC237" s="310"/>
      <c r="BD237" s="310"/>
      <c r="BE237" s="312">
        <v>0</v>
      </c>
      <c r="BF237" s="127" t="s">
        <v>56</v>
      </c>
      <c r="BG237" s="184" t="s">
        <v>390</v>
      </c>
      <c r="BH237" s="133" t="s">
        <v>76</v>
      </c>
    </row>
    <row r="238" s="77" customFormat="1" ht="15" hidden="1" spans="1:60">
      <c r="A238" s="301">
        <v>231</v>
      </c>
      <c r="B238" s="307" t="s">
        <v>19</v>
      </c>
      <c r="C238" s="307" t="s">
        <v>20</v>
      </c>
      <c r="D238" s="308">
        <v>2016</v>
      </c>
      <c r="E238" s="313" t="s">
        <v>400</v>
      </c>
      <c r="F238" s="308" t="s">
        <v>53</v>
      </c>
      <c r="G238" s="127" t="s">
        <v>56</v>
      </c>
      <c r="H238" s="310">
        <f t="shared" si="62"/>
        <v>3000000</v>
      </c>
      <c r="I238" s="310">
        <f t="shared" si="63"/>
        <v>3000000</v>
      </c>
      <c r="J238" s="310">
        <f t="shared" si="64"/>
        <v>0</v>
      </c>
      <c r="K238" s="310"/>
      <c r="L238" s="310"/>
      <c r="M238" s="310"/>
      <c r="N238" s="310"/>
      <c r="O238" s="310">
        <f t="shared" si="65"/>
        <v>3000000</v>
      </c>
      <c r="P238" s="310"/>
      <c r="Q238" s="310">
        <v>3000000</v>
      </c>
      <c r="R238" s="310"/>
      <c r="S238" s="310"/>
      <c r="T238" s="310">
        <f t="shared" si="66"/>
        <v>0</v>
      </c>
      <c r="U238" s="310"/>
      <c r="V238" s="310"/>
      <c r="W238" s="310"/>
      <c r="X238" s="310"/>
      <c r="Y238" s="310">
        <f t="shared" si="67"/>
        <v>0</v>
      </c>
      <c r="Z238" s="310"/>
      <c r="AA238" s="310"/>
      <c r="AB238" s="310"/>
      <c r="AC238" s="310"/>
      <c r="AD238" s="310"/>
      <c r="AE238" s="310"/>
      <c r="AF238" s="310"/>
      <c r="AG238" s="310">
        <f t="shared" si="68"/>
        <v>3000000</v>
      </c>
      <c r="AH238" s="310">
        <f t="shared" si="69"/>
        <v>3000000</v>
      </c>
      <c r="AI238" s="310">
        <f t="shared" si="70"/>
        <v>0</v>
      </c>
      <c r="AJ238" s="310"/>
      <c r="AK238" s="310"/>
      <c r="AL238" s="310"/>
      <c r="AM238" s="310"/>
      <c r="AN238" s="310">
        <f t="shared" si="71"/>
        <v>3000000</v>
      </c>
      <c r="AO238" s="310"/>
      <c r="AP238" s="310">
        <v>3000000</v>
      </c>
      <c r="AQ238" s="310"/>
      <c r="AR238" s="310"/>
      <c r="AS238" s="310">
        <f t="shared" si="72"/>
        <v>0</v>
      </c>
      <c r="AT238" s="310"/>
      <c r="AU238" s="310"/>
      <c r="AV238" s="310"/>
      <c r="AW238" s="310"/>
      <c r="AX238" s="310">
        <f t="shared" si="73"/>
        <v>0</v>
      </c>
      <c r="AY238" s="310"/>
      <c r="AZ238" s="310"/>
      <c r="BA238" s="310"/>
      <c r="BB238" s="310"/>
      <c r="BC238" s="310"/>
      <c r="BD238" s="310"/>
      <c r="BE238" s="312"/>
      <c r="BF238" s="127" t="s">
        <v>56</v>
      </c>
      <c r="BG238" s="184" t="s">
        <v>392</v>
      </c>
      <c r="BH238" s="330" t="s">
        <v>176</v>
      </c>
    </row>
    <row r="239" s="77" customFormat="1" ht="15" hidden="1" spans="1:60">
      <c r="A239" s="301">
        <v>232</v>
      </c>
      <c r="B239" s="307" t="s">
        <v>19</v>
      </c>
      <c r="C239" s="307" t="s">
        <v>20</v>
      </c>
      <c r="D239" s="308">
        <v>2016</v>
      </c>
      <c r="E239" s="313" t="s">
        <v>401</v>
      </c>
      <c r="F239" s="308" t="s">
        <v>53</v>
      </c>
      <c r="G239" s="127" t="s">
        <v>56</v>
      </c>
      <c r="H239" s="310">
        <f t="shared" si="62"/>
        <v>3500000</v>
      </c>
      <c r="I239" s="310">
        <f t="shared" si="63"/>
        <v>3500000</v>
      </c>
      <c r="J239" s="310">
        <f t="shared" si="64"/>
        <v>0</v>
      </c>
      <c r="K239" s="310"/>
      <c r="L239" s="310"/>
      <c r="M239" s="310"/>
      <c r="N239" s="310"/>
      <c r="O239" s="310">
        <f t="shared" si="65"/>
        <v>3500000</v>
      </c>
      <c r="P239" s="310"/>
      <c r="Q239" s="310">
        <v>3500000</v>
      </c>
      <c r="R239" s="310"/>
      <c r="S239" s="310"/>
      <c r="T239" s="310">
        <f t="shared" si="66"/>
        <v>0</v>
      </c>
      <c r="U239" s="310"/>
      <c r="V239" s="310"/>
      <c r="W239" s="310"/>
      <c r="X239" s="310"/>
      <c r="Y239" s="310">
        <f t="shared" si="67"/>
        <v>0</v>
      </c>
      <c r="Z239" s="310"/>
      <c r="AA239" s="310"/>
      <c r="AB239" s="310"/>
      <c r="AC239" s="310"/>
      <c r="AD239" s="310"/>
      <c r="AE239" s="310"/>
      <c r="AF239" s="310"/>
      <c r="AG239" s="310">
        <f t="shared" si="68"/>
        <v>3500000</v>
      </c>
      <c r="AH239" s="310">
        <f t="shared" si="69"/>
        <v>3500000</v>
      </c>
      <c r="AI239" s="310">
        <f t="shared" si="70"/>
        <v>0</v>
      </c>
      <c r="AJ239" s="310"/>
      <c r="AK239" s="310"/>
      <c r="AL239" s="310"/>
      <c r="AM239" s="310"/>
      <c r="AN239" s="310">
        <f t="shared" si="71"/>
        <v>3500000</v>
      </c>
      <c r="AO239" s="310"/>
      <c r="AP239" s="310">
        <v>3500000</v>
      </c>
      <c r="AQ239" s="310"/>
      <c r="AR239" s="310"/>
      <c r="AS239" s="310">
        <f t="shared" si="72"/>
        <v>0</v>
      </c>
      <c r="AT239" s="310"/>
      <c r="AU239" s="310"/>
      <c r="AV239" s="310"/>
      <c r="AW239" s="310"/>
      <c r="AX239" s="310">
        <f t="shared" si="73"/>
        <v>0</v>
      </c>
      <c r="AY239" s="310"/>
      <c r="AZ239" s="310"/>
      <c r="BA239" s="310"/>
      <c r="BB239" s="310"/>
      <c r="BC239" s="310"/>
      <c r="BD239" s="310"/>
      <c r="BE239" s="312"/>
      <c r="BF239" s="127" t="s">
        <v>56</v>
      </c>
      <c r="BG239" s="184" t="s">
        <v>392</v>
      </c>
      <c r="BH239" s="330" t="s">
        <v>176</v>
      </c>
    </row>
    <row r="240" s="77" customFormat="1" ht="15" hidden="1" spans="1:60">
      <c r="A240" s="301">
        <v>233</v>
      </c>
      <c r="B240" s="307" t="s">
        <v>19</v>
      </c>
      <c r="C240" s="307" t="s">
        <v>20</v>
      </c>
      <c r="D240" s="308">
        <v>2016</v>
      </c>
      <c r="E240" s="313" t="s">
        <v>402</v>
      </c>
      <c r="F240" s="308" t="s">
        <v>53</v>
      </c>
      <c r="G240" s="127" t="s">
        <v>56</v>
      </c>
      <c r="H240" s="310">
        <f t="shared" si="62"/>
        <v>300000</v>
      </c>
      <c r="I240" s="310">
        <f t="shared" si="63"/>
        <v>300000</v>
      </c>
      <c r="J240" s="310">
        <f t="shared" si="64"/>
        <v>0</v>
      </c>
      <c r="K240" s="310"/>
      <c r="L240" s="310"/>
      <c r="M240" s="310"/>
      <c r="N240" s="310"/>
      <c r="O240" s="310">
        <f t="shared" si="65"/>
        <v>300000</v>
      </c>
      <c r="P240" s="310"/>
      <c r="Q240" s="310"/>
      <c r="R240" s="310"/>
      <c r="S240" s="310">
        <v>300000</v>
      </c>
      <c r="T240" s="310">
        <f t="shared" si="66"/>
        <v>0</v>
      </c>
      <c r="U240" s="310"/>
      <c r="V240" s="310"/>
      <c r="W240" s="310"/>
      <c r="X240" s="310"/>
      <c r="Y240" s="310">
        <f t="shared" si="67"/>
        <v>0</v>
      </c>
      <c r="Z240" s="310"/>
      <c r="AA240" s="310"/>
      <c r="AB240" s="310"/>
      <c r="AC240" s="310"/>
      <c r="AD240" s="310"/>
      <c r="AE240" s="310"/>
      <c r="AF240" s="310"/>
      <c r="AG240" s="310">
        <f t="shared" si="68"/>
        <v>300000</v>
      </c>
      <c r="AH240" s="310">
        <f t="shared" si="69"/>
        <v>300000</v>
      </c>
      <c r="AI240" s="310">
        <f t="shared" si="70"/>
        <v>0</v>
      </c>
      <c r="AJ240" s="310"/>
      <c r="AK240" s="310"/>
      <c r="AL240" s="310"/>
      <c r="AM240" s="310"/>
      <c r="AN240" s="310">
        <f t="shared" si="71"/>
        <v>300000</v>
      </c>
      <c r="AO240" s="310"/>
      <c r="AP240" s="310"/>
      <c r="AQ240" s="310"/>
      <c r="AR240" s="310">
        <v>300000</v>
      </c>
      <c r="AS240" s="310">
        <f t="shared" si="72"/>
        <v>0</v>
      </c>
      <c r="AT240" s="310"/>
      <c r="AU240" s="310"/>
      <c r="AV240" s="310"/>
      <c r="AW240" s="310"/>
      <c r="AX240" s="310">
        <f t="shared" si="73"/>
        <v>0</v>
      </c>
      <c r="AY240" s="310"/>
      <c r="AZ240" s="310"/>
      <c r="BA240" s="310"/>
      <c r="BB240" s="310"/>
      <c r="BC240" s="310"/>
      <c r="BD240" s="310"/>
      <c r="BE240" s="312"/>
      <c r="BF240" s="127" t="s">
        <v>56</v>
      </c>
      <c r="BG240" s="184" t="s">
        <v>392</v>
      </c>
      <c r="BH240" s="330" t="s">
        <v>176</v>
      </c>
    </row>
    <row r="241" s="77" customFormat="1" ht="15" hidden="1" spans="1:60">
      <c r="A241" s="301">
        <v>234</v>
      </c>
      <c r="B241" s="307" t="s">
        <v>19</v>
      </c>
      <c r="C241" s="307" t="s">
        <v>20</v>
      </c>
      <c r="D241" s="308">
        <v>2016</v>
      </c>
      <c r="E241" s="313" t="s">
        <v>403</v>
      </c>
      <c r="F241" s="308" t="s">
        <v>53</v>
      </c>
      <c r="G241" s="127" t="s">
        <v>56</v>
      </c>
      <c r="H241" s="310">
        <f t="shared" si="62"/>
        <v>900000</v>
      </c>
      <c r="I241" s="310">
        <f t="shared" si="63"/>
        <v>900000</v>
      </c>
      <c r="J241" s="310">
        <f t="shared" si="64"/>
        <v>0</v>
      </c>
      <c r="K241" s="310"/>
      <c r="L241" s="310"/>
      <c r="M241" s="310"/>
      <c r="N241" s="310"/>
      <c r="O241" s="310">
        <f t="shared" si="65"/>
        <v>900000</v>
      </c>
      <c r="P241" s="310"/>
      <c r="Q241" s="310"/>
      <c r="R241" s="310"/>
      <c r="S241" s="310">
        <v>900000</v>
      </c>
      <c r="T241" s="310">
        <f t="shared" si="66"/>
        <v>0</v>
      </c>
      <c r="U241" s="310"/>
      <c r="V241" s="310"/>
      <c r="W241" s="310"/>
      <c r="X241" s="310"/>
      <c r="Y241" s="310">
        <f t="shared" si="67"/>
        <v>0</v>
      </c>
      <c r="Z241" s="310"/>
      <c r="AA241" s="310"/>
      <c r="AB241" s="310"/>
      <c r="AC241" s="310"/>
      <c r="AD241" s="310"/>
      <c r="AE241" s="310"/>
      <c r="AF241" s="310"/>
      <c r="AG241" s="310">
        <f t="shared" si="68"/>
        <v>900000</v>
      </c>
      <c r="AH241" s="310">
        <f t="shared" si="69"/>
        <v>900000</v>
      </c>
      <c r="AI241" s="310">
        <f t="shared" si="70"/>
        <v>0</v>
      </c>
      <c r="AJ241" s="310"/>
      <c r="AK241" s="310"/>
      <c r="AL241" s="310"/>
      <c r="AM241" s="310"/>
      <c r="AN241" s="310">
        <f t="shared" si="71"/>
        <v>900000</v>
      </c>
      <c r="AO241" s="310"/>
      <c r="AP241" s="310"/>
      <c r="AQ241" s="310">
        <v>900000</v>
      </c>
      <c r="AR241" s="310"/>
      <c r="AS241" s="310">
        <f t="shared" si="72"/>
        <v>0</v>
      </c>
      <c r="AT241" s="310"/>
      <c r="AU241" s="310"/>
      <c r="AV241" s="310"/>
      <c r="AW241" s="310"/>
      <c r="AX241" s="310">
        <f t="shared" si="73"/>
        <v>0</v>
      </c>
      <c r="AY241" s="310"/>
      <c r="AZ241" s="310"/>
      <c r="BA241" s="310"/>
      <c r="BB241" s="310"/>
      <c r="BC241" s="310"/>
      <c r="BD241" s="310"/>
      <c r="BE241" s="312"/>
      <c r="BF241" s="127" t="s">
        <v>56</v>
      </c>
      <c r="BG241" s="184" t="s">
        <v>392</v>
      </c>
      <c r="BH241" s="330" t="s">
        <v>176</v>
      </c>
    </row>
    <row r="242" s="77" customFormat="1" ht="15" hidden="1" spans="1:60">
      <c r="A242" s="301">
        <v>235</v>
      </c>
      <c r="B242" s="307" t="s">
        <v>19</v>
      </c>
      <c r="C242" s="307" t="s">
        <v>20</v>
      </c>
      <c r="D242" s="308">
        <v>2016</v>
      </c>
      <c r="E242" s="313" t="s">
        <v>404</v>
      </c>
      <c r="F242" s="308" t="s">
        <v>53</v>
      </c>
      <c r="G242" s="127" t="s">
        <v>56</v>
      </c>
      <c r="H242" s="310">
        <f t="shared" si="62"/>
        <v>880000</v>
      </c>
      <c r="I242" s="310">
        <f t="shared" si="63"/>
        <v>880000</v>
      </c>
      <c r="J242" s="310">
        <f t="shared" si="64"/>
        <v>0</v>
      </c>
      <c r="K242" s="310"/>
      <c r="L242" s="310"/>
      <c r="M242" s="310"/>
      <c r="N242" s="310"/>
      <c r="O242" s="310">
        <f t="shared" si="65"/>
        <v>880000</v>
      </c>
      <c r="P242" s="310"/>
      <c r="Q242" s="310"/>
      <c r="R242" s="310"/>
      <c r="S242" s="310">
        <v>880000</v>
      </c>
      <c r="T242" s="310">
        <f t="shared" si="66"/>
        <v>0</v>
      </c>
      <c r="U242" s="310"/>
      <c r="V242" s="310"/>
      <c r="W242" s="310"/>
      <c r="X242" s="310"/>
      <c r="Y242" s="310">
        <f t="shared" si="67"/>
        <v>0</v>
      </c>
      <c r="Z242" s="310"/>
      <c r="AA242" s="310"/>
      <c r="AB242" s="310"/>
      <c r="AC242" s="310"/>
      <c r="AD242" s="310"/>
      <c r="AE242" s="310"/>
      <c r="AF242" s="310"/>
      <c r="AG242" s="310">
        <f t="shared" si="68"/>
        <v>880000</v>
      </c>
      <c r="AH242" s="310">
        <f t="shared" si="69"/>
        <v>880000</v>
      </c>
      <c r="AI242" s="310">
        <f t="shared" si="70"/>
        <v>0</v>
      </c>
      <c r="AJ242" s="310"/>
      <c r="AK242" s="310"/>
      <c r="AL242" s="310"/>
      <c r="AM242" s="310"/>
      <c r="AN242" s="310">
        <f t="shared" si="71"/>
        <v>880000</v>
      </c>
      <c r="AO242" s="310"/>
      <c r="AP242" s="310"/>
      <c r="AQ242" s="310">
        <v>880000</v>
      </c>
      <c r="AR242" s="310"/>
      <c r="AS242" s="310">
        <f t="shared" si="72"/>
        <v>0</v>
      </c>
      <c r="AT242" s="310"/>
      <c r="AU242" s="310"/>
      <c r="AV242" s="310"/>
      <c r="AW242" s="310"/>
      <c r="AX242" s="310">
        <f t="shared" si="73"/>
        <v>0</v>
      </c>
      <c r="AY242" s="310"/>
      <c r="AZ242" s="310"/>
      <c r="BA242" s="310"/>
      <c r="BB242" s="310"/>
      <c r="BC242" s="310"/>
      <c r="BD242" s="310"/>
      <c r="BE242" s="312"/>
      <c r="BF242" s="127" t="s">
        <v>56</v>
      </c>
      <c r="BG242" s="184" t="s">
        <v>392</v>
      </c>
      <c r="BH242" s="330" t="s">
        <v>176</v>
      </c>
    </row>
    <row r="243" s="77" customFormat="1" ht="15" hidden="1" spans="1:60">
      <c r="A243" s="301">
        <v>236</v>
      </c>
      <c r="B243" s="307" t="s">
        <v>19</v>
      </c>
      <c r="C243" s="307" t="s">
        <v>20</v>
      </c>
      <c r="D243" s="308">
        <v>2016</v>
      </c>
      <c r="E243" s="313" t="s">
        <v>405</v>
      </c>
      <c r="F243" s="308" t="s">
        <v>53</v>
      </c>
      <c r="G243" s="127" t="s">
        <v>56</v>
      </c>
      <c r="H243" s="310">
        <f t="shared" si="62"/>
        <v>2160000</v>
      </c>
      <c r="I243" s="310">
        <f t="shared" si="63"/>
        <v>2160000</v>
      </c>
      <c r="J243" s="310">
        <f t="shared" si="64"/>
        <v>0</v>
      </c>
      <c r="K243" s="310"/>
      <c r="L243" s="310"/>
      <c r="M243" s="310"/>
      <c r="N243" s="310"/>
      <c r="O243" s="310">
        <f t="shared" si="65"/>
        <v>2160000</v>
      </c>
      <c r="P243" s="310"/>
      <c r="Q243" s="310"/>
      <c r="R243" s="310">
        <v>2160000</v>
      </c>
      <c r="S243" s="310"/>
      <c r="T243" s="310">
        <f t="shared" si="66"/>
        <v>0</v>
      </c>
      <c r="U243" s="310"/>
      <c r="V243" s="310"/>
      <c r="W243" s="310"/>
      <c r="X243" s="310"/>
      <c r="Y243" s="310">
        <f t="shared" si="67"/>
        <v>0</v>
      </c>
      <c r="Z243" s="310"/>
      <c r="AA243" s="310"/>
      <c r="AB243" s="310"/>
      <c r="AC243" s="310"/>
      <c r="AD243" s="310"/>
      <c r="AE243" s="310"/>
      <c r="AF243" s="310"/>
      <c r="AG243" s="310">
        <f t="shared" si="68"/>
        <v>2160000</v>
      </c>
      <c r="AH243" s="310">
        <f t="shared" si="69"/>
        <v>2160000</v>
      </c>
      <c r="AI243" s="310">
        <f t="shared" si="70"/>
        <v>0</v>
      </c>
      <c r="AJ243" s="310"/>
      <c r="AK243" s="310"/>
      <c r="AL243" s="310"/>
      <c r="AM243" s="310"/>
      <c r="AN243" s="310">
        <f t="shared" si="71"/>
        <v>2160000</v>
      </c>
      <c r="AO243" s="310"/>
      <c r="AP243" s="310">
        <v>2160000</v>
      </c>
      <c r="AQ243" s="310"/>
      <c r="AR243" s="310"/>
      <c r="AS243" s="310">
        <f t="shared" si="72"/>
        <v>0</v>
      </c>
      <c r="AT243" s="310"/>
      <c r="AU243" s="310"/>
      <c r="AV243" s="310"/>
      <c r="AW243" s="310"/>
      <c r="AX243" s="310">
        <f t="shared" si="73"/>
        <v>0</v>
      </c>
      <c r="AY243" s="310"/>
      <c r="AZ243" s="310"/>
      <c r="BA243" s="310"/>
      <c r="BB243" s="310"/>
      <c r="BC243" s="310"/>
      <c r="BD243" s="310"/>
      <c r="BE243" s="312"/>
      <c r="BF243" s="127" t="s">
        <v>56</v>
      </c>
      <c r="BG243" s="184" t="s">
        <v>392</v>
      </c>
      <c r="BH243" s="330" t="s">
        <v>176</v>
      </c>
    </row>
    <row r="244" s="77" customFormat="1" ht="15" hidden="1" spans="1:60">
      <c r="A244" s="301">
        <v>237</v>
      </c>
      <c r="B244" s="307" t="s">
        <v>19</v>
      </c>
      <c r="C244" s="307" t="s">
        <v>20</v>
      </c>
      <c r="D244" s="308">
        <v>2016</v>
      </c>
      <c r="E244" s="313" t="s">
        <v>406</v>
      </c>
      <c r="F244" s="308" t="s">
        <v>53</v>
      </c>
      <c r="G244" s="127" t="s">
        <v>56</v>
      </c>
      <c r="H244" s="310">
        <f t="shared" si="62"/>
        <v>1050000</v>
      </c>
      <c r="I244" s="310">
        <f t="shared" si="63"/>
        <v>1050000</v>
      </c>
      <c r="J244" s="310">
        <f t="shared" si="64"/>
        <v>0</v>
      </c>
      <c r="K244" s="310"/>
      <c r="L244" s="310"/>
      <c r="M244" s="310"/>
      <c r="N244" s="310"/>
      <c r="O244" s="310">
        <f t="shared" si="65"/>
        <v>1050000</v>
      </c>
      <c r="P244" s="310"/>
      <c r="Q244" s="310"/>
      <c r="R244" s="310">
        <v>1050000</v>
      </c>
      <c r="S244" s="310"/>
      <c r="T244" s="310">
        <f t="shared" si="66"/>
        <v>0</v>
      </c>
      <c r="U244" s="310"/>
      <c r="V244" s="310"/>
      <c r="W244" s="310"/>
      <c r="X244" s="310"/>
      <c r="Y244" s="310">
        <f t="shared" si="67"/>
        <v>0</v>
      </c>
      <c r="Z244" s="310"/>
      <c r="AA244" s="310"/>
      <c r="AB244" s="310"/>
      <c r="AC244" s="310"/>
      <c r="AD244" s="310"/>
      <c r="AE244" s="310"/>
      <c r="AF244" s="310"/>
      <c r="AG244" s="310">
        <f t="shared" si="68"/>
        <v>1050000</v>
      </c>
      <c r="AH244" s="310">
        <f t="shared" si="69"/>
        <v>1050000</v>
      </c>
      <c r="AI244" s="310">
        <f t="shared" si="70"/>
        <v>0</v>
      </c>
      <c r="AJ244" s="310"/>
      <c r="AK244" s="310"/>
      <c r="AL244" s="310"/>
      <c r="AM244" s="310"/>
      <c r="AN244" s="310">
        <f t="shared" si="71"/>
        <v>1050000</v>
      </c>
      <c r="AO244" s="310"/>
      <c r="AP244" s="310">
        <v>1050000</v>
      </c>
      <c r="AQ244" s="310"/>
      <c r="AR244" s="310"/>
      <c r="AS244" s="310">
        <f t="shared" si="72"/>
        <v>0</v>
      </c>
      <c r="AT244" s="310"/>
      <c r="AU244" s="310"/>
      <c r="AV244" s="310"/>
      <c r="AW244" s="310"/>
      <c r="AX244" s="310">
        <f t="shared" si="73"/>
        <v>0</v>
      </c>
      <c r="AY244" s="310"/>
      <c r="AZ244" s="310"/>
      <c r="BA244" s="310"/>
      <c r="BB244" s="310"/>
      <c r="BC244" s="310"/>
      <c r="BD244" s="310"/>
      <c r="BE244" s="312"/>
      <c r="BF244" s="127" t="s">
        <v>56</v>
      </c>
      <c r="BG244" s="184" t="s">
        <v>392</v>
      </c>
      <c r="BH244" s="330" t="s">
        <v>176</v>
      </c>
    </row>
    <row r="245" s="77" customFormat="1" ht="15" hidden="1" spans="1:60">
      <c r="A245" s="301">
        <v>238</v>
      </c>
      <c r="B245" s="307" t="s">
        <v>19</v>
      </c>
      <c r="C245" s="307" t="s">
        <v>20</v>
      </c>
      <c r="D245" s="308">
        <v>2016</v>
      </c>
      <c r="E245" s="313" t="s">
        <v>407</v>
      </c>
      <c r="F245" s="308" t="s">
        <v>53</v>
      </c>
      <c r="G245" s="127" t="s">
        <v>56</v>
      </c>
      <c r="H245" s="310">
        <f t="shared" si="62"/>
        <v>800000</v>
      </c>
      <c r="I245" s="310">
        <f t="shared" si="63"/>
        <v>800000</v>
      </c>
      <c r="J245" s="310">
        <f t="shared" si="64"/>
        <v>0</v>
      </c>
      <c r="K245" s="310"/>
      <c r="L245" s="310"/>
      <c r="M245" s="310"/>
      <c r="N245" s="310"/>
      <c r="O245" s="310">
        <f t="shared" si="65"/>
        <v>800000</v>
      </c>
      <c r="P245" s="310"/>
      <c r="Q245" s="310"/>
      <c r="R245" s="310">
        <v>800000</v>
      </c>
      <c r="S245" s="310"/>
      <c r="T245" s="310">
        <f t="shared" si="66"/>
        <v>0</v>
      </c>
      <c r="U245" s="310"/>
      <c r="V245" s="310"/>
      <c r="W245" s="310"/>
      <c r="X245" s="310"/>
      <c r="Y245" s="310">
        <f t="shared" si="67"/>
        <v>0</v>
      </c>
      <c r="Z245" s="310"/>
      <c r="AA245" s="310"/>
      <c r="AB245" s="310"/>
      <c r="AC245" s="310"/>
      <c r="AD245" s="310"/>
      <c r="AE245" s="310"/>
      <c r="AF245" s="310"/>
      <c r="AG245" s="310">
        <f t="shared" si="68"/>
        <v>800000</v>
      </c>
      <c r="AH245" s="310">
        <f t="shared" si="69"/>
        <v>800000</v>
      </c>
      <c r="AI245" s="310">
        <f t="shared" si="70"/>
        <v>0</v>
      </c>
      <c r="AJ245" s="310"/>
      <c r="AK245" s="310"/>
      <c r="AL245" s="310"/>
      <c r="AM245" s="310"/>
      <c r="AN245" s="310">
        <f t="shared" si="71"/>
        <v>800000</v>
      </c>
      <c r="AO245" s="310"/>
      <c r="AP245" s="310"/>
      <c r="AQ245" s="310">
        <v>800000</v>
      </c>
      <c r="AR245" s="310"/>
      <c r="AS245" s="310">
        <f t="shared" si="72"/>
        <v>0</v>
      </c>
      <c r="AT245" s="310"/>
      <c r="AU245" s="310"/>
      <c r="AV245" s="310"/>
      <c r="AW245" s="310"/>
      <c r="AX245" s="310">
        <f t="shared" si="73"/>
        <v>0</v>
      </c>
      <c r="AY245" s="310"/>
      <c r="AZ245" s="310"/>
      <c r="BA245" s="310"/>
      <c r="BB245" s="310"/>
      <c r="BC245" s="310"/>
      <c r="BD245" s="310"/>
      <c r="BE245" s="312"/>
      <c r="BF245" s="127" t="s">
        <v>56</v>
      </c>
      <c r="BG245" s="184" t="s">
        <v>392</v>
      </c>
      <c r="BH245" s="330" t="s">
        <v>176</v>
      </c>
    </row>
    <row r="246" s="77" customFormat="1" ht="15" hidden="1" spans="1:60">
      <c r="A246" s="301">
        <v>239</v>
      </c>
      <c r="B246" s="307" t="s">
        <v>19</v>
      </c>
      <c r="C246" s="307" t="s">
        <v>20</v>
      </c>
      <c r="D246" s="308">
        <v>2016</v>
      </c>
      <c r="E246" s="313" t="s">
        <v>408</v>
      </c>
      <c r="F246" s="308" t="s">
        <v>53</v>
      </c>
      <c r="G246" s="127" t="s">
        <v>56</v>
      </c>
      <c r="H246" s="310">
        <f t="shared" si="62"/>
        <v>300000</v>
      </c>
      <c r="I246" s="310">
        <f t="shared" si="63"/>
        <v>300000</v>
      </c>
      <c r="J246" s="310">
        <f t="shared" si="64"/>
        <v>0</v>
      </c>
      <c r="K246" s="310"/>
      <c r="L246" s="310"/>
      <c r="M246" s="310"/>
      <c r="N246" s="310"/>
      <c r="O246" s="310">
        <f t="shared" si="65"/>
        <v>300000</v>
      </c>
      <c r="P246" s="310"/>
      <c r="Q246" s="310"/>
      <c r="R246" s="310"/>
      <c r="S246" s="310">
        <v>300000</v>
      </c>
      <c r="T246" s="310">
        <f t="shared" si="66"/>
        <v>0</v>
      </c>
      <c r="U246" s="310"/>
      <c r="V246" s="310"/>
      <c r="W246" s="310"/>
      <c r="X246" s="310"/>
      <c r="Y246" s="310">
        <f t="shared" si="67"/>
        <v>0</v>
      </c>
      <c r="Z246" s="310"/>
      <c r="AA246" s="310"/>
      <c r="AB246" s="310"/>
      <c r="AC246" s="310"/>
      <c r="AD246" s="310"/>
      <c r="AE246" s="310"/>
      <c r="AF246" s="310"/>
      <c r="AG246" s="310">
        <f t="shared" si="68"/>
        <v>300000</v>
      </c>
      <c r="AH246" s="310">
        <f t="shared" si="69"/>
        <v>300000</v>
      </c>
      <c r="AI246" s="310">
        <f t="shared" si="70"/>
        <v>0</v>
      </c>
      <c r="AJ246" s="310"/>
      <c r="AK246" s="310"/>
      <c r="AL246" s="310"/>
      <c r="AM246" s="310"/>
      <c r="AN246" s="310">
        <f t="shared" si="71"/>
        <v>300000</v>
      </c>
      <c r="AO246" s="310"/>
      <c r="AP246" s="310"/>
      <c r="AQ246" s="310">
        <v>300000</v>
      </c>
      <c r="AR246" s="310"/>
      <c r="AS246" s="310">
        <f t="shared" si="72"/>
        <v>0</v>
      </c>
      <c r="AT246" s="310"/>
      <c r="AU246" s="310"/>
      <c r="AV246" s="310"/>
      <c r="AW246" s="310"/>
      <c r="AX246" s="310">
        <f t="shared" si="73"/>
        <v>0</v>
      </c>
      <c r="AY246" s="310"/>
      <c r="AZ246" s="310"/>
      <c r="BA246" s="310"/>
      <c r="BB246" s="310"/>
      <c r="BC246" s="310"/>
      <c r="BD246" s="310"/>
      <c r="BE246" s="312"/>
      <c r="BF246" s="127" t="s">
        <v>56</v>
      </c>
      <c r="BG246" s="184" t="s">
        <v>392</v>
      </c>
      <c r="BH246" s="330" t="s">
        <v>176</v>
      </c>
    </row>
    <row r="247" s="77" customFormat="1" ht="15" hidden="1" spans="1:60">
      <c r="A247" s="301">
        <v>240</v>
      </c>
      <c r="B247" s="307" t="s">
        <v>19</v>
      </c>
      <c r="C247" s="307" t="s">
        <v>20</v>
      </c>
      <c r="D247" s="308">
        <v>2016</v>
      </c>
      <c r="E247" s="313" t="s">
        <v>409</v>
      </c>
      <c r="F247" s="308" t="s">
        <v>53</v>
      </c>
      <c r="G247" s="127" t="s">
        <v>56</v>
      </c>
      <c r="H247" s="310">
        <f t="shared" si="62"/>
        <v>550000</v>
      </c>
      <c r="I247" s="310">
        <f t="shared" si="63"/>
        <v>550000</v>
      </c>
      <c r="J247" s="310">
        <f t="shared" si="64"/>
        <v>0</v>
      </c>
      <c r="K247" s="310"/>
      <c r="L247" s="310"/>
      <c r="M247" s="310"/>
      <c r="N247" s="310"/>
      <c r="O247" s="310">
        <f t="shared" si="65"/>
        <v>550000</v>
      </c>
      <c r="P247" s="310"/>
      <c r="Q247" s="310"/>
      <c r="R247" s="310">
        <v>550000</v>
      </c>
      <c r="S247" s="310"/>
      <c r="T247" s="310">
        <f t="shared" si="66"/>
        <v>0</v>
      </c>
      <c r="U247" s="310"/>
      <c r="V247" s="310"/>
      <c r="W247" s="310"/>
      <c r="X247" s="310"/>
      <c r="Y247" s="310">
        <f t="shared" si="67"/>
        <v>0</v>
      </c>
      <c r="Z247" s="310"/>
      <c r="AA247" s="310"/>
      <c r="AB247" s="310"/>
      <c r="AC247" s="310"/>
      <c r="AD247" s="310"/>
      <c r="AE247" s="310"/>
      <c r="AF247" s="310"/>
      <c r="AG247" s="310">
        <f t="shared" si="68"/>
        <v>550000</v>
      </c>
      <c r="AH247" s="310">
        <f t="shared" si="69"/>
        <v>550000</v>
      </c>
      <c r="AI247" s="310">
        <f t="shared" si="70"/>
        <v>0</v>
      </c>
      <c r="AJ247" s="310"/>
      <c r="AK247" s="310"/>
      <c r="AL247" s="310"/>
      <c r="AM247" s="310"/>
      <c r="AN247" s="310">
        <f t="shared" si="71"/>
        <v>550000</v>
      </c>
      <c r="AO247" s="310"/>
      <c r="AP247" s="310"/>
      <c r="AQ247" s="310">
        <v>550000</v>
      </c>
      <c r="AR247" s="310"/>
      <c r="AS247" s="310">
        <f t="shared" si="72"/>
        <v>0</v>
      </c>
      <c r="AT247" s="310"/>
      <c r="AU247" s="310"/>
      <c r="AV247" s="310"/>
      <c r="AW247" s="310"/>
      <c r="AX247" s="310">
        <f t="shared" si="73"/>
        <v>0</v>
      </c>
      <c r="AY247" s="310"/>
      <c r="AZ247" s="310"/>
      <c r="BA247" s="310"/>
      <c r="BB247" s="310"/>
      <c r="BC247" s="310"/>
      <c r="BD247" s="310"/>
      <c r="BE247" s="312"/>
      <c r="BF247" s="127" t="s">
        <v>56</v>
      </c>
      <c r="BG247" s="184" t="s">
        <v>392</v>
      </c>
      <c r="BH247" s="330" t="s">
        <v>176</v>
      </c>
    </row>
    <row r="248" s="77" customFormat="1" ht="15" hidden="1" spans="1:60">
      <c r="A248" s="301">
        <v>241</v>
      </c>
      <c r="B248" s="307" t="s">
        <v>19</v>
      </c>
      <c r="C248" s="307" t="s">
        <v>20</v>
      </c>
      <c r="D248" s="308">
        <v>2016</v>
      </c>
      <c r="E248" s="313" t="s">
        <v>410</v>
      </c>
      <c r="F248" s="308" t="s">
        <v>53</v>
      </c>
      <c r="G248" s="127" t="s">
        <v>56</v>
      </c>
      <c r="H248" s="310">
        <f t="shared" si="62"/>
        <v>1600000</v>
      </c>
      <c r="I248" s="310">
        <f t="shared" si="63"/>
        <v>1600000</v>
      </c>
      <c r="J248" s="310">
        <f t="shared" si="64"/>
        <v>0</v>
      </c>
      <c r="K248" s="310"/>
      <c r="L248" s="310"/>
      <c r="M248" s="310"/>
      <c r="N248" s="310"/>
      <c r="O248" s="310">
        <f t="shared" si="65"/>
        <v>1600000</v>
      </c>
      <c r="P248" s="310"/>
      <c r="Q248" s="310">
        <v>1600000</v>
      </c>
      <c r="R248" s="310"/>
      <c r="S248" s="310"/>
      <c r="T248" s="310">
        <f t="shared" si="66"/>
        <v>0</v>
      </c>
      <c r="U248" s="310"/>
      <c r="V248" s="310"/>
      <c r="W248" s="310"/>
      <c r="X248" s="310"/>
      <c r="Y248" s="310">
        <f t="shared" si="67"/>
        <v>0</v>
      </c>
      <c r="Z248" s="310"/>
      <c r="AA248" s="310"/>
      <c r="AB248" s="310"/>
      <c r="AC248" s="310"/>
      <c r="AD248" s="310"/>
      <c r="AE248" s="310"/>
      <c r="AF248" s="310"/>
      <c r="AG248" s="310">
        <f t="shared" si="68"/>
        <v>1600000</v>
      </c>
      <c r="AH248" s="310">
        <f t="shared" si="69"/>
        <v>1600000</v>
      </c>
      <c r="AI248" s="310">
        <f t="shared" si="70"/>
        <v>0</v>
      </c>
      <c r="AJ248" s="310"/>
      <c r="AK248" s="310"/>
      <c r="AL248" s="310"/>
      <c r="AM248" s="310"/>
      <c r="AN248" s="310">
        <f t="shared" si="71"/>
        <v>1600000</v>
      </c>
      <c r="AO248" s="310"/>
      <c r="AP248" s="310">
        <v>1600000</v>
      </c>
      <c r="AQ248" s="310"/>
      <c r="AR248" s="310"/>
      <c r="AS248" s="310">
        <f t="shared" si="72"/>
        <v>0</v>
      </c>
      <c r="AT248" s="310"/>
      <c r="AU248" s="310"/>
      <c r="AV248" s="310"/>
      <c r="AW248" s="310"/>
      <c r="AX248" s="310">
        <f t="shared" si="73"/>
        <v>0</v>
      </c>
      <c r="AY248" s="310"/>
      <c r="AZ248" s="310"/>
      <c r="BA248" s="310"/>
      <c r="BB248" s="310"/>
      <c r="BC248" s="310"/>
      <c r="BD248" s="310"/>
      <c r="BE248" s="312"/>
      <c r="BF248" s="127" t="s">
        <v>56</v>
      </c>
      <c r="BG248" s="184" t="s">
        <v>392</v>
      </c>
      <c r="BH248" s="330" t="s">
        <v>176</v>
      </c>
    </row>
    <row r="249" s="77" customFormat="1" ht="15" hidden="1" spans="1:60">
      <c r="A249" s="301">
        <v>242</v>
      </c>
      <c r="B249" s="307" t="s">
        <v>19</v>
      </c>
      <c r="C249" s="307" t="s">
        <v>20</v>
      </c>
      <c r="D249" s="308">
        <v>2016</v>
      </c>
      <c r="E249" s="313" t="s">
        <v>411</v>
      </c>
      <c r="F249" s="308" t="s">
        <v>53</v>
      </c>
      <c r="G249" s="127" t="s">
        <v>56</v>
      </c>
      <c r="H249" s="310">
        <f t="shared" ref="H249:H288" si="74">I249+AF249</f>
        <v>3200000</v>
      </c>
      <c r="I249" s="310">
        <f t="shared" ref="I249:I288" si="75">O249+J249+T249+Y249+AE249+AC249+AD249</f>
        <v>3200000</v>
      </c>
      <c r="J249" s="310">
        <f t="shared" ref="J249:J288" si="76">N249+M249+L249+K249</f>
        <v>0</v>
      </c>
      <c r="K249" s="310"/>
      <c r="L249" s="310"/>
      <c r="M249" s="310"/>
      <c r="N249" s="310"/>
      <c r="O249" s="310">
        <f t="shared" ref="O249:O288" si="77">S249+R249+Q249+P249</f>
        <v>3200000</v>
      </c>
      <c r="P249" s="310"/>
      <c r="Q249" s="310">
        <v>3200000</v>
      </c>
      <c r="R249" s="310"/>
      <c r="S249" s="310"/>
      <c r="T249" s="310">
        <f t="shared" ref="T249:T288" si="78">U249+V249+W249+X249</f>
        <v>0</v>
      </c>
      <c r="U249" s="310"/>
      <c r="V249" s="310"/>
      <c r="W249" s="310"/>
      <c r="X249" s="310"/>
      <c r="Y249" s="310">
        <f t="shared" ref="Y249:Y288" si="79">AA249+Z249+AB249</f>
        <v>0</v>
      </c>
      <c r="Z249" s="310"/>
      <c r="AA249" s="310"/>
      <c r="AB249" s="310"/>
      <c r="AC249" s="310"/>
      <c r="AD249" s="310"/>
      <c r="AE249" s="310"/>
      <c r="AF249" s="310"/>
      <c r="AG249" s="310">
        <f t="shared" ref="AG249:AG288" si="80">AH249+BE249</f>
        <v>3200000</v>
      </c>
      <c r="AH249" s="310">
        <f t="shared" ref="AH249:AH288" si="81">AN249+AI249+AS249+AX249+BD249+BB249+BC249</f>
        <v>3200000</v>
      </c>
      <c r="AI249" s="310">
        <f t="shared" ref="AI249:AI288" si="82">AM249+AL249+AK249+AJ249</f>
        <v>0</v>
      </c>
      <c r="AJ249" s="310"/>
      <c r="AK249" s="310"/>
      <c r="AL249" s="310"/>
      <c r="AM249" s="310"/>
      <c r="AN249" s="310">
        <f t="shared" ref="AN249:AN288" si="83">AR249+AQ249+AP249+AO249</f>
        <v>3200000</v>
      </c>
      <c r="AO249" s="310"/>
      <c r="AP249" s="310">
        <v>3200000</v>
      </c>
      <c r="AQ249" s="310"/>
      <c r="AR249" s="310"/>
      <c r="AS249" s="310">
        <f t="shared" ref="AS249:AS288" si="84">AW249+AV249+AU249+AT249</f>
        <v>0</v>
      </c>
      <c r="AT249" s="310"/>
      <c r="AU249" s="310"/>
      <c r="AV249" s="310"/>
      <c r="AW249" s="310"/>
      <c r="AX249" s="310">
        <f t="shared" ref="AX249:AX288" si="85">AZ249+AY249+BA249</f>
        <v>0</v>
      </c>
      <c r="AY249" s="310"/>
      <c r="AZ249" s="310"/>
      <c r="BA249" s="310"/>
      <c r="BB249" s="310"/>
      <c r="BC249" s="310"/>
      <c r="BD249" s="310"/>
      <c r="BE249" s="312"/>
      <c r="BF249" s="127" t="s">
        <v>56</v>
      </c>
      <c r="BG249" s="184" t="s">
        <v>392</v>
      </c>
      <c r="BH249" s="330" t="s">
        <v>176</v>
      </c>
    </row>
    <row r="250" s="77" customFormat="1" ht="15" hidden="1" spans="1:60">
      <c r="A250" s="301">
        <v>243</v>
      </c>
      <c r="B250" s="307" t="s">
        <v>19</v>
      </c>
      <c r="C250" s="307" t="s">
        <v>20</v>
      </c>
      <c r="D250" s="308">
        <v>2016</v>
      </c>
      <c r="E250" s="313" t="s">
        <v>412</v>
      </c>
      <c r="F250" s="308" t="s">
        <v>53</v>
      </c>
      <c r="G250" s="127" t="s">
        <v>56</v>
      </c>
      <c r="H250" s="310">
        <f t="shared" si="74"/>
        <v>1820000</v>
      </c>
      <c r="I250" s="310">
        <f t="shared" si="75"/>
        <v>1820000</v>
      </c>
      <c r="J250" s="310">
        <f t="shared" si="76"/>
        <v>0</v>
      </c>
      <c r="K250" s="310"/>
      <c r="L250" s="310"/>
      <c r="M250" s="310"/>
      <c r="N250" s="310"/>
      <c r="O250" s="310">
        <f t="shared" si="77"/>
        <v>1820000</v>
      </c>
      <c r="P250" s="310"/>
      <c r="Q250" s="310"/>
      <c r="R250" s="310">
        <v>1820000</v>
      </c>
      <c r="S250" s="310"/>
      <c r="T250" s="310">
        <f t="shared" si="78"/>
        <v>0</v>
      </c>
      <c r="U250" s="310"/>
      <c r="V250" s="310"/>
      <c r="W250" s="310"/>
      <c r="X250" s="310"/>
      <c r="Y250" s="310">
        <f t="shared" si="79"/>
        <v>0</v>
      </c>
      <c r="Z250" s="310"/>
      <c r="AA250" s="310"/>
      <c r="AB250" s="310"/>
      <c r="AC250" s="310"/>
      <c r="AD250" s="310"/>
      <c r="AE250" s="310"/>
      <c r="AF250" s="310"/>
      <c r="AG250" s="310">
        <f t="shared" si="80"/>
        <v>1820000</v>
      </c>
      <c r="AH250" s="310">
        <f t="shared" si="81"/>
        <v>1820000</v>
      </c>
      <c r="AI250" s="310">
        <f t="shared" si="82"/>
        <v>0</v>
      </c>
      <c r="AJ250" s="310"/>
      <c r="AK250" s="310"/>
      <c r="AL250" s="310"/>
      <c r="AM250" s="310"/>
      <c r="AN250" s="310">
        <f t="shared" si="83"/>
        <v>1820000</v>
      </c>
      <c r="AO250" s="310"/>
      <c r="AP250" s="310">
        <v>1820000</v>
      </c>
      <c r="AQ250" s="310"/>
      <c r="AR250" s="310"/>
      <c r="AS250" s="310">
        <f t="shared" si="84"/>
        <v>0</v>
      </c>
      <c r="AT250" s="310"/>
      <c r="AU250" s="310"/>
      <c r="AV250" s="310"/>
      <c r="AW250" s="310"/>
      <c r="AX250" s="310">
        <f t="shared" si="85"/>
        <v>0</v>
      </c>
      <c r="AY250" s="310"/>
      <c r="AZ250" s="310"/>
      <c r="BA250" s="310"/>
      <c r="BB250" s="310"/>
      <c r="BC250" s="310"/>
      <c r="BD250" s="310"/>
      <c r="BE250" s="312"/>
      <c r="BF250" s="127" t="s">
        <v>56</v>
      </c>
      <c r="BG250" s="184" t="s">
        <v>392</v>
      </c>
      <c r="BH250" s="330" t="s">
        <v>176</v>
      </c>
    </row>
    <row r="251" s="77" customFormat="1" ht="15" hidden="1" spans="1:60">
      <c r="A251" s="301">
        <v>244</v>
      </c>
      <c r="B251" s="307" t="s">
        <v>19</v>
      </c>
      <c r="C251" s="307" t="s">
        <v>20</v>
      </c>
      <c r="D251" s="308">
        <v>2016</v>
      </c>
      <c r="E251" s="343" t="s">
        <v>413</v>
      </c>
      <c r="F251" s="308" t="s">
        <v>53</v>
      </c>
      <c r="G251" s="127" t="s">
        <v>53</v>
      </c>
      <c r="H251" s="310">
        <f t="shared" si="74"/>
        <v>850000</v>
      </c>
      <c r="I251" s="310">
        <f t="shared" si="75"/>
        <v>850000</v>
      </c>
      <c r="J251" s="310">
        <f t="shared" si="76"/>
        <v>0</v>
      </c>
      <c r="K251" s="310"/>
      <c r="L251" s="310"/>
      <c r="M251" s="310"/>
      <c r="N251" s="310"/>
      <c r="O251" s="310">
        <f t="shared" si="77"/>
        <v>850000</v>
      </c>
      <c r="P251" s="310"/>
      <c r="Q251" s="310"/>
      <c r="R251" s="310">
        <v>850000</v>
      </c>
      <c r="S251" s="310"/>
      <c r="T251" s="310">
        <f t="shared" si="78"/>
        <v>0</v>
      </c>
      <c r="U251" s="310"/>
      <c r="V251" s="310"/>
      <c r="W251" s="310"/>
      <c r="X251" s="310"/>
      <c r="Y251" s="310">
        <f t="shared" si="79"/>
        <v>0</v>
      </c>
      <c r="Z251" s="310"/>
      <c r="AA251" s="310"/>
      <c r="AB251" s="310"/>
      <c r="AC251" s="310"/>
      <c r="AD251" s="310"/>
      <c r="AE251" s="310"/>
      <c r="AF251" s="310"/>
      <c r="AG251" s="310">
        <f t="shared" si="80"/>
        <v>850000</v>
      </c>
      <c r="AH251" s="310">
        <f t="shared" si="81"/>
        <v>850000</v>
      </c>
      <c r="AI251" s="310">
        <f t="shared" si="82"/>
        <v>0</v>
      </c>
      <c r="AJ251" s="310"/>
      <c r="AK251" s="310"/>
      <c r="AL251" s="310"/>
      <c r="AM251" s="310"/>
      <c r="AN251" s="310">
        <f t="shared" si="83"/>
        <v>850000</v>
      </c>
      <c r="AO251" s="310"/>
      <c r="AP251" s="310"/>
      <c r="AQ251" s="310">
        <v>850000</v>
      </c>
      <c r="AR251" s="310"/>
      <c r="AS251" s="310">
        <f t="shared" si="84"/>
        <v>0</v>
      </c>
      <c r="AT251" s="310"/>
      <c r="AU251" s="310"/>
      <c r="AV251" s="310"/>
      <c r="AW251" s="310"/>
      <c r="AX251" s="310">
        <f t="shared" si="85"/>
        <v>0</v>
      </c>
      <c r="AY251" s="310"/>
      <c r="AZ251" s="310"/>
      <c r="BA251" s="310"/>
      <c r="BB251" s="310"/>
      <c r="BC251" s="310"/>
      <c r="BD251" s="310"/>
      <c r="BE251" s="312">
        <v>0</v>
      </c>
      <c r="BF251" s="127" t="s">
        <v>56</v>
      </c>
      <c r="BG251" s="184" t="s">
        <v>390</v>
      </c>
      <c r="BH251" s="133" t="s">
        <v>82</v>
      </c>
    </row>
    <row r="252" s="77" customFormat="1" ht="15" hidden="1" spans="1:60">
      <c r="A252" s="301">
        <v>245</v>
      </c>
      <c r="B252" s="307" t="s">
        <v>19</v>
      </c>
      <c r="C252" s="307" t="s">
        <v>20</v>
      </c>
      <c r="D252" s="308">
        <v>2016</v>
      </c>
      <c r="E252" s="313" t="s">
        <v>414</v>
      </c>
      <c r="F252" s="308" t="s">
        <v>53</v>
      </c>
      <c r="G252" s="127" t="s">
        <v>56</v>
      </c>
      <c r="H252" s="310">
        <f t="shared" si="74"/>
        <v>3400000</v>
      </c>
      <c r="I252" s="310">
        <f t="shared" si="75"/>
        <v>3400000</v>
      </c>
      <c r="J252" s="310">
        <f t="shared" si="76"/>
        <v>0</v>
      </c>
      <c r="K252" s="310"/>
      <c r="L252" s="310"/>
      <c r="M252" s="310"/>
      <c r="N252" s="310"/>
      <c r="O252" s="310">
        <f t="shared" si="77"/>
        <v>3400000</v>
      </c>
      <c r="P252" s="310"/>
      <c r="Q252" s="310">
        <v>3400000</v>
      </c>
      <c r="R252" s="310"/>
      <c r="S252" s="310"/>
      <c r="T252" s="310">
        <f t="shared" si="78"/>
        <v>0</v>
      </c>
      <c r="U252" s="310"/>
      <c r="V252" s="310"/>
      <c r="W252" s="310"/>
      <c r="X252" s="310"/>
      <c r="Y252" s="310">
        <f t="shared" si="79"/>
        <v>0</v>
      </c>
      <c r="Z252" s="310"/>
      <c r="AA252" s="310"/>
      <c r="AB252" s="310"/>
      <c r="AC252" s="310"/>
      <c r="AD252" s="310"/>
      <c r="AE252" s="310"/>
      <c r="AF252" s="310"/>
      <c r="AG252" s="310">
        <f t="shared" si="80"/>
        <v>3400000</v>
      </c>
      <c r="AH252" s="310">
        <f t="shared" si="81"/>
        <v>3400000</v>
      </c>
      <c r="AI252" s="310">
        <f t="shared" si="82"/>
        <v>0</v>
      </c>
      <c r="AJ252" s="310"/>
      <c r="AK252" s="310"/>
      <c r="AL252" s="310"/>
      <c r="AM252" s="310"/>
      <c r="AN252" s="310">
        <f t="shared" si="83"/>
        <v>3400000</v>
      </c>
      <c r="AO252" s="310">
        <v>3400000</v>
      </c>
      <c r="AP252" s="310"/>
      <c r="AQ252" s="310"/>
      <c r="AR252" s="310"/>
      <c r="AS252" s="310">
        <f t="shared" si="84"/>
        <v>0</v>
      </c>
      <c r="AT252" s="310"/>
      <c r="AU252" s="310"/>
      <c r="AV252" s="310"/>
      <c r="AW252" s="310"/>
      <c r="AX252" s="310">
        <f t="shared" si="85"/>
        <v>0</v>
      </c>
      <c r="AY252" s="310"/>
      <c r="AZ252" s="310"/>
      <c r="BA252" s="310"/>
      <c r="BB252" s="310"/>
      <c r="BC252" s="310"/>
      <c r="BD252" s="310"/>
      <c r="BE252" s="312"/>
      <c r="BF252" s="127" t="s">
        <v>56</v>
      </c>
      <c r="BG252" s="184" t="s">
        <v>392</v>
      </c>
      <c r="BH252" s="330" t="s">
        <v>176</v>
      </c>
    </row>
    <row r="253" s="77" customFormat="1" ht="15" hidden="1" spans="1:60">
      <c r="A253" s="301">
        <v>246</v>
      </c>
      <c r="B253" s="307" t="s">
        <v>19</v>
      </c>
      <c r="C253" s="307" t="s">
        <v>20</v>
      </c>
      <c r="D253" s="308">
        <v>2016</v>
      </c>
      <c r="E253" s="313" t="s">
        <v>415</v>
      </c>
      <c r="F253" s="308" t="s">
        <v>53</v>
      </c>
      <c r="G253" s="127" t="s">
        <v>56</v>
      </c>
      <c r="H253" s="310">
        <f t="shared" si="74"/>
        <v>1480000</v>
      </c>
      <c r="I253" s="310">
        <f t="shared" si="75"/>
        <v>1480000</v>
      </c>
      <c r="J253" s="310">
        <f t="shared" si="76"/>
        <v>0</v>
      </c>
      <c r="K253" s="310"/>
      <c r="L253" s="310"/>
      <c r="M253" s="310"/>
      <c r="N253" s="310"/>
      <c r="O253" s="310">
        <f t="shared" si="77"/>
        <v>1480000</v>
      </c>
      <c r="P253" s="310"/>
      <c r="Q253" s="310"/>
      <c r="R253" s="310">
        <v>1480000</v>
      </c>
      <c r="S253" s="310"/>
      <c r="T253" s="310">
        <f t="shared" si="78"/>
        <v>0</v>
      </c>
      <c r="U253" s="310"/>
      <c r="V253" s="310"/>
      <c r="W253" s="310"/>
      <c r="X253" s="310"/>
      <c r="Y253" s="310">
        <f t="shared" si="79"/>
        <v>0</v>
      </c>
      <c r="Z253" s="310"/>
      <c r="AA253" s="310"/>
      <c r="AB253" s="310"/>
      <c r="AC253" s="310"/>
      <c r="AD253" s="310"/>
      <c r="AE253" s="310"/>
      <c r="AF253" s="310"/>
      <c r="AG253" s="310">
        <f t="shared" si="80"/>
        <v>1480000</v>
      </c>
      <c r="AH253" s="310">
        <f t="shared" si="81"/>
        <v>1480000</v>
      </c>
      <c r="AI253" s="310">
        <f t="shared" si="82"/>
        <v>0</v>
      </c>
      <c r="AJ253" s="310"/>
      <c r="AK253" s="310"/>
      <c r="AL253" s="310"/>
      <c r="AM253" s="310"/>
      <c r="AN253" s="310">
        <f t="shared" si="83"/>
        <v>1480000</v>
      </c>
      <c r="AO253" s="310"/>
      <c r="AP253" s="310">
        <v>1480000</v>
      </c>
      <c r="AQ253" s="310"/>
      <c r="AR253" s="310"/>
      <c r="AS253" s="310">
        <f t="shared" si="84"/>
        <v>0</v>
      </c>
      <c r="AT253" s="310"/>
      <c r="AU253" s="310"/>
      <c r="AV253" s="310"/>
      <c r="AW253" s="310"/>
      <c r="AX253" s="310">
        <f t="shared" si="85"/>
        <v>0</v>
      </c>
      <c r="AY253" s="310"/>
      <c r="AZ253" s="310"/>
      <c r="BA253" s="310"/>
      <c r="BB253" s="310"/>
      <c r="BC253" s="310"/>
      <c r="BD253" s="310"/>
      <c r="BE253" s="312"/>
      <c r="BF253" s="127" t="s">
        <v>56</v>
      </c>
      <c r="BG253" s="184" t="s">
        <v>392</v>
      </c>
      <c r="BH253" s="330" t="s">
        <v>176</v>
      </c>
    </row>
    <row r="254" s="77" customFormat="1" ht="15" hidden="1" spans="1:60">
      <c r="A254" s="301">
        <v>247</v>
      </c>
      <c r="B254" s="307" t="s">
        <v>19</v>
      </c>
      <c r="C254" s="307" t="s">
        <v>20</v>
      </c>
      <c r="D254" s="308">
        <v>2016</v>
      </c>
      <c r="E254" s="343" t="s">
        <v>416</v>
      </c>
      <c r="F254" s="308" t="s">
        <v>53</v>
      </c>
      <c r="G254" s="127" t="s">
        <v>53</v>
      </c>
      <c r="H254" s="310">
        <f t="shared" si="74"/>
        <v>550000</v>
      </c>
      <c r="I254" s="310">
        <f t="shared" si="75"/>
        <v>550000</v>
      </c>
      <c r="J254" s="310">
        <f t="shared" si="76"/>
        <v>0</v>
      </c>
      <c r="K254" s="310"/>
      <c r="L254" s="310"/>
      <c r="M254" s="310"/>
      <c r="N254" s="310"/>
      <c r="O254" s="310">
        <f t="shared" si="77"/>
        <v>550000</v>
      </c>
      <c r="P254" s="310"/>
      <c r="Q254" s="310"/>
      <c r="R254" s="310"/>
      <c r="S254" s="310">
        <v>550000</v>
      </c>
      <c r="T254" s="310">
        <f t="shared" si="78"/>
        <v>0</v>
      </c>
      <c r="U254" s="310"/>
      <c r="V254" s="310"/>
      <c r="W254" s="310"/>
      <c r="X254" s="310"/>
      <c r="Y254" s="310">
        <f t="shared" si="79"/>
        <v>0</v>
      </c>
      <c r="Z254" s="310"/>
      <c r="AA254" s="310"/>
      <c r="AB254" s="310"/>
      <c r="AC254" s="310"/>
      <c r="AD254" s="310"/>
      <c r="AE254" s="310"/>
      <c r="AF254" s="310"/>
      <c r="AG254" s="310">
        <f t="shared" si="80"/>
        <v>550000</v>
      </c>
      <c r="AH254" s="310">
        <f t="shared" si="81"/>
        <v>550000</v>
      </c>
      <c r="AI254" s="310">
        <f t="shared" si="82"/>
        <v>0</v>
      </c>
      <c r="AJ254" s="310"/>
      <c r="AK254" s="310"/>
      <c r="AL254" s="310"/>
      <c r="AM254" s="310"/>
      <c r="AN254" s="310">
        <f t="shared" si="83"/>
        <v>550000</v>
      </c>
      <c r="AO254" s="310"/>
      <c r="AP254" s="310"/>
      <c r="AQ254" s="310">
        <v>550000</v>
      </c>
      <c r="AR254" s="310"/>
      <c r="AS254" s="310">
        <f t="shared" si="84"/>
        <v>0</v>
      </c>
      <c r="AT254" s="310"/>
      <c r="AU254" s="310"/>
      <c r="AV254" s="310"/>
      <c r="AW254" s="310"/>
      <c r="AX254" s="310">
        <f t="shared" si="85"/>
        <v>0</v>
      </c>
      <c r="AY254" s="310"/>
      <c r="AZ254" s="310"/>
      <c r="BA254" s="310"/>
      <c r="BB254" s="310"/>
      <c r="BC254" s="310"/>
      <c r="BD254" s="310"/>
      <c r="BE254" s="312"/>
      <c r="BF254" s="127" t="s">
        <v>56</v>
      </c>
      <c r="BG254" s="184" t="s">
        <v>390</v>
      </c>
      <c r="BH254" s="133" t="s">
        <v>67</v>
      </c>
    </row>
    <row r="255" s="77" customFormat="1" ht="15" hidden="1" spans="1:60">
      <c r="A255" s="301">
        <v>248</v>
      </c>
      <c r="B255" s="307" t="s">
        <v>19</v>
      </c>
      <c r="C255" s="307" t="s">
        <v>20</v>
      </c>
      <c r="D255" s="308">
        <v>2016</v>
      </c>
      <c r="E255" s="313" t="s">
        <v>417</v>
      </c>
      <c r="F255" s="308" t="s">
        <v>53</v>
      </c>
      <c r="G255" s="127" t="s">
        <v>53</v>
      </c>
      <c r="H255" s="310">
        <f t="shared" si="74"/>
        <v>600000</v>
      </c>
      <c r="I255" s="310">
        <f t="shared" si="75"/>
        <v>600000</v>
      </c>
      <c r="J255" s="310">
        <f t="shared" si="76"/>
        <v>0</v>
      </c>
      <c r="K255" s="310"/>
      <c r="L255" s="310"/>
      <c r="M255" s="310"/>
      <c r="N255" s="310"/>
      <c r="O255" s="310">
        <f t="shared" si="77"/>
        <v>600000</v>
      </c>
      <c r="P255" s="310"/>
      <c r="Q255" s="310"/>
      <c r="R255" s="310"/>
      <c r="S255" s="310">
        <v>600000</v>
      </c>
      <c r="T255" s="310">
        <f t="shared" si="78"/>
        <v>0</v>
      </c>
      <c r="U255" s="310"/>
      <c r="V255" s="310"/>
      <c r="W255" s="310"/>
      <c r="X255" s="310"/>
      <c r="Y255" s="310">
        <f t="shared" si="79"/>
        <v>0</v>
      </c>
      <c r="Z255" s="310"/>
      <c r="AA255" s="310"/>
      <c r="AB255" s="310"/>
      <c r="AC255" s="310"/>
      <c r="AD255" s="310"/>
      <c r="AE255" s="310"/>
      <c r="AF255" s="310"/>
      <c r="AG255" s="310">
        <f t="shared" si="80"/>
        <v>600000</v>
      </c>
      <c r="AH255" s="310">
        <f t="shared" si="81"/>
        <v>600000</v>
      </c>
      <c r="AI255" s="310">
        <f t="shared" si="82"/>
        <v>0</v>
      </c>
      <c r="AJ255" s="310"/>
      <c r="AK255" s="310"/>
      <c r="AL255" s="310"/>
      <c r="AM255" s="310"/>
      <c r="AN255" s="310">
        <f t="shared" si="83"/>
        <v>600000</v>
      </c>
      <c r="AO255" s="310"/>
      <c r="AP255" s="310"/>
      <c r="AQ255" s="310">
        <v>600000</v>
      </c>
      <c r="AR255" s="310"/>
      <c r="AS255" s="310">
        <f t="shared" si="84"/>
        <v>0</v>
      </c>
      <c r="AT255" s="310"/>
      <c r="AU255" s="310"/>
      <c r="AV255" s="310"/>
      <c r="AW255" s="310"/>
      <c r="AX255" s="310">
        <f t="shared" si="85"/>
        <v>0</v>
      </c>
      <c r="AY255" s="310"/>
      <c r="AZ255" s="310"/>
      <c r="BA255" s="310"/>
      <c r="BB255" s="310"/>
      <c r="BC255" s="310"/>
      <c r="BD255" s="310"/>
      <c r="BE255" s="312">
        <v>0</v>
      </c>
      <c r="BF255" s="127" t="s">
        <v>56</v>
      </c>
      <c r="BG255" s="184" t="s">
        <v>390</v>
      </c>
      <c r="BH255" s="133" t="s">
        <v>82</v>
      </c>
    </row>
    <row r="256" s="77" customFormat="1" ht="15" hidden="1" spans="1:60">
      <c r="A256" s="301">
        <v>249</v>
      </c>
      <c r="B256" s="307" t="s">
        <v>19</v>
      </c>
      <c r="C256" s="307" t="s">
        <v>20</v>
      </c>
      <c r="D256" s="308">
        <v>2016</v>
      </c>
      <c r="E256" s="313" t="s">
        <v>418</v>
      </c>
      <c r="F256" s="308" t="s">
        <v>53</v>
      </c>
      <c r="G256" s="127" t="s">
        <v>53</v>
      </c>
      <c r="H256" s="310">
        <f t="shared" si="74"/>
        <v>200000</v>
      </c>
      <c r="I256" s="310">
        <f t="shared" si="75"/>
        <v>200000</v>
      </c>
      <c r="J256" s="310">
        <f t="shared" si="76"/>
        <v>0</v>
      </c>
      <c r="K256" s="310"/>
      <c r="L256" s="310"/>
      <c r="M256" s="310"/>
      <c r="N256" s="310"/>
      <c r="O256" s="310">
        <f t="shared" si="77"/>
        <v>200000</v>
      </c>
      <c r="P256" s="310"/>
      <c r="Q256" s="310"/>
      <c r="R256" s="310"/>
      <c r="S256" s="310">
        <v>200000</v>
      </c>
      <c r="T256" s="310">
        <f t="shared" si="78"/>
        <v>0</v>
      </c>
      <c r="U256" s="310"/>
      <c r="V256" s="310"/>
      <c r="W256" s="310"/>
      <c r="X256" s="310"/>
      <c r="Y256" s="310">
        <f t="shared" si="79"/>
        <v>0</v>
      </c>
      <c r="Z256" s="310"/>
      <c r="AA256" s="310"/>
      <c r="AB256" s="310"/>
      <c r="AC256" s="310"/>
      <c r="AD256" s="310"/>
      <c r="AE256" s="310"/>
      <c r="AF256" s="310"/>
      <c r="AG256" s="310">
        <f t="shared" si="80"/>
        <v>200000</v>
      </c>
      <c r="AH256" s="310">
        <f t="shared" si="81"/>
        <v>200000</v>
      </c>
      <c r="AI256" s="310">
        <f t="shared" si="82"/>
        <v>0</v>
      </c>
      <c r="AJ256" s="310"/>
      <c r="AK256" s="310"/>
      <c r="AL256" s="310"/>
      <c r="AM256" s="310"/>
      <c r="AN256" s="310">
        <f t="shared" si="83"/>
        <v>200000</v>
      </c>
      <c r="AO256" s="310"/>
      <c r="AP256" s="310"/>
      <c r="AQ256" s="310"/>
      <c r="AR256" s="310">
        <v>200000</v>
      </c>
      <c r="AS256" s="310">
        <f t="shared" si="84"/>
        <v>0</v>
      </c>
      <c r="AT256" s="310"/>
      <c r="AU256" s="310"/>
      <c r="AV256" s="310"/>
      <c r="AW256" s="310"/>
      <c r="AX256" s="310">
        <f t="shared" si="85"/>
        <v>0</v>
      </c>
      <c r="AY256" s="310"/>
      <c r="AZ256" s="310"/>
      <c r="BA256" s="310"/>
      <c r="BB256" s="310"/>
      <c r="BC256" s="310"/>
      <c r="BD256" s="310"/>
      <c r="BE256" s="312">
        <v>0</v>
      </c>
      <c r="BF256" s="127" t="s">
        <v>56</v>
      </c>
      <c r="BG256" s="184" t="s">
        <v>390</v>
      </c>
      <c r="BH256" s="133" t="s">
        <v>82</v>
      </c>
    </row>
    <row r="257" s="77" customFormat="1" ht="15" hidden="1" spans="1:60">
      <c r="A257" s="301">
        <v>250</v>
      </c>
      <c r="B257" s="307" t="s">
        <v>19</v>
      </c>
      <c r="C257" s="307" t="s">
        <v>20</v>
      </c>
      <c r="D257" s="308">
        <v>2016</v>
      </c>
      <c r="E257" s="313" t="s">
        <v>419</v>
      </c>
      <c r="F257" s="308" t="s">
        <v>53</v>
      </c>
      <c r="G257" s="127" t="s">
        <v>56</v>
      </c>
      <c r="H257" s="310">
        <f t="shared" si="74"/>
        <v>780000</v>
      </c>
      <c r="I257" s="310">
        <f t="shared" si="75"/>
        <v>780000</v>
      </c>
      <c r="J257" s="310">
        <f t="shared" si="76"/>
        <v>0</v>
      </c>
      <c r="K257" s="310"/>
      <c r="L257" s="310"/>
      <c r="M257" s="310"/>
      <c r="N257" s="310"/>
      <c r="O257" s="310">
        <f t="shared" si="77"/>
        <v>780000</v>
      </c>
      <c r="P257" s="310"/>
      <c r="Q257" s="310"/>
      <c r="R257" s="310">
        <v>780000</v>
      </c>
      <c r="S257" s="310"/>
      <c r="T257" s="310">
        <f t="shared" si="78"/>
        <v>0</v>
      </c>
      <c r="U257" s="310"/>
      <c r="V257" s="310"/>
      <c r="W257" s="310"/>
      <c r="X257" s="310"/>
      <c r="Y257" s="310">
        <f t="shared" si="79"/>
        <v>0</v>
      </c>
      <c r="Z257" s="310"/>
      <c r="AA257" s="310"/>
      <c r="AB257" s="310"/>
      <c r="AC257" s="310"/>
      <c r="AD257" s="310"/>
      <c r="AE257" s="310"/>
      <c r="AF257" s="310"/>
      <c r="AG257" s="310">
        <f t="shared" si="80"/>
        <v>780000</v>
      </c>
      <c r="AH257" s="310">
        <f t="shared" si="81"/>
        <v>780000</v>
      </c>
      <c r="AI257" s="310">
        <f t="shared" si="82"/>
        <v>0</v>
      </c>
      <c r="AJ257" s="310"/>
      <c r="AK257" s="310"/>
      <c r="AL257" s="310"/>
      <c r="AM257" s="310"/>
      <c r="AN257" s="310">
        <f t="shared" si="83"/>
        <v>780000</v>
      </c>
      <c r="AO257" s="310"/>
      <c r="AP257" s="310"/>
      <c r="AQ257" s="310">
        <v>780000</v>
      </c>
      <c r="AR257" s="310"/>
      <c r="AS257" s="310">
        <f t="shared" si="84"/>
        <v>0</v>
      </c>
      <c r="AT257" s="310"/>
      <c r="AU257" s="310"/>
      <c r="AV257" s="310"/>
      <c r="AW257" s="310"/>
      <c r="AX257" s="310">
        <f t="shared" si="85"/>
        <v>0</v>
      </c>
      <c r="AY257" s="310"/>
      <c r="AZ257" s="310"/>
      <c r="BA257" s="310"/>
      <c r="BB257" s="310"/>
      <c r="BC257" s="310"/>
      <c r="BD257" s="310"/>
      <c r="BE257" s="312"/>
      <c r="BF257" s="127" t="s">
        <v>56</v>
      </c>
      <c r="BG257" s="184" t="s">
        <v>392</v>
      </c>
      <c r="BH257" s="330" t="s">
        <v>176</v>
      </c>
    </row>
    <row r="258" s="77" customFormat="1" ht="15" hidden="1" spans="1:60">
      <c r="A258" s="301">
        <v>251</v>
      </c>
      <c r="B258" s="307" t="s">
        <v>19</v>
      </c>
      <c r="C258" s="307" t="s">
        <v>20</v>
      </c>
      <c r="D258" s="308">
        <v>2016</v>
      </c>
      <c r="E258" s="313" t="s">
        <v>420</v>
      </c>
      <c r="F258" s="308" t="s">
        <v>53</v>
      </c>
      <c r="G258" s="127" t="s">
        <v>56</v>
      </c>
      <c r="H258" s="310">
        <f t="shared" si="74"/>
        <v>900000</v>
      </c>
      <c r="I258" s="310">
        <f t="shared" si="75"/>
        <v>900000</v>
      </c>
      <c r="J258" s="310">
        <f t="shared" si="76"/>
        <v>0</v>
      </c>
      <c r="K258" s="310"/>
      <c r="L258" s="310"/>
      <c r="M258" s="310"/>
      <c r="N258" s="310"/>
      <c r="O258" s="310">
        <f t="shared" si="77"/>
        <v>900000</v>
      </c>
      <c r="P258" s="310"/>
      <c r="Q258" s="310"/>
      <c r="R258" s="310">
        <v>900000</v>
      </c>
      <c r="S258" s="310"/>
      <c r="T258" s="310">
        <f t="shared" si="78"/>
        <v>0</v>
      </c>
      <c r="U258" s="310"/>
      <c r="V258" s="310"/>
      <c r="W258" s="310"/>
      <c r="X258" s="310"/>
      <c r="Y258" s="310">
        <f t="shared" si="79"/>
        <v>0</v>
      </c>
      <c r="Z258" s="310"/>
      <c r="AA258" s="310"/>
      <c r="AB258" s="310"/>
      <c r="AC258" s="310"/>
      <c r="AD258" s="310"/>
      <c r="AE258" s="310"/>
      <c r="AF258" s="310"/>
      <c r="AG258" s="310">
        <f t="shared" si="80"/>
        <v>900000</v>
      </c>
      <c r="AH258" s="310">
        <f t="shared" si="81"/>
        <v>900000</v>
      </c>
      <c r="AI258" s="310">
        <f t="shared" si="82"/>
        <v>0</v>
      </c>
      <c r="AJ258" s="310"/>
      <c r="AK258" s="310"/>
      <c r="AL258" s="310"/>
      <c r="AM258" s="310"/>
      <c r="AN258" s="310">
        <f t="shared" si="83"/>
        <v>900000</v>
      </c>
      <c r="AO258" s="310"/>
      <c r="AP258" s="310"/>
      <c r="AQ258" s="310">
        <v>900000</v>
      </c>
      <c r="AR258" s="310"/>
      <c r="AS258" s="310">
        <f t="shared" si="84"/>
        <v>0</v>
      </c>
      <c r="AT258" s="310"/>
      <c r="AU258" s="310"/>
      <c r="AV258" s="310"/>
      <c r="AW258" s="310"/>
      <c r="AX258" s="310">
        <f t="shared" si="85"/>
        <v>0</v>
      </c>
      <c r="AY258" s="310"/>
      <c r="AZ258" s="310"/>
      <c r="BA258" s="310"/>
      <c r="BB258" s="310"/>
      <c r="BC258" s="310"/>
      <c r="BD258" s="310"/>
      <c r="BE258" s="312"/>
      <c r="BF258" s="127" t="s">
        <v>56</v>
      </c>
      <c r="BG258" s="184" t="s">
        <v>392</v>
      </c>
      <c r="BH258" s="330" t="s">
        <v>176</v>
      </c>
    </row>
    <row r="259" s="270" customFormat="1" ht="15" hidden="1" spans="1:60">
      <c r="A259" s="301">
        <v>252</v>
      </c>
      <c r="B259" s="302" t="s">
        <v>19</v>
      </c>
      <c r="C259" s="302" t="s">
        <v>20</v>
      </c>
      <c r="D259" s="301">
        <v>2016</v>
      </c>
      <c r="E259" s="303" t="s">
        <v>421</v>
      </c>
      <c r="F259" s="301" t="s">
        <v>53</v>
      </c>
      <c r="G259" s="238" t="s">
        <v>53</v>
      </c>
      <c r="H259" s="304">
        <f t="shared" si="74"/>
        <v>340000</v>
      </c>
      <c r="I259" s="304">
        <f t="shared" si="75"/>
        <v>300000</v>
      </c>
      <c r="J259" s="304">
        <f t="shared" si="76"/>
        <v>300000</v>
      </c>
      <c r="K259" s="304">
        <v>300000</v>
      </c>
      <c r="L259" s="304"/>
      <c r="M259" s="304"/>
      <c r="N259" s="304"/>
      <c r="O259" s="304">
        <f t="shared" si="77"/>
        <v>0</v>
      </c>
      <c r="P259" s="304"/>
      <c r="Q259" s="304"/>
      <c r="R259" s="304"/>
      <c r="S259" s="304"/>
      <c r="T259" s="304">
        <f t="shared" si="78"/>
        <v>0</v>
      </c>
      <c r="U259" s="304"/>
      <c r="V259" s="304"/>
      <c r="W259" s="304"/>
      <c r="X259" s="304"/>
      <c r="Y259" s="304">
        <f t="shared" si="79"/>
        <v>0</v>
      </c>
      <c r="Z259" s="304"/>
      <c r="AA259" s="304"/>
      <c r="AB259" s="304"/>
      <c r="AC259" s="304"/>
      <c r="AD259" s="304"/>
      <c r="AE259" s="304"/>
      <c r="AF259" s="304">
        <v>40000</v>
      </c>
      <c r="AG259" s="304">
        <f t="shared" si="80"/>
        <v>340000</v>
      </c>
      <c r="AH259" s="304">
        <f t="shared" si="81"/>
        <v>300000</v>
      </c>
      <c r="AI259" s="304">
        <f t="shared" si="82"/>
        <v>300000</v>
      </c>
      <c r="AJ259" s="304">
        <v>300000</v>
      </c>
      <c r="AK259" s="304"/>
      <c r="AL259" s="304"/>
      <c r="AM259" s="304"/>
      <c r="AN259" s="304">
        <f t="shared" si="83"/>
        <v>0</v>
      </c>
      <c r="AO259" s="304"/>
      <c r="AP259" s="304"/>
      <c r="AQ259" s="304"/>
      <c r="AR259" s="304"/>
      <c r="AS259" s="304">
        <f t="shared" si="84"/>
        <v>0</v>
      </c>
      <c r="AT259" s="304"/>
      <c r="AU259" s="304"/>
      <c r="AV259" s="304"/>
      <c r="AW259" s="304"/>
      <c r="AX259" s="304">
        <f t="shared" si="85"/>
        <v>0</v>
      </c>
      <c r="AY259" s="304"/>
      <c r="AZ259" s="304"/>
      <c r="BA259" s="304"/>
      <c r="BB259" s="304"/>
      <c r="BC259" s="304"/>
      <c r="BD259" s="304"/>
      <c r="BE259" s="305">
        <v>40000</v>
      </c>
      <c r="BF259" s="238" t="s">
        <v>53</v>
      </c>
      <c r="BG259" s="350" t="s">
        <v>422</v>
      </c>
      <c r="BH259" s="351" t="s">
        <v>124</v>
      </c>
    </row>
    <row r="260" s="78" customFormat="1" ht="15" hidden="1" spans="1:60">
      <c r="A260" s="301">
        <v>253</v>
      </c>
      <c r="B260" s="307" t="s">
        <v>19</v>
      </c>
      <c r="C260" s="307" t="s">
        <v>20</v>
      </c>
      <c r="D260" s="308">
        <v>2016</v>
      </c>
      <c r="E260" s="313" t="s">
        <v>423</v>
      </c>
      <c r="F260" s="308" t="s">
        <v>53</v>
      </c>
      <c r="G260" s="127" t="s">
        <v>53</v>
      </c>
      <c r="H260" s="310">
        <f t="shared" si="74"/>
        <v>389070</v>
      </c>
      <c r="I260" s="310">
        <f t="shared" si="75"/>
        <v>389070</v>
      </c>
      <c r="J260" s="310">
        <f t="shared" si="76"/>
        <v>0</v>
      </c>
      <c r="K260" s="310"/>
      <c r="L260" s="310"/>
      <c r="M260" s="310"/>
      <c r="N260" s="310"/>
      <c r="O260" s="310">
        <f t="shared" si="77"/>
        <v>389070</v>
      </c>
      <c r="P260" s="310"/>
      <c r="Q260" s="310"/>
      <c r="R260" s="310"/>
      <c r="S260" s="310">
        <v>389070</v>
      </c>
      <c r="T260" s="310">
        <f t="shared" si="78"/>
        <v>0</v>
      </c>
      <c r="U260" s="310"/>
      <c r="V260" s="310"/>
      <c r="W260" s="310"/>
      <c r="X260" s="310"/>
      <c r="Y260" s="310">
        <f t="shared" si="79"/>
        <v>0</v>
      </c>
      <c r="Z260" s="310"/>
      <c r="AA260" s="310"/>
      <c r="AB260" s="310"/>
      <c r="AC260" s="310"/>
      <c r="AD260" s="310"/>
      <c r="AE260" s="310"/>
      <c r="AF260" s="310"/>
      <c r="AG260" s="310">
        <f t="shared" si="80"/>
        <v>389070</v>
      </c>
      <c r="AH260" s="310">
        <f t="shared" si="81"/>
        <v>389070</v>
      </c>
      <c r="AI260" s="310">
        <f t="shared" si="82"/>
        <v>0</v>
      </c>
      <c r="AJ260" s="310"/>
      <c r="AK260" s="310"/>
      <c r="AL260" s="310"/>
      <c r="AM260" s="310"/>
      <c r="AN260" s="310">
        <f t="shared" si="83"/>
        <v>389070</v>
      </c>
      <c r="AO260" s="310"/>
      <c r="AP260" s="310"/>
      <c r="AQ260" s="310">
        <v>389070</v>
      </c>
      <c r="AR260" s="310"/>
      <c r="AS260" s="310">
        <f t="shared" si="84"/>
        <v>0</v>
      </c>
      <c r="AT260" s="310"/>
      <c r="AU260" s="310"/>
      <c r="AV260" s="310"/>
      <c r="AW260" s="310"/>
      <c r="AX260" s="310">
        <f t="shared" si="85"/>
        <v>0</v>
      </c>
      <c r="AY260" s="310"/>
      <c r="AZ260" s="310"/>
      <c r="BA260" s="310"/>
      <c r="BB260" s="310"/>
      <c r="BC260" s="310"/>
      <c r="BD260" s="310"/>
      <c r="BE260" s="312">
        <v>0</v>
      </c>
      <c r="BF260" s="134"/>
      <c r="BG260" s="348" t="s">
        <v>349</v>
      </c>
      <c r="BH260" s="137"/>
    </row>
    <row r="261" s="270" customFormat="1" ht="15" hidden="1" spans="1:60">
      <c r="A261" s="301">
        <v>254</v>
      </c>
      <c r="B261" s="302" t="s">
        <v>19</v>
      </c>
      <c r="C261" s="302" t="s">
        <v>20</v>
      </c>
      <c r="D261" s="301">
        <v>2016</v>
      </c>
      <c r="E261" s="303" t="s">
        <v>424</v>
      </c>
      <c r="F261" s="301" t="s">
        <v>53</v>
      </c>
      <c r="G261" s="238" t="s">
        <v>53</v>
      </c>
      <c r="H261" s="304">
        <f t="shared" si="74"/>
        <v>571900</v>
      </c>
      <c r="I261" s="304">
        <f t="shared" si="75"/>
        <v>571900</v>
      </c>
      <c r="J261" s="304">
        <f t="shared" si="76"/>
        <v>0</v>
      </c>
      <c r="K261" s="304"/>
      <c r="L261" s="304"/>
      <c r="M261" s="304"/>
      <c r="N261" s="304"/>
      <c r="O261" s="304">
        <f t="shared" si="77"/>
        <v>571900</v>
      </c>
      <c r="P261" s="304"/>
      <c r="Q261" s="304">
        <v>571900</v>
      </c>
      <c r="R261" s="304"/>
      <c r="S261" s="304"/>
      <c r="T261" s="304">
        <f t="shared" si="78"/>
        <v>0</v>
      </c>
      <c r="U261" s="304"/>
      <c r="V261" s="304"/>
      <c r="W261" s="304"/>
      <c r="X261" s="304"/>
      <c r="Y261" s="304">
        <f t="shared" si="79"/>
        <v>0</v>
      </c>
      <c r="Z261" s="304"/>
      <c r="AA261" s="304"/>
      <c r="AB261" s="304"/>
      <c r="AC261" s="304"/>
      <c r="AD261" s="304"/>
      <c r="AE261" s="304"/>
      <c r="AF261" s="304"/>
      <c r="AG261" s="304">
        <f t="shared" si="80"/>
        <v>571900</v>
      </c>
      <c r="AH261" s="304">
        <f t="shared" si="81"/>
        <v>571900</v>
      </c>
      <c r="AI261" s="304">
        <f t="shared" si="82"/>
        <v>0</v>
      </c>
      <c r="AJ261" s="304"/>
      <c r="AK261" s="304"/>
      <c r="AL261" s="304"/>
      <c r="AM261" s="304"/>
      <c r="AN261" s="304">
        <f t="shared" si="83"/>
        <v>571900</v>
      </c>
      <c r="AO261" s="304"/>
      <c r="AP261" s="304">
        <v>571900</v>
      </c>
      <c r="AQ261" s="304"/>
      <c r="AR261" s="304"/>
      <c r="AS261" s="304">
        <f t="shared" si="84"/>
        <v>0</v>
      </c>
      <c r="AT261" s="304"/>
      <c r="AU261" s="304"/>
      <c r="AV261" s="304"/>
      <c r="AW261" s="304"/>
      <c r="AX261" s="304">
        <f t="shared" si="85"/>
        <v>0</v>
      </c>
      <c r="AY261" s="304"/>
      <c r="AZ261" s="304"/>
      <c r="BA261" s="304"/>
      <c r="BB261" s="304"/>
      <c r="BC261" s="304"/>
      <c r="BD261" s="304"/>
      <c r="BE261" s="305">
        <v>0</v>
      </c>
      <c r="BF261" s="238" t="s">
        <v>53</v>
      </c>
      <c r="BG261" s="263" t="s">
        <v>425</v>
      </c>
      <c r="BH261" s="306" t="s">
        <v>124</v>
      </c>
    </row>
    <row r="262" s="270" customFormat="1" ht="15" hidden="1" spans="1:60">
      <c r="A262" s="301">
        <v>255</v>
      </c>
      <c r="B262" s="302" t="s">
        <v>19</v>
      </c>
      <c r="C262" s="302" t="s">
        <v>20</v>
      </c>
      <c r="D262" s="301">
        <v>2016</v>
      </c>
      <c r="E262" s="303" t="s">
        <v>426</v>
      </c>
      <c r="F262" s="301" t="s">
        <v>53</v>
      </c>
      <c r="G262" s="238" t="s">
        <v>53</v>
      </c>
      <c r="H262" s="304">
        <f t="shared" si="74"/>
        <v>127100</v>
      </c>
      <c r="I262" s="304">
        <f t="shared" si="75"/>
        <v>127100</v>
      </c>
      <c r="J262" s="304">
        <f t="shared" si="76"/>
        <v>0</v>
      </c>
      <c r="K262" s="304"/>
      <c r="L262" s="304"/>
      <c r="M262" s="304"/>
      <c r="N262" s="304"/>
      <c r="O262" s="304">
        <f t="shared" si="77"/>
        <v>127100</v>
      </c>
      <c r="P262" s="304"/>
      <c r="Q262" s="304">
        <v>127100</v>
      </c>
      <c r="R262" s="304"/>
      <c r="S262" s="304"/>
      <c r="T262" s="304">
        <f t="shared" si="78"/>
        <v>0</v>
      </c>
      <c r="U262" s="304"/>
      <c r="V262" s="304"/>
      <c r="W262" s="304"/>
      <c r="X262" s="304"/>
      <c r="Y262" s="304">
        <f t="shared" si="79"/>
        <v>0</v>
      </c>
      <c r="Z262" s="304"/>
      <c r="AA262" s="304"/>
      <c r="AB262" s="304"/>
      <c r="AC262" s="304"/>
      <c r="AD262" s="304"/>
      <c r="AE262" s="304"/>
      <c r="AF262" s="304"/>
      <c r="AG262" s="304">
        <f t="shared" si="80"/>
        <v>127100</v>
      </c>
      <c r="AH262" s="304">
        <f t="shared" si="81"/>
        <v>127100</v>
      </c>
      <c r="AI262" s="304">
        <f t="shared" si="82"/>
        <v>0</v>
      </c>
      <c r="AJ262" s="304"/>
      <c r="AK262" s="304"/>
      <c r="AL262" s="304"/>
      <c r="AM262" s="304"/>
      <c r="AN262" s="304">
        <f t="shared" si="83"/>
        <v>127100</v>
      </c>
      <c r="AO262" s="304"/>
      <c r="AP262" s="304">
        <v>127100</v>
      </c>
      <c r="AQ262" s="304"/>
      <c r="AR262" s="304"/>
      <c r="AS262" s="304">
        <f t="shared" si="84"/>
        <v>0</v>
      </c>
      <c r="AT262" s="304"/>
      <c r="AU262" s="304"/>
      <c r="AV262" s="304"/>
      <c r="AW262" s="304"/>
      <c r="AX262" s="304">
        <f t="shared" si="85"/>
        <v>0</v>
      </c>
      <c r="AY262" s="304"/>
      <c r="AZ262" s="304"/>
      <c r="BA262" s="304"/>
      <c r="BB262" s="304"/>
      <c r="BC262" s="304"/>
      <c r="BD262" s="304"/>
      <c r="BE262" s="305">
        <v>0</v>
      </c>
      <c r="BF262" s="238" t="s">
        <v>53</v>
      </c>
      <c r="BG262" s="263" t="s">
        <v>427</v>
      </c>
      <c r="BH262" s="306"/>
    </row>
    <row r="263" s="270" customFormat="1" ht="15" hidden="1" spans="1:60">
      <c r="A263" s="301">
        <v>256</v>
      </c>
      <c r="B263" s="302" t="s">
        <v>19</v>
      </c>
      <c r="C263" s="302" t="s">
        <v>20</v>
      </c>
      <c r="D263" s="301">
        <v>2016</v>
      </c>
      <c r="E263" s="303" t="s">
        <v>428</v>
      </c>
      <c r="F263" s="301" t="s">
        <v>53</v>
      </c>
      <c r="G263" s="238" t="s">
        <v>53</v>
      </c>
      <c r="H263" s="304">
        <f t="shared" si="74"/>
        <v>420600</v>
      </c>
      <c r="I263" s="304">
        <f t="shared" si="75"/>
        <v>420600</v>
      </c>
      <c r="J263" s="304">
        <f t="shared" si="76"/>
        <v>0</v>
      </c>
      <c r="K263" s="304"/>
      <c r="L263" s="304"/>
      <c r="M263" s="304"/>
      <c r="N263" s="304"/>
      <c r="O263" s="304">
        <f t="shared" si="77"/>
        <v>420600</v>
      </c>
      <c r="P263" s="304"/>
      <c r="Q263" s="304">
        <v>420600</v>
      </c>
      <c r="R263" s="304"/>
      <c r="S263" s="304"/>
      <c r="T263" s="304">
        <f t="shared" si="78"/>
        <v>0</v>
      </c>
      <c r="U263" s="304"/>
      <c r="V263" s="304"/>
      <c r="W263" s="304"/>
      <c r="X263" s="304"/>
      <c r="Y263" s="304">
        <f t="shared" si="79"/>
        <v>0</v>
      </c>
      <c r="Z263" s="304"/>
      <c r="AA263" s="304"/>
      <c r="AB263" s="304"/>
      <c r="AC263" s="304"/>
      <c r="AD263" s="304"/>
      <c r="AE263" s="304"/>
      <c r="AF263" s="304"/>
      <c r="AG263" s="304">
        <f t="shared" si="80"/>
        <v>420600</v>
      </c>
      <c r="AH263" s="304">
        <f t="shared" si="81"/>
        <v>420600</v>
      </c>
      <c r="AI263" s="304">
        <f t="shared" si="82"/>
        <v>0</v>
      </c>
      <c r="AJ263" s="304"/>
      <c r="AK263" s="304"/>
      <c r="AL263" s="304"/>
      <c r="AM263" s="304"/>
      <c r="AN263" s="304">
        <f t="shared" si="83"/>
        <v>420600</v>
      </c>
      <c r="AO263" s="304"/>
      <c r="AP263" s="304">
        <v>420600</v>
      </c>
      <c r="AQ263" s="304"/>
      <c r="AR263" s="304"/>
      <c r="AS263" s="304">
        <f t="shared" si="84"/>
        <v>0</v>
      </c>
      <c r="AT263" s="304"/>
      <c r="AU263" s="304"/>
      <c r="AV263" s="304"/>
      <c r="AW263" s="304"/>
      <c r="AX263" s="304">
        <f t="shared" si="85"/>
        <v>0</v>
      </c>
      <c r="AY263" s="304"/>
      <c r="AZ263" s="304"/>
      <c r="BA263" s="304"/>
      <c r="BB263" s="304"/>
      <c r="BC263" s="304"/>
      <c r="BD263" s="304"/>
      <c r="BE263" s="305">
        <v>0</v>
      </c>
      <c r="BF263" s="238" t="s">
        <v>53</v>
      </c>
      <c r="BG263" s="263" t="s">
        <v>429</v>
      </c>
      <c r="BH263" s="306"/>
    </row>
    <row r="264" s="274" customFormat="1" ht="15" spans="1:60">
      <c r="A264" s="301">
        <v>257</v>
      </c>
      <c r="B264" s="352" t="s">
        <v>19</v>
      </c>
      <c r="C264" s="352" t="s">
        <v>20</v>
      </c>
      <c r="D264" s="353">
        <v>2016</v>
      </c>
      <c r="E264" s="354" t="s">
        <v>430</v>
      </c>
      <c r="F264" s="353" t="s">
        <v>53</v>
      </c>
      <c r="G264" s="355" t="s">
        <v>56</v>
      </c>
      <c r="H264" s="356">
        <f t="shared" si="74"/>
        <v>1060000</v>
      </c>
      <c r="I264" s="356">
        <f t="shared" si="75"/>
        <v>1060000</v>
      </c>
      <c r="J264" s="356">
        <f t="shared" si="76"/>
        <v>0</v>
      </c>
      <c r="K264" s="356"/>
      <c r="L264" s="356"/>
      <c r="M264" s="356"/>
      <c r="N264" s="356"/>
      <c r="O264" s="356">
        <f t="shared" si="77"/>
        <v>1060000</v>
      </c>
      <c r="P264" s="356"/>
      <c r="Q264" s="356">
        <v>1060000</v>
      </c>
      <c r="R264" s="356"/>
      <c r="S264" s="356"/>
      <c r="T264" s="356">
        <f t="shared" si="78"/>
        <v>0</v>
      </c>
      <c r="U264" s="356"/>
      <c r="V264" s="356"/>
      <c r="W264" s="356"/>
      <c r="X264" s="356"/>
      <c r="Y264" s="356">
        <f t="shared" si="79"/>
        <v>0</v>
      </c>
      <c r="Z264" s="356"/>
      <c r="AA264" s="356"/>
      <c r="AB264" s="356"/>
      <c r="AC264" s="356"/>
      <c r="AD264" s="356"/>
      <c r="AE264" s="356"/>
      <c r="AF264" s="356"/>
      <c r="AG264" s="356">
        <f t="shared" si="80"/>
        <v>1060000</v>
      </c>
      <c r="AH264" s="356">
        <f t="shared" si="81"/>
        <v>1060000</v>
      </c>
      <c r="AI264" s="356">
        <f t="shared" si="82"/>
        <v>0</v>
      </c>
      <c r="AJ264" s="356"/>
      <c r="AK264" s="356"/>
      <c r="AL264" s="356"/>
      <c r="AM264" s="356"/>
      <c r="AN264" s="356">
        <f t="shared" si="83"/>
        <v>1060000</v>
      </c>
      <c r="AO264" s="356"/>
      <c r="AP264" s="356">
        <v>1060000</v>
      </c>
      <c r="AQ264" s="356"/>
      <c r="AR264" s="356"/>
      <c r="AS264" s="356">
        <f t="shared" si="84"/>
        <v>0</v>
      </c>
      <c r="AT264" s="356"/>
      <c r="AU264" s="356"/>
      <c r="AV264" s="356"/>
      <c r="AW264" s="356"/>
      <c r="AX264" s="356">
        <f t="shared" si="85"/>
        <v>0</v>
      </c>
      <c r="AY264" s="356"/>
      <c r="AZ264" s="356"/>
      <c r="BA264" s="356"/>
      <c r="BB264" s="356"/>
      <c r="BC264" s="356"/>
      <c r="BD264" s="356"/>
      <c r="BE264" s="357"/>
      <c r="BF264" s="358" t="s">
        <v>53</v>
      </c>
      <c r="BG264" s="359" t="s">
        <v>54</v>
      </c>
      <c r="BH264" s="360" t="s">
        <v>184</v>
      </c>
    </row>
    <row r="265" s="77" customFormat="1" ht="15" hidden="1" spans="1:60">
      <c r="A265" s="301">
        <v>258</v>
      </c>
      <c r="B265" s="307" t="s">
        <v>19</v>
      </c>
      <c r="C265" s="307" t="s">
        <v>20</v>
      </c>
      <c r="D265" s="308">
        <v>2017</v>
      </c>
      <c r="E265" s="313" t="s">
        <v>431</v>
      </c>
      <c r="F265" s="308" t="s">
        <v>53</v>
      </c>
      <c r="G265" s="127" t="s">
        <v>56</v>
      </c>
      <c r="H265" s="310">
        <f t="shared" si="74"/>
        <v>1708300</v>
      </c>
      <c r="I265" s="310">
        <f t="shared" si="75"/>
        <v>1708300</v>
      </c>
      <c r="J265" s="310">
        <f t="shared" si="76"/>
        <v>0</v>
      </c>
      <c r="K265" s="310"/>
      <c r="L265" s="310"/>
      <c r="M265" s="310"/>
      <c r="N265" s="310"/>
      <c r="O265" s="310">
        <f t="shared" si="77"/>
        <v>1708300</v>
      </c>
      <c r="P265" s="310">
        <v>1708300</v>
      </c>
      <c r="Q265" s="310"/>
      <c r="R265" s="310"/>
      <c r="S265" s="310"/>
      <c r="T265" s="310">
        <f t="shared" si="78"/>
        <v>0</v>
      </c>
      <c r="U265" s="310"/>
      <c r="V265" s="310"/>
      <c r="W265" s="310"/>
      <c r="X265" s="310"/>
      <c r="Y265" s="310">
        <f t="shared" si="79"/>
        <v>0</v>
      </c>
      <c r="Z265" s="310"/>
      <c r="AA265" s="310"/>
      <c r="AB265" s="310"/>
      <c r="AC265" s="310"/>
      <c r="AD265" s="310"/>
      <c r="AE265" s="310"/>
      <c r="AF265" s="310"/>
      <c r="AG265" s="310">
        <f t="shared" si="80"/>
        <v>1708300</v>
      </c>
      <c r="AH265" s="310">
        <f t="shared" si="81"/>
        <v>1708300</v>
      </c>
      <c r="AI265" s="310">
        <f t="shared" si="82"/>
        <v>0</v>
      </c>
      <c r="AJ265" s="310"/>
      <c r="AK265" s="310"/>
      <c r="AL265" s="310"/>
      <c r="AM265" s="310"/>
      <c r="AN265" s="310">
        <f t="shared" si="83"/>
        <v>1708300</v>
      </c>
      <c r="AO265" s="310">
        <v>1708300</v>
      </c>
      <c r="AP265" s="310"/>
      <c r="AQ265" s="310"/>
      <c r="AR265" s="310"/>
      <c r="AS265" s="310">
        <f t="shared" si="84"/>
        <v>0</v>
      </c>
      <c r="AT265" s="310"/>
      <c r="AU265" s="310"/>
      <c r="AV265" s="310"/>
      <c r="AW265" s="310"/>
      <c r="AX265" s="310">
        <f t="shared" si="85"/>
        <v>0</v>
      </c>
      <c r="AY265" s="310"/>
      <c r="AZ265" s="310"/>
      <c r="BA265" s="310"/>
      <c r="BB265" s="310"/>
      <c r="BC265" s="310"/>
      <c r="BD265" s="310"/>
      <c r="BE265" s="312"/>
      <c r="BF265" s="127" t="s">
        <v>56</v>
      </c>
      <c r="BG265" s="184" t="s">
        <v>432</v>
      </c>
      <c r="BH265" s="330" t="s">
        <v>433</v>
      </c>
    </row>
    <row r="266" s="77" customFormat="1" ht="15" hidden="1" spans="1:60">
      <c r="A266" s="301">
        <v>259</v>
      </c>
      <c r="B266" s="307" t="s">
        <v>19</v>
      </c>
      <c r="C266" s="307" t="s">
        <v>20</v>
      </c>
      <c r="D266" s="308">
        <v>2017</v>
      </c>
      <c r="E266" s="313" t="s">
        <v>434</v>
      </c>
      <c r="F266" s="308" t="s">
        <v>53</v>
      </c>
      <c r="G266" s="127" t="s">
        <v>56</v>
      </c>
      <c r="H266" s="310">
        <f t="shared" si="74"/>
        <v>3300000</v>
      </c>
      <c r="I266" s="310">
        <f t="shared" si="75"/>
        <v>3300000</v>
      </c>
      <c r="J266" s="310">
        <f t="shared" si="76"/>
        <v>0</v>
      </c>
      <c r="K266" s="310"/>
      <c r="L266" s="310"/>
      <c r="M266" s="310"/>
      <c r="N266" s="310"/>
      <c r="O266" s="310">
        <f t="shared" si="77"/>
        <v>3300000</v>
      </c>
      <c r="P266" s="310">
        <v>3300000</v>
      </c>
      <c r="Q266" s="310"/>
      <c r="R266" s="310"/>
      <c r="S266" s="310"/>
      <c r="T266" s="310">
        <f t="shared" si="78"/>
        <v>0</v>
      </c>
      <c r="U266" s="310"/>
      <c r="V266" s="310"/>
      <c r="W266" s="310"/>
      <c r="X266" s="310"/>
      <c r="Y266" s="310">
        <f t="shared" si="79"/>
        <v>0</v>
      </c>
      <c r="Z266" s="310"/>
      <c r="AA266" s="310"/>
      <c r="AB266" s="310"/>
      <c r="AC266" s="310"/>
      <c r="AD266" s="310"/>
      <c r="AE266" s="310"/>
      <c r="AF266" s="310"/>
      <c r="AG266" s="310">
        <f t="shared" si="80"/>
        <v>3300000</v>
      </c>
      <c r="AH266" s="310">
        <f t="shared" si="81"/>
        <v>3300000</v>
      </c>
      <c r="AI266" s="310">
        <f t="shared" si="82"/>
        <v>0</v>
      </c>
      <c r="AJ266" s="310"/>
      <c r="AK266" s="310"/>
      <c r="AL266" s="310"/>
      <c r="AM266" s="310"/>
      <c r="AN266" s="310">
        <f t="shared" si="83"/>
        <v>3300000</v>
      </c>
      <c r="AO266" s="310">
        <v>3300000</v>
      </c>
      <c r="AP266" s="310"/>
      <c r="AQ266" s="310"/>
      <c r="AR266" s="310"/>
      <c r="AS266" s="310">
        <f t="shared" si="84"/>
        <v>0</v>
      </c>
      <c r="AT266" s="310"/>
      <c r="AU266" s="310"/>
      <c r="AV266" s="310"/>
      <c r="AW266" s="310"/>
      <c r="AX266" s="310">
        <f t="shared" si="85"/>
        <v>0</v>
      </c>
      <c r="AY266" s="310"/>
      <c r="AZ266" s="310"/>
      <c r="BA266" s="310"/>
      <c r="BB266" s="310"/>
      <c r="BC266" s="310"/>
      <c r="BD266" s="310"/>
      <c r="BE266" s="312"/>
      <c r="BF266" s="127" t="s">
        <v>56</v>
      </c>
      <c r="BG266" s="184" t="s">
        <v>432</v>
      </c>
      <c r="BH266" s="330" t="s">
        <v>115</v>
      </c>
    </row>
    <row r="267" s="270" customFormat="1" ht="15" hidden="1" spans="1:60">
      <c r="A267" s="301">
        <v>260</v>
      </c>
      <c r="B267" s="302" t="s">
        <v>19</v>
      </c>
      <c r="C267" s="302" t="s">
        <v>20</v>
      </c>
      <c r="D267" s="301">
        <v>2017</v>
      </c>
      <c r="E267" s="303" t="s">
        <v>435</v>
      </c>
      <c r="F267" s="301" t="s">
        <v>53</v>
      </c>
      <c r="G267" s="238" t="s">
        <v>53</v>
      </c>
      <c r="H267" s="304">
        <f t="shared" si="74"/>
        <v>1500240</v>
      </c>
      <c r="I267" s="304">
        <f t="shared" si="75"/>
        <v>1500240</v>
      </c>
      <c r="J267" s="304">
        <f t="shared" si="76"/>
        <v>0</v>
      </c>
      <c r="K267" s="304"/>
      <c r="L267" s="304"/>
      <c r="M267" s="304"/>
      <c r="N267" s="304"/>
      <c r="O267" s="304">
        <f t="shared" si="77"/>
        <v>1500240</v>
      </c>
      <c r="P267" s="304"/>
      <c r="Q267" s="304"/>
      <c r="R267" s="304"/>
      <c r="S267" s="304">
        <v>1500240</v>
      </c>
      <c r="T267" s="304">
        <f t="shared" si="78"/>
        <v>0</v>
      </c>
      <c r="U267" s="304"/>
      <c r="V267" s="304"/>
      <c r="W267" s="304"/>
      <c r="X267" s="304"/>
      <c r="Y267" s="304">
        <f t="shared" si="79"/>
        <v>0</v>
      </c>
      <c r="Z267" s="304"/>
      <c r="AA267" s="304"/>
      <c r="AB267" s="304"/>
      <c r="AC267" s="304"/>
      <c r="AD267" s="304"/>
      <c r="AE267" s="304"/>
      <c r="AF267" s="304"/>
      <c r="AG267" s="304">
        <f t="shared" si="80"/>
        <v>1500240</v>
      </c>
      <c r="AH267" s="304">
        <f t="shared" si="81"/>
        <v>1500240</v>
      </c>
      <c r="AI267" s="304">
        <f t="shared" si="82"/>
        <v>0</v>
      </c>
      <c r="AJ267" s="304"/>
      <c r="AK267" s="304"/>
      <c r="AL267" s="304"/>
      <c r="AM267" s="304"/>
      <c r="AN267" s="304">
        <f t="shared" si="83"/>
        <v>1500240</v>
      </c>
      <c r="AO267" s="304"/>
      <c r="AP267" s="304"/>
      <c r="AQ267" s="304"/>
      <c r="AR267" s="304">
        <v>1500240</v>
      </c>
      <c r="AS267" s="304">
        <f t="shared" si="84"/>
        <v>0</v>
      </c>
      <c r="AT267" s="304"/>
      <c r="AU267" s="304"/>
      <c r="AV267" s="304"/>
      <c r="AW267" s="304"/>
      <c r="AX267" s="304">
        <f t="shared" si="85"/>
        <v>0</v>
      </c>
      <c r="AY267" s="304"/>
      <c r="AZ267" s="304"/>
      <c r="BA267" s="304"/>
      <c r="BB267" s="304"/>
      <c r="BC267" s="304"/>
      <c r="BD267" s="304"/>
      <c r="BE267" s="305"/>
      <c r="BF267" s="238" t="s">
        <v>53</v>
      </c>
      <c r="BG267" s="263" t="s">
        <v>54</v>
      </c>
      <c r="BH267" s="306"/>
    </row>
    <row r="268" s="77" customFormat="1" ht="15" hidden="1" spans="1:60">
      <c r="A268" s="301">
        <v>261</v>
      </c>
      <c r="B268" s="307" t="s">
        <v>19</v>
      </c>
      <c r="C268" s="307" t="s">
        <v>20</v>
      </c>
      <c r="D268" s="308">
        <v>2017</v>
      </c>
      <c r="E268" s="313" t="s">
        <v>436</v>
      </c>
      <c r="F268" s="308" t="s">
        <v>53</v>
      </c>
      <c r="G268" s="127" t="s">
        <v>56</v>
      </c>
      <c r="H268" s="310">
        <f t="shared" si="74"/>
        <v>210600</v>
      </c>
      <c r="I268" s="310">
        <f t="shared" si="75"/>
        <v>210600</v>
      </c>
      <c r="J268" s="310">
        <f t="shared" si="76"/>
        <v>0</v>
      </c>
      <c r="K268" s="310"/>
      <c r="L268" s="310"/>
      <c r="M268" s="310"/>
      <c r="N268" s="310"/>
      <c r="O268" s="310">
        <f t="shared" si="77"/>
        <v>210600</v>
      </c>
      <c r="P268" s="310">
        <f>21.06*10000</f>
        <v>210600</v>
      </c>
      <c r="Q268" s="310"/>
      <c r="R268" s="310"/>
      <c r="S268" s="310"/>
      <c r="T268" s="310">
        <f t="shared" si="78"/>
        <v>0</v>
      </c>
      <c r="U268" s="310"/>
      <c r="V268" s="310"/>
      <c r="W268" s="310"/>
      <c r="X268" s="310"/>
      <c r="Y268" s="310">
        <f t="shared" si="79"/>
        <v>0</v>
      </c>
      <c r="Z268" s="310"/>
      <c r="AA268" s="310"/>
      <c r="AB268" s="310"/>
      <c r="AC268" s="310"/>
      <c r="AD268" s="310"/>
      <c r="AE268" s="310"/>
      <c r="AF268" s="310"/>
      <c r="AG268" s="310">
        <f t="shared" si="80"/>
        <v>210600</v>
      </c>
      <c r="AH268" s="310">
        <f t="shared" si="81"/>
        <v>210600</v>
      </c>
      <c r="AI268" s="310">
        <f t="shared" si="82"/>
        <v>0</v>
      </c>
      <c r="AJ268" s="310"/>
      <c r="AK268" s="310"/>
      <c r="AL268" s="310"/>
      <c r="AM268" s="310"/>
      <c r="AN268" s="310">
        <f t="shared" si="83"/>
        <v>210600</v>
      </c>
      <c r="AO268" s="310"/>
      <c r="AP268" s="310"/>
      <c r="AQ268" s="310"/>
      <c r="AR268" s="310">
        <f>21.06*10000</f>
        <v>210600</v>
      </c>
      <c r="AS268" s="310">
        <f t="shared" si="84"/>
        <v>0</v>
      </c>
      <c r="AT268" s="310"/>
      <c r="AU268" s="310"/>
      <c r="AV268" s="310"/>
      <c r="AW268" s="310"/>
      <c r="AX268" s="310">
        <f t="shared" si="85"/>
        <v>0</v>
      </c>
      <c r="AY268" s="310"/>
      <c r="AZ268" s="310"/>
      <c r="BA268" s="310"/>
      <c r="BB268" s="310"/>
      <c r="BC268" s="310"/>
      <c r="BD268" s="310"/>
      <c r="BE268" s="312"/>
      <c r="BF268" s="127" t="s">
        <v>56</v>
      </c>
      <c r="BG268" s="184" t="s">
        <v>437</v>
      </c>
      <c r="BH268" s="330" t="s">
        <v>131</v>
      </c>
    </row>
    <row r="269" s="275" customFormat="1" ht="15" hidden="1" spans="1:60">
      <c r="A269" s="301">
        <v>262</v>
      </c>
      <c r="B269" s="361" t="s">
        <v>19</v>
      </c>
      <c r="C269" s="361" t="s">
        <v>20</v>
      </c>
      <c r="D269" s="362">
        <v>2018</v>
      </c>
      <c r="E269" s="363" t="s">
        <v>438</v>
      </c>
      <c r="F269" s="362" t="s">
        <v>53</v>
      </c>
      <c r="G269" s="364" t="s">
        <v>53</v>
      </c>
      <c r="H269" s="365">
        <f t="shared" si="74"/>
        <v>4356000</v>
      </c>
      <c r="I269" s="365">
        <f t="shared" si="75"/>
        <v>4356000</v>
      </c>
      <c r="J269" s="365">
        <f t="shared" si="76"/>
        <v>0</v>
      </c>
      <c r="K269" s="365"/>
      <c r="L269" s="365"/>
      <c r="M269" s="365"/>
      <c r="N269" s="365"/>
      <c r="O269" s="365">
        <f t="shared" si="77"/>
        <v>4356000</v>
      </c>
      <c r="P269" s="365">
        <v>4356000</v>
      </c>
      <c r="Q269" s="365"/>
      <c r="R269" s="365"/>
      <c r="S269" s="365"/>
      <c r="T269" s="365">
        <f t="shared" si="78"/>
        <v>0</v>
      </c>
      <c r="U269" s="365"/>
      <c r="V269" s="365"/>
      <c r="W269" s="365"/>
      <c r="X269" s="365"/>
      <c r="Y269" s="365">
        <f t="shared" si="79"/>
        <v>0</v>
      </c>
      <c r="Z269" s="365"/>
      <c r="AA269" s="365"/>
      <c r="AB269" s="365"/>
      <c r="AC269" s="365"/>
      <c r="AD269" s="365"/>
      <c r="AE269" s="365"/>
      <c r="AF269" s="365"/>
      <c r="AG269" s="365">
        <f t="shared" si="80"/>
        <v>4356000</v>
      </c>
      <c r="AH269" s="365">
        <f t="shared" si="81"/>
        <v>4356000</v>
      </c>
      <c r="AI269" s="365">
        <f t="shared" si="82"/>
        <v>0</v>
      </c>
      <c r="AJ269" s="365"/>
      <c r="AK269" s="365"/>
      <c r="AL269" s="365"/>
      <c r="AM269" s="365"/>
      <c r="AN269" s="365">
        <f t="shared" si="83"/>
        <v>4356000</v>
      </c>
      <c r="AO269" s="365">
        <v>4356000</v>
      </c>
      <c r="AP269" s="365"/>
      <c r="AQ269" s="365"/>
      <c r="AR269" s="365"/>
      <c r="AS269" s="365">
        <f t="shared" si="84"/>
        <v>0</v>
      </c>
      <c r="AT269" s="365"/>
      <c r="AU269" s="365"/>
      <c r="AV269" s="365"/>
      <c r="AW269" s="365"/>
      <c r="AX269" s="365">
        <f t="shared" si="85"/>
        <v>0</v>
      </c>
      <c r="AY269" s="365"/>
      <c r="AZ269" s="365"/>
      <c r="BA269" s="365"/>
      <c r="BB269" s="365"/>
      <c r="BC269" s="365"/>
      <c r="BD269" s="365"/>
      <c r="BE269" s="366"/>
      <c r="BF269" s="364" t="s">
        <v>53</v>
      </c>
      <c r="BG269" s="367" t="s">
        <v>439</v>
      </c>
      <c r="BH269" s="368"/>
    </row>
    <row r="270" s="270" customFormat="1" ht="15" hidden="1" spans="1:60">
      <c r="A270" s="301">
        <v>263</v>
      </c>
      <c r="B270" s="302" t="s">
        <v>19</v>
      </c>
      <c r="C270" s="302" t="s">
        <v>20</v>
      </c>
      <c r="D270" s="301">
        <v>2017</v>
      </c>
      <c r="E270" s="303" t="s">
        <v>440</v>
      </c>
      <c r="F270" s="301" t="s">
        <v>53</v>
      </c>
      <c r="G270" s="238" t="s">
        <v>53</v>
      </c>
      <c r="H270" s="304">
        <f t="shared" si="74"/>
        <v>6007000</v>
      </c>
      <c r="I270" s="304">
        <f t="shared" si="75"/>
        <v>4004700</v>
      </c>
      <c r="J270" s="304">
        <f t="shared" si="76"/>
        <v>0</v>
      </c>
      <c r="K270" s="304"/>
      <c r="L270" s="304"/>
      <c r="M270" s="304"/>
      <c r="N270" s="304"/>
      <c r="O270" s="304">
        <f t="shared" si="77"/>
        <v>4004700</v>
      </c>
      <c r="P270" s="304">
        <v>4004700</v>
      </c>
      <c r="Q270" s="304"/>
      <c r="R270" s="304"/>
      <c r="S270" s="304"/>
      <c r="T270" s="304">
        <f t="shared" si="78"/>
        <v>0</v>
      </c>
      <c r="U270" s="304"/>
      <c r="V270" s="304"/>
      <c r="W270" s="304"/>
      <c r="X270" s="304"/>
      <c r="Y270" s="304">
        <f t="shared" si="79"/>
        <v>0</v>
      </c>
      <c r="Z270" s="304"/>
      <c r="AA270" s="304"/>
      <c r="AB270" s="304"/>
      <c r="AC270" s="304"/>
      <c r="AD270" s="304"/>
      <c r="AE270" s="304"/>
      <c r="AF270" s="304">
        <v>2002300</v>
      </c>
      <c r="AG270" s="304">
        <f t="shared" si="80"/>
        <v>6007000</v>
      </c>
      <c r="AH270" s="304">
        <f t="shared" si="81"/>
        <v>4004700</v>
      </c>
      <c r="AI270" s="304">
        <f t="shared" si="82"/>
        <v>0</v>
      </c>
      <c r="AJ270" s="304"/>
      <c r="AK270" s="304"/>
      <c r="AL270" s="304"/>
      <c r="AM270" s="304"/>
      <c r="AN270" s="304">
        <f t="shared" si="83"/>
        <v>4004700</v>
      </c>
      <c r="AO270" s="304">
        <v>4004700</v>
      </c>
      <c r="AP270" s="304"/>
      <c r="AQ270" s="304"/>
      <c r="AR270" s="304"/>
      <c r="AS270" s="304">
        <f t="shared" si="84"/>
        <v>0</v>
      </c>
      <c r="AT270" s="304"/>
      <c r="AU270" s="304"/>
      <c r="AV270" s="304"/>
      <c r="AW270" s="304"/>
      <c r="AX270" s="304">
        <f t="shared" si="85"/>
        <v>0</v>
      </c>
      <c r="AY270" s="304"/>
      <c r="AZ270" s="304"/>
      <c r="BA270" s="304"/>
      <c r="BB270" s="304"/>
      <c r="BC270" s="304"/>
      <c r="BD270" s="304"/>
      <c r="BE270" s="305">
        <v>2002300</v>
      </c>
      <c r="BF270" s="238" t="s">
        <v>53</v>
      </c>
      <c r="BG270" s="263" t="s">
        <v>135</v>
      </c>
      <c r="BH270" s="306"/>
    </row>
    <row r="271" s="270" customFormat="1" ht="15" hidden="1" spans="1:60">
      <c r="A271" s="301">
        <v>264</v>
      </c>
      <c r="B271" s="302" t="s">
        <v>19</v>
      </c>
      <c r="C271" s="302" t="s">
        <v>20</v>
      </c>
      <c r="D271" s="301">
        <v>2017</v>
      </c>
      <c r="E271" s="303" t="s">
        <v>441</v>
      </c>
      <c r="F271" s="301" t="s">
        <v>53</v>
      </c>
      <c r="G271" s="238" t="s">
        <v>53</v>
      </c>
      <c r="H271" s="304">
        <f t="shared" si="74"/>
        <v>246200</v>
      </c>
      <c r="I271" s="304">
        <f t="shared" si="75"/>
        <v>246200</v>
      </c>
      <c r="J271" s="304">
        <f t="shared" si="76"/>
        <v>0</v>
      </c>
      <c r="K271" s="304"/>
      <c r="L271" s="304"/>
      <c r="M271" s="304"/>
      <c r="N271" s="304"/>
      <c r="O271" s="304">
        <f t="shared" si="77"/>
        <v>246200</v>
      </c>
      <c r="P271" s="304"/>
      <c r="Q271" s="304"/>
      <c r="R271" s="304">
        <v>246200</v>
      </c>
      <c r="S271" s="304"/>
      <c r="T271" s="304">
        <f t="shared" si="78"/>
        <v>0</v>
      </c>
      <c r="U271" s="304"/>
      <c r="V271" s="304"/>
      <c r="W271" s="304"/>
      <c r="X271" s="304"/>
      <c r="Y271" s="304">
        <f t="shared" si="79"/>
        <v>0</v>
      </c>
      <c r="Z271" s="304"/>
      <c r="AA271" s="304"/>
      <c r="AB271" s="304"/>
      <c r="AC271" s="304"/>
      <c r="AD271" s="304"/>
      <c r="AE271" s="304"/>
      <c r="AF271" s="304"/>
      <c r="AG271" s="304">
        <f t="shared" si="80"/>
        <v>246200</v>
      </c>
      <c r="AH271" s="304">
        <f t="shared" si="81"/>
        <v>246200</v>
      </c>
      <c r="AI271" s="304">
        <f t="shared" si="82"/>
        <v>0</v>
      </c>
      <c r="AJ271" s="304"/>
      <c r="AK271" s="304"/>
      <c r="AL271" s="304"/>
      <c r="AM271" s="304"/>
      <c r="AN271" s="304">
        <f t="shared" si="83"/>
        <v>246200</v>
      </c>
      <c r="AO271" s="304"/>
      <c r="AP271" s="304"/>
      <c r="AQ271" s="304">
        <v>246200</v>
      </c>
      <c r="AR271" s="304"/>
      <c r="AS271" s="304">
        <f t="shared" si="84"/>
        <v>0</v>
      </c>
      <c r="AT271" s="304"/>
      <c r="AU271" s="304"/>
      <c r="AV271" s="304"/>
      <c r="AW271" s="304"/>
      <c r="AX271" s="304">
        <f t="shared" si="85"/>
        <v>0</v>
      </c>
      <c r="AY271" s="304"/>
      <c r="AZ271" s="304"/>
      <c r="BA271" s="304"/>
      <c r="BB271" s="304"/>
      <c r="BC271" s="304"/>
      <c r="BD271" s="304"/>
      <c r="BE271" s="305">
        <v>0</v>
      </c>
      <c r="BF271" s="238" t="s">
        <v>53</v>
      </c>
      <c r="BG271" s="263" t="s">
        <v>54</v>
      </c>
      <c r="BH271" s="306" t="s">
        <v>184</v>
      </c>
    </row>
    <row r="272" s="77" customFormat="1" hidden="1" customHeight="1" spans="1:60">
      <c r="A272" s="301">
        <v>265</v>
      </c>
      <c r="B272" s="307" t="s">
        <v>19</v>
      </c>
      <c r="C272" s="307" t="s">
        <v>20</v>
      </c>
      <c r="D272" s="308">
        <v>2017</v>
      </c>
      <c r="E272" s="313" t="s">
        <v>442</v>
      </c>
      <c r="F272" s="308" t="s">
        <v>53</v>
      </c>
      <c r="G272" s="127" t="s">
        <v>56</v>
      </c>
      <c r="H272" s="310">
        <f t="shared" si="74"/>
        <v>3490900</v>
      </c>
      <c r="I272" s="310">
        <f t="shared" si="75"/>
        <v>3490900</v>
      </c>
      <c r="J272" s="310">
        <f t="shared" si="76"/>
        <v>0</v>
      </c>
      <c r="K272" s="310"/>
      <c r="L272" s="310"/>
      <c r="M272" s="310"/>
      <c r="N272" s="310"/>
      <c r="O272" s="310">
        <f t="shared" si="77"/>
        <v>3490900</v>
      </c>
      <c r="P272" s="310">
        <v>615000</v>
      </c>
      <c r="Q272" s="310"/>
      <c r="R272" s="310">
        <v>2875900</v>
      </c>
      <c r="S272" s="310"/>
      <c r="T272" s="310">
        <f t="shared" si="78"/>
        <v>0</v>
      </c>
      <c r="U272" s="310"/>
      <c r="V272" s="310"/>
      <c r="W272" s="310"/>
      <c r="X272" s="310"/>
      <c r="Y272" s="310">
        <f t="shared" si="79"/>
        <v>0</v>
      </c>
      <c r="Z272" s="310"/>
      <c r="AA272" s="310"/>
      <c r="AB272" s="310"/>
      <c r="AC272" s="310"/>
      <c r="AD272" s="310"/>
      <c r="AE272" s="310"/>
      <c r="AF272" s="310"/>
      <c r="AG272" s="310">
        <f t="shared" si="80"/>
        <v>3490900</v>
      </c>
      <c r="AH272" s="310">
        <f t="shared" si="81"/>
        <v>3490900</v>
      </c>
      <c r="AI272" s="310">
        <f t="shared" si="82"/>
        <v>0</v>
      </c>
      <c r="AJ272" s="310"/>
      <c r="AK272" s="310"/>
      <c r="AL272" s="310"/>
      <c r="AM272" s="310"/>
      <c r="AN272" s="310">
        <f t="shared" si="83"/>
        <v>3490900</v>
      </c>
      <c r="AO272" s="310">
        <v>615000</v>
      </c>
      <c r="AP272" s="310"/>
      <c r="AQ272" s="310">
        <v>2875900</v>
      </c>
      <c r="AR272" s="310"/>
      <c r="AS272" s="310">
        <f t="shared" si="84"/>
        <v>0</v>
      </c>
      <c r="AT272" s="310"/>
      <c r="AU272" s="310"/>
      <c r="AV272" s="310"/>
      <c r="AW272" s="310"/>
      <c r="AX272" s="310">
        <f t="shared" si="85"/>
        <v>0</v>
      </c>
      <c r="AY272" s="310"/>
      <c r="AZ272" s="310"/>
      <c r="BA272" s="310"/>
      <c r="BB272" s="310"/>
      <c r="BC272" s="310"/>
      <c r="BD272" s="310"/>
      <c r="BE272" s="312"/>
      <c r="BF272" s="127" t="s">
        <v>56</v>
      </c>
      <c r="BG272" s="184" t="s">
        <v>443</v>
      </c>
      <c r="BH272" s="330" t="s">
        <v>279</v>
      </c>
    </row>
    <row r="273" s="77" customFormat="1" ht="15" hidden="1" spans="1:60">
      <c r="A273" s="301">
        <v>266</v>
      </c>
      <c r="B273" s="307" t="s">
        <v>19</v>
      </c>
      <c r="C273" s="307" t="s">
        <v>20</v>
      </c>
      <c r="D273" s="308">
        <v>2017</v>
      </c>
      <c r="E273" s="313" t="s">
        <v>444</v>
      </c>
      <c r="F273" s="308" t="s">
        <v>53</v>
      </c>
      <c r="G273" s="127" t="s">
        <v>56</v>
      </c>
      <c r="H273" s="310">
        <f t="shared" si="74"/>
        <v>4360000</v>
      </c>
      <c r="I273" s="310">
        <f t="shared" si="75"/>
        <v>4360000</v>
      </c>
      <c r="J273" s="310">
        <f t="shared" si="76"/>
        <v>0</v>
      </c>
      <c r="K273" s="310"/>
      <c r="L273" s="310"/>
      <c r="M273" s="310"/>
      <c r="N273" s="310"/>
      <c r="O273" s="310">
        <f t="shared" si="77"/>
        <v>4360000</v>
      </c>
      <c r="P273" s="310">
        <v>4360000</v>
      </c>
      <c r="Q273" s="310"/>
      <c r="R273" s="310"/>
      <c r="S273" s="310"/>
      <c r="T273" s="310">
        <f t="shared" si="78"/>
        <v>0</v>
      </c>
      <c r="U273" s="310"/>
      <c r="V273" s="310"/>
      <c r="W273" s="310"/>
      <c r="X273" s="310"/>
      <c r="Y273" s="310">
        <f t="shared" si="79"/>
        <v>0</v>
      </c>
      <c r="Z273" s="310"/>
      <c r="AA273" s="310"/>
      <c r="AB273" s="310"/>
      <c r="AC273" s="310"/>
      <c r="AD273" s="310"/>
      <c r="AE273" s="310"/>
      <c r="AF273" s="310"/>
      <c r="AG273" s="310">
        <f t="shared" si="80"/>
        <v>4360000</v>
      </c>
      <c r="AH273" s="310">
        <f t="shared" si="81"/>
        <v>4360000</v>
      </c>
      <c r="AI273" s="310">
        <f t="shared" si="82"/>
        <v>0</v>
      </c>
      <c r="AJ273" s="310"/>
      <c r="AK273" s="310"/>
      <c r="AL273" s="310"/>
      <c r="AM273" s="310"/>
      <c r="AN273" s="310">
        <f t="shared" si="83"/>
        <v>4360000</v>
      </c>
      <c r="AO273" s="310">
        <v>4360000</v>
      </c>
      <c r="AP273" s="310"/>
      <c r="AQ273" s="310"/>
      <c r="AR273" s="310"/>
      <c r="AS273" s="310">
        <f t="shared" si="84"/>
        <v>0</v>
      </c>
      <c r="AT273" s="310"/>
      <c r="AU273" s="310"/>
      <c r="AV273" s="310"/>
      <c r="AW273" s="310"/>
      <c r="AX273" s="310">
        <f t="shared" si="85"/>
        <v>0</v>
      </c>
      <c r="AY273" s="310"/>
      <c r="AZ273" s="310"/>
      <c r="BA273" s="310"/>
      <c r="BB273" s="310"/>
      <c r="BC273" s="310"/>
      <c r="BD273" s="310"/>
      <c r="BE273" s="312"/>
      <c r="BF273" s="127" t="s">
        <v>56</v>
      </c>
      <c r="BG273" s="184" t="s">
        <v>443</v>
      </c>
      <c r="BH273" s="330" t="s">
        <v>279</v>
      </c>
    </row>
    <row r="274" s="270" customFormat="1" ht="15" hidden="1" spans="1:60">
      <c r="A274" s="301">
        <v>267</v>
      </c>
      <c r="B274" s="302" t="s">
        <v>19</v>
      </c>
      <c r="C274" s="302" t="s">
        <v>20</v>
      </c>
      <c r="D274" s="301">
        <v>2017</v>
      </c>
      <c r="E274" s="303" t="s">
        <v>445</v>
      </c>
      <c r="F274" s="301" t="s">
        <v>53</v>
      </c>
      <c r="G274" s="238" t="s">
        <v>56</v>
      </c>
      <c r="H274" s="304">
        <f t="shared" si="74"/>
        <v>5724100</v>
      </c>
      <c r="I274" s="304">
        <f t="shared" si="75"/>
        <v>5724100</v>
      </c>
      <c r="J274" s="304">
        <f t="shared" si="76"/>
        <v>0</v>
      </c>
      <c r="K274" s="304"/>
      <c r="L274" s="304"/>
      <c r="M274" s="304"/>
      <c r="N274" s="304"/>
      <c r="O274" s="304">
        <f t="shared" si="77"/>
        <v>5724100</v>
      </c>
      <c r="P274" s="304"/>
      <c r="Q274" s="304"/>
      <c r="R274" s="304">
        <v>5724100</v>
      </c>
      <c r="S274" s="304"/>
      <c r="T274" s="304">
        <f t="shared" si="78"/>
        <v>0</v>
      </c>
      <c r="U274" s="304"/>
      <c r="V274" s="304"/>
      <c r="W274" s="304"/>
      <c r="X274" s="304"/>
      <c r="Y274" s="304">
        <f t="shared" si="79"/>
        <v>0</v>
      </c>
      <c r="Z274" s="304"/>
      <c r="AA274" s="304"/>
      <c r="AB274" s="304"/>
      <c r="AC274" s="304"/>
      <c r="AD274" s="304"/>
      <c r="AE274" s="304"/>
      <c r="AF274" s="304"/>
      <c r="AG274" s="304">
        <f t="shared" si="80"/>
        <v>5724070</v>
      </c>
      <c r="AH274" s="304">
        <f t="shared" si="81"/>
        <v>5724070</v>
      </c>
      <c r="AI274" s="304">
        <f t="shared" si="82"/>
        <v>0</v>
      </c>
      <c r="AJ274" s="304"/>
      <c r="AK274" s="304"/>
      <c r="AL274" s="304"/>
      <c r="AM274" s="304"/>
      <c r="AN274" s="304">
        <f t="shared" si="83"/>
        <v>5724070</v>
      </c>
      <c r="AO274" s="304"/>
      <c r="AP274" s="304"/>
      <c r="AQ274" s="304">
        <v>5724070</v>
      </c>
      <c r="AR274" s="304"/>
      <c r="AS274" s="304">
        <f t="shared" si="84"/>
        <v>0</v>
      </c>
      <c r="AT274" s="304"/>
      <c r="AU274" s="304"/>
      <c r="AV274" s="304"/>
      <c r="AW274" s="304"/>
      <c r="AX274" s="304">
        <f t="shared" si="85"/>
        <v>0</v>
      </c>
      <c r="AY274" s="304"/>
      <c r="AZ274" s="304"/>
      <c r="BA274" s="304"/>
      <c r="BB274" s="304"/>
      <c r="BC274" s="304"/>
      <c r="BD274" s="304"/>
      <c r="BE274" s="305"/>
      <c r="BF274" s="238" t="s">
        <v>53</v>
      </c>
      <c r="BG274" s="263" t="s">
        <v>54</v>
      </c>
      <c r="BH274" s="306" t="s">
        <v>82</v>
      </c>
    </row>
    <row r="275" s="77" customFormat="1" ht="15" hidden="1" spans="1:60">
      <c r="A275" s="301">
        <v>268</v>
      </c>
      <c r="B275" s="307" t="s">
        <v>19</v>
      </c>
      <c r="C275" s="307" t="s">
        <v>20</v>
      </c>
      <c r="D275" s="308">
        <v>2018</v>
      </c>
      <c r="E275" s="313" t="s">
        <v>446</v>
      </c>
      <c r="F275" s="308" t="s">
        <v>53</v>
      </c>
      <c r="G275" s="127" t="s">
        <v>56</v>
      </c>
      <c r="H275" s="310">
        <f t="shared" si="74"/>
        <v>30880000</v>
      </c>
      <c r="I275" s="310">
        <f t="shared" si="75"/>
        <v>30880000</v>
      </c>
      <c r="J275" s="310">
        <f t="shared" si="76"/>
        <v>0</v>
      </c>
      <c r="K275" s="310"/>
      <c r="L275" s="310"/>
      <c r="M275" s="310"/>
      <c r="N275" s="310"/>
      <c r="O275" s="310">
        <f t="shared" si="77"/>
        <v>30880000</v>
      </c>
      <c r="P275" s="310">
        <v>28880000</v>
      </c>
      <c r="Q275" s="310">
        <v>2000000</v>
      </c>
      <c r="R275" s="310"/>
      <c r="S275" s="310"/>
      <c r="T275" s="310">
        <f t="shared" si="78"/>
        <v>0</v>
      </c>
      <c r="U275" s="310"/>
      <c r="V275" s="310"/>
      <c r="W275" s="310"/>
      <c r="X275" s="310"/>
      <c r="Y275" s="310">
        <f t="shared" si="79"/>
        <v>0</v>
      </c>
      <c r="Z275" s="310"/>
      <c r="AA275" s="310"/>
      <c r="AB275" s="310"/>
      <c r="AC275" s="310"/>
      <c r="AD275" s="310"/>
      <c r="AE275" s="310"/>
      <c r="AF275" s="310"/>
      <c r="AG275" s="310">
        <f t="shared" si="80"/>
        <v>30880000</v>
      </c>
      <c r="AH275" s="310">
        <f t="shared" si="81"/>
        <v>30880000</v>
      </c>
      <c r="AI275" s="310">
        <f t="shared" si="82"/>
        <v>0</v>
      </c>
      <c r="AJ275" s="310"/>
      <c r="AK275" s="310"/>
      <c r="AL275" s="310"/>
      <c r="AM275" s="310"/>
      <c r="AN275" s="310">
        <f t="shared" si="83"/>
        <v>30880000</v>
      </c>
      <c r="AO275" s="310">
        <v>28880000</v>
      </c>
      <c r="AP275" s="310">
        <v>2000000</v>
      </c>
      <c r="AQ275" s="310"/>
      <c r="AR275" s="310"/>
      <c r="AS275" s="310">
        <f t="shared" si="84"/>
        <v>0</v>
      </c>
      <c r="AT275" s="310"/>
      <c r="AU275" s="310"/>
      <c r="AV275" s="310"/>
      <c r="AW275" s="310"/>
      <c r="AX275" s="310">
        <f t="shared" si="85"/>
        <v>0</v>
      </c>
      <c r="AY275" s="310"/>
      <c r="AZ275" s="310"/>
      <c r="BA275" s="310"/>
      <c r="BB275" s="310"/>
      <c r="BC275" s="310"/>
      <c r="BD275" s="310"/>
      <c r="BE275" s="312"/>
      <c r="BF275" s="127" t="s">
        <v>56</v>
      </c>
      <c r="BG275" s="184" t="s">
        <v>447</v>
      </c>
      <c r="BH275" s="330" t="s">
        <v>448</v>
      </c>
    </row>
    <row r="276" s="77" customFormat="1" ht="15" hidden="1" spans="1:60">
      <c r="A276" s="301">
        <v>269</v>
      </c>
      <c r="B276" s="307" t="s">
        <v>19</v>
      </c>
      <c r="C276" s="307" t="s">
        <v>20</v>
      </c>
      <c r="D276" s="308">
        <v>2018</v>
      </c>
      <c r="E276" s="313" t="s">
        <v>449</v>
      </c>
      <c r="F276" s="308" t="s">
        <v>53</v>
      </c>
      <c r="G276" s="127" t="s">
        <v>53</v>
      </c>
      <c r="H276" s="310">
        <f t="shared" si="74"/>
        <v>360000</v>
      </c>
      <c r="I276" s="310">
        <f t="shared" si="75"/>
        <v>360000</v>
      </c>
      <c r="J276" s="310">
        <f t="shared" si="76"/>
        <v>0</v>
      </c>
      <c r="K276" s="310"/>
      <c r="L276" s="310"/>
      <c r="M276" s="310"/>
      <c r="N276" s="310"/>
      <c r="O276" s="310">
        <f t="shared" si="77"/>
        <v>360000</v>
      </c>
      <c r="P276" s="310"/>
      <c r="Q276" s="310"/>
      <c r="R276" s="310"/>
      <c r="S276" s="310">
        <v>360000</v>
      </c>
      <c r="T276" s="310">
        <f t="shared" si="78"/>
        <v>0</v>
      </c>
      <c r="U276" s="310"/>
      <c r="V276" s="310"/>
      <c r="W276" s="310"/>
      <c r="X276" s="310"/>
      <c r="Y276" s="310">
        <f t="shared" si="79"/>
        <v>0</v>
      </c>
      <c r="Z276" s="310"/>
      <c r="AA276" s="310"/>
      <c r="AB276" s="310"/>
      <c r="AC276" s="310"/>
      <c r="AD276" s="310"/>
      <c r="AE276" s="310"/>
      <c r="AF276" s="310"/>
      <c r="AG276" s="310">
        <f t="shared" si="80"/>
        <v>360000</v>
      </c>
      <c r="AH276" s="310">
        <f t="shared" si="81"/>
        <v>360000</v>
      </c>
      <c r="AI276" s="310">
        <f t="shared" si="82"/>
        <v>0</v>
      </c>
      <c r="AJ276" s="310"/>
      <c r="AK276" s="310"/>
      <c r="AL276" s="310"/>
      <c r="AM276" s="310"/>
      <c r="AN276" s="310">
        <f t="shared" si="83"/>
        <v>360000</v>
      </c>
      <c r="AO276" s="310"/>
      <c r="AP276" s="310"/>
      <c r="AQ276" s="310">
        <v>360000</v>
      </c>
      <c r="AR276" s="310"/>
      <c r="AS276" s="310">
        <f t="shared" si="84"/>
        <v>0</v>
      </c>
      <c r="AT276" s="310"/>
      <c r="AU276" s="310"/>
      <c r="AV276" s="310"/>
      <c r="AW276" s="310"/>
      <c r="AX276" s="310">
        <f t="shared" si="85"/>
        <v>0</v>
      </c>
      <c r="AY276" s="310"/>
      <c r="AZ276" s="310"/>
      <c r="BA276" s="310"/>
      <c r="BB276" s="310"/>
      <c r="BC276" s="310"/>
      <c r="BD276" s="310"/>
      <c r="BE276" s="312">
        <v>0</v>
      </c>
      <c r="BF276" s="127" t="s">
        <v>56</v>
      </c>
      <c r="BG276" s="184" t="s">
        <v>450</v>
      </c>
      <c r="BH276" s="133" t="s">
        <v>140</v>
      </c>
    </row>
    <row r="277" s="273" customFormat="1" ht="15" hidden="1" spans="1:60">
      <c r="A277" s="301">
        <v>270</v>
      </c>
      <c r="B277" s="334" t="s">
        <v>19</v>
      </c>
      <c r="C277" s="334" t="s">
        <v>20</v>
      </c>
      <c r="D277" s="335">
        <v>2018</v>
      </c>
      <c r="E277" s="340" t="s">
        <v>451</v>
      </c>
      <c r="F277" s="335" t="s">
        <v>53</v>
      </c>
      <c r="G277" s="146" t="s">
        <v>56</v>
      </c>
      <c r="H277" s="337">
        <f t="shared" si="74"/>
        <v>220000</v>
      </c>
      <c r="I277" s="337">
        <f t="shared" si="75"/>
        <v>220000</v>
      </c>
      <c r="J277" s="337">
        <f t="shared" si="76"/>
        <v>0</v>
      </c>
      <c r="K277" s="337"/>
      <c r="L277" s="337"/>
      <c r="M277" s="337"/>
      <c r="N277" s="337"/>
      <c r="O277" s="337">
        <f t="shared" si="77"/>
        <v>220000</v>
      </c>
      <c r="P277" s="337"/>
      <c r="Q277" s="337"/>
      <c r="R277" s="337"/>
      <c r="S277" s="337">
        <v>220000</v>
      </c>
      <c r="T277" s="337">
        <f t="shared" si="78"/>
        <v>0</v>
      </c>
      <c r="U277" s="337"/>
      <c r="V277" s="337"/>
      <c r="W277" s="337"/>
      <c r="X277" s="337"/>
      <c r="Y277" s="337">
        <f t="shared" si="79"/>
        <v>0</v>
      </c>
      <c r="Z277" s="337"/>
      <c r="AA277" s="337"/>
      <c r="AB277" s="337"/>
      <c r="AC277" s="337"/>
      <c r="AD277" s="337"/>
      <c r="AE277" s="337"/>
      <c r="AF277" s="337"/>
      <c r="AG277" s="337">
        <f t="shared" si="80"/>
        <v>220000</v>
      </c>
      <c r="AH277" s="337">
        <f t="shared" si="81"/>
        <v>220000</v>
      </c>
      <c r="AI277" s="337">
        <f t="shared" si="82"/>
        <v>0</v>
      </c>
      <c r="AJ277" s="337"/>
      <c r="AK277" s="337"/>
      <c r="AL277" s="337"/>
      <c r="AM277" s="337"/>
      <c r="AN277" s="337">
        <f t="shared" si="83"/>
        <v>220000</v>
      </c>
      <c r="AO277" s="337"/>
      <c r="AP277" s="337"/>
      <c r="AQ277" s="337">
        <v>220000</v>
      </c>
      <c r="AR277" s="337"/>
      <c r="AS277" s="337">
        <f t="shared" si="84"/>
        <v>0</v>
      </c>
      <c r="AT277" s="337"/>
      <c r="AU277" s="337"/>
      <c r="AV277" s="337"/>
      <c r="AW277" s="337"/>
      <c r="AX277" s="337">
        <f t="shared" si="85"/>
        <v>0</v>
      </c>
      <c r="AY277" s="337"/>
      <c r="AZ277" s="337"/>
      <c r="BA277" s="337"/>
      <c r="BB277" s="337"/>
      <c r="BC277" s="337"/>
      <c r="BD277" s="337"/>
      <c r="BE277" s="338"/>
      <c r="BF277" s="146" t="s">
        <v>56</v>
      </c>
      <c r="BG277" s="346" t="s">
        <v>380</v>
      </c>
      <c r="BH277" s="369" t="s">
        <v>452</v>
      </c>
    </row>
    <row r="278" s="77" customFormat="1" ht="15" hidden="1" spans="1:60">
      <c r="A278" s="301">
        <v>271</v>
      </c>
      <c r="B278" s="307" t="s">
        <v>19</v>
      </c>
      <c r="C278" s="307" t="s">
        <v>20</v>
      </c>
      <c r="D278" s="308">
        <v>2018</v>
      </c>
      <c r="E278" s="313" t="s">
        <v>453</v>
      </c>
      <c r="F278" s="308" t="s">
        <v>53</v>
      </c>
      <c r="G278" s="127" t="s">
        <v>53</v>
      </c>
      <c r="H278" s="310">
        <f t="shared" si="74"/>
        <v>200000</v>
      </c>
      <c r="I278" s="310">
        <f t="shared" si="75"/>
        <v>200000</v>
      </c>
      <c r="J278" s="310">
        <f t="shared" si="76"/>
        <v>0</v>
      </c>
      <c r="K278" s="310"/>
      <c r="L278" s="310"/>
      <c r="M278" s="310"/>
      <c r="N278" s="310"/>
      <c r="O278" s="310">
        <f t="shared" si="77"/>
        <v>200000</v>
      </c>
      <c r="P278" s="310"/>
      <c r="Q278" s="310"/>
      <c r="R278" s="310"/>
      <c r="S278" s="310">
        <v>200000</v>
      </c>
      <c r="T278" s="310">
        <f t="shared" si="78"/>
        <v>0</v>
      </c>
      <c r="U278" s="310"/>
      <c r="V278" s="310"/>
      <c r="W278" s="310"/>
      <c r="X278" s="310"/>
      <c r="Y278" s="310">
        <f t="shared" si="79"/>
        <v>0</v>
      </c>
      <c r="Z278" s="310"/>
      <c r="AA278" s="310"/>
      <c r="AB278" s="310"/>
      <c r="AC278" s="310"/>
      <c r="AD278" s="310"/>
      <c r="AE278" s="310"/>
      <c r="AF278" s="310"/>
      <c r="AG278" s="310">
        <f t="shared" si="80"/>
        <v>200000</v>
      </c>
      <c r="AH278" s="310">
        <f t="shared" si="81"/>
        <v>200000</v>
      </c>
      <c r="AI278" s="310">
        <f t="shared" si="82"/>
        <v>0</v>
      </c>
      <c r="AJ278" s="310"/>
      <c r="AK278" s="310"/>
      <c r="AL278" s="310"/>
      <c r="AM278" s="310"/>
      <c r="AN278" s="310">
        <f t="shared" si="83"/>
        <v>200000</v>
      </c>
      <c r="AO278" s="310"/>
      <c r="AP278" s="310"/>
      <c r="AQ278" s="310">
        <v>200000</v>
      </c>
      <c r="AR278" s="310"/>
      <c r="AS278" s="310">
        <f t="shared" si="84"/>
        <v>0</v>
      </c>
      <c r="AT278" s="310"/>
      <c r="AU278" s="310"/>
      <c r="AV278" s="310"/>
      <c r="AW278" s="310"/>
      <c r="AX278" s="310">
        <f t="shared" si="85"/>
        <v>0</v>
      </c>
      <c r="AY278" s="310"/>
      <c r="AZ278" s="310"/>
      <c r="BA278" s="310"/>
      <c r="BB278" s="310"/>
      <c r="BC278" s="310"/>
      <c r="BD278" s="310"/>
      <c r="BE278" s="312">
        <v>0</v>
      </c>
      <c r="BF278" s="127" t="s">
        <v>56</v>
      </c>
      <c r="BG278" s="184" t="s">
        <v>450</v>
      </c>
      <c r="BH278" s="133" t="s">
        <v>140</v>
      </c>
    </row>
    <row r="279" s="77" customFormat="1" ht="15" hidden="1" spans="1:60">
      <c r="A279" s="301">
        <v>272</v>
      </c>
      <c r="B279" s="307" t="s">
        <v>19</v>
      </c>
      <c r="C279" s="307" t="s">
        <v>20</v>
      </c>
      <c r="D279" s="308">
        <v>2018</v>
      </c>
      <c r="E279" s="313" t="s">
        <v>454</v>
      </c>
      <c r="F279" s="308" t="s">
        <v>53</v>
      </c>
      <c r="G279" s="127" t="s">
        <v>53</v>
      </c>
      <c r="H279" s="310">
        <f t="shared" si="74"/>
        <v>20000000</v>
      </c>
      <c r="I279" s="310">
        <f t="shared" si="75"/>
        <v>20000000</v>
      </c>
      <c r="J279" s="310">
        <f t="shared" si="76"/>
        <v>0</v>
      </c>
      <c r="K279" s="310"/>
      <c r="L279" s="310"/>
      <c r="M279" s="310"/>
      <c r="N279" s="310"/>
      <c r="O279" s="310">
        <f t="shared" si="77"/>
        <v>20000000</v>
      </c>
      <c r="P279" s="310">
        <v>20000000</v>
      </c>
      <c r="Q279" s="310"/>
      <c r="R279" s="310"/>
      <c r="S279" s="310"/>
      <c r="T279" s="310">
        <f t="shared" si="78"/>
        <v>0</v>
      </c>
      <c r="U279" s="310"/>
      <c r="V279" s="310"/>
      <c r="W279" s="310"/>
      <c r="X279" s="310"/>
      <c r="Y279" s="310">
        <f t="shared" si="79"/>
        <v>0</v>
      </c>
      <c r="Z279" s="310"/>
      <c r="AA279" s="310"/>
      <c r="AB279" s="310"/>
      <c r="AC279" s="310"/>
      <c r="AD279" s="310"/>
      <c r="AE279" s="310"/>
      <c r="AF279" s="310"/>
      <c r="AG279" s="310">
        <f t="shared" si="80"/>
        <v>20000000</v>
      </c>
      <c r="AH279" s="310">
        <f t="shared" si="81"/>
        <v>20000000</v>
      </c>
      <c r="AI279" s="310">
        <f t="shared" si="82"/>
        <v>0</v>
      </c>
      <c r="AJ279" s="310"/>
      <c r="AK279" s="310"/>
      <c r="AL279" s="310"/>
      <c r="AM279" s="310"/>
      <c r="AN279" s="310">
        <f t="shared" si="83"/>
        <v>20000000</v>
      </c>
      <c r="AO279" s="310">
        <v>20000000</v>
      </c>
      <c r="AP279" s="310"/>
      <c r="AQ279" s="310"/>
      <c r="AR279" s="310"/>
      <c r="AS279" s="310">
        <f t="shared" si="84"/>
        <v>0</v>
      </c>
      <c r="AT279" s="310"/>
      <c r="AU279" s="310"/>
      <c r="AV279" s="310"/>
      <c r="AW279" s="310"/>
      <c r="AX279" s="310">
        <f t="shared" si="85"/>
        <v>0</v>
      </c>
      <c r="AY279" s="310"/>
      <c r="AZ279" s="310"/>
      <c r="BA279" s="310"/>
      <c r="BB279" s="310"/>
      <c r="BC279" s="310"/>
      <c r="BD279" s="310"/>
      <c r="BE279" s="312">
        <v>0</v>
      </c>
      <c r="BF279" s="127" t="s">
        <v>56</v>
      </c>
      <c r="BG279" s="184" t="s">
        <v>455</v>
      </c>
      <c r="BH279" s="133" t="s">
        <v>456</v>
      </c>
    </row>
    <row r="280" s="77" customFormat="1" ht="15" hidden="1" spans="1:60">
      <c r="A280" s="301">
        <v>273</v>
      </c>
      <c r="B280" s="317" t="s">
        <v>19</v>
      </c>
      <c r="C280" s="317" t="s">
        <v>20</v>
      </c>
      <c r="D280" s="317">
        <v>2018</v>
      </c>
      <c r="E280" s="341" t="s">
        <v>457</v>
      </c>
      <c r="F280" s="317" t="s">
        <v>53</v>
      </c>
      <c r="G280" s="319" t="s">
        <v>56</v>
      </c>
      <c r="H280" s="320">
        <f t="shared" si="74"/>
        <v>5820000</v>
      </c>
      <c r="I280" s="320">
        <f t="shared" si="75"/>
        <v>5820000</v>
      </c>
      <c r="J280" s="320">
        <f t="shared" si="76"/>
        <v>0</v>
      </c>
      <c r="K280" s="320"/>
      <c r="L280" s="320"/>
      <c r="M280" s="320"/>
      <c r="N280" s="320"/>
      <c r="O280" s="320">
        <f t="shared" si="77"/>
        <v>5820000</v>
      </c>
      <c r="P280" s="320">
        <v>5820000</v>
      </c>
      <c r="Q280" s="320"/>
      <c r="R280" s="320"/>
      <c r="S280" s="320"/>
      <c r="T280" s="320">
        <f t="shared" si="78"/>
        <v>0</v>
      </c>
      <c r="U280" s="320"/>
      <c r="V280" s="320"/>
      <c r="W280" s="320"/>
      <c r="X280" s="320"/>
      <c r="Y280" s="320">
        <f t="shared" si="79"/>
        <v>0</v>
      </c>
      <c r="Z280" s="320"/>
      <c r="AA280" s="320"/>
      <c r="AB280" s="320"/>
      <c r="AC280" s="320"/>
      <c r="AD280" s="320"/>
      <c r="AE280" s="320"/>
      <c r="AF280" s="320"/>
      <c r="AG280" s="320">
        <f t="shared" si="80"/>
        <v>5820000</v>
      </c>
      <c r="AH280" s="320">
        <f t="shared" si="81"/>
        <v>5820000</v>
      </c>
      <c r="AI280" s="320">
        <f t="shared" si="82"/>
        <v>0</v>
      </c>
      <c r="AJ280" s="320"/>
      <c r="AK280" s="320"/>
      <c r="AL280" s="320"/>
      <c r="AM280" s="320"/>
      <c r="AN280" s="320">
        <f t="shared" si="83"/>
        <v>5820000</v>
      </c>
      <c r="AO280" s="320">
        <v>5820000</v>
      </c>
      <c r="AP280" s="320"/>
      <c r="AQ280" s="320"/>
      <c r="AR280" s="320"/>
      <c r="AS280" s="320">
        <f t="shared" si="84"/>
        <v>0</v>
      </c>
      <c r="AT280" s="320"/>
      <c r="AU280" s="320"/>
      <c r="AV280" s="320"/>
      <c r="AW280" s="320"/>
      <c r="AX280" s="320">
        <f t="shared" si="85"/>
        <v>0</v>
      </c>
      <c r="AY280" s="320"/>
      <c r="AZ280" s="320"/>
      <c r="BA280" s="320"/>
      <c r="BB280" s="320"/>
      <c r="BC280" s="320"/>
      <c r="BD280" s="320"/>
      <c r="BE280" s="320"/>
      <c r="BF280" s="370" t="s">
        <v>56</v>
      </c>
      <c r="BG280" s="320"/>
      <c r="BH280" s="320"/>
    </row>
    <row r="281" s="271" customFormat="1" ht="15" hidden="1" spans="1:60">
      <c r="A281" s="301">
        <v>274</v>
      </c>
      <c r="B281" s="316" t="s">
        <v>19</v>
      </c>
      <c r="C281" s="316" t="s">
        <v>20</v>
      </c>
      <c r="D281" s="317">
        <v>2018</v>
      </c>
      <c r="E281" s="341" t="s">
        <v>458</v>
      </c>
      <c r="F281" s="317" t="s">
        <v>53</v>
      </c>
      <c r="G281" s="319" t="s">
        <v>56</v>
      </c>
      <c r="H281" s="320">
        <f t="shared" si="74"/>
        <v>800000</v>
      </c>
      <c r="I281" s="320">
        <f t="shared" si="75"/>
        <v>800000</v>
      </c>
      <c r="J281" s="320">
        <f t="shared" si="76"/>
        <v>0</v>
      </c>
      <c r="K281" s="320"/>
      <c r="L281" s="320"/>
      <c r="M281" s="320"/>
      <c r="N281" s="320"/>
      <c r="O281" s="320">
        <f t="shared" si="77"/>
        <v>800000</v>
      </c>
      <c r="P281" s="320"/>
      <c r="Q281" s="320"/>
      <c r="R281" s="320">
        <v>800000</v>
      </c>
      <c r="S281" s="320"/>
      <c r="T281" s="320">
        <f t="shared" si="78"/>
        <v>0</v>
      </c>
      <c r="U281" s="320"/>
      <c r="V281" s="320"/>
      <c r="W281" s="320"/>
      <c r="X281" s="320"/>
      <c r="Y281" s="320">
        <f t="shared" si="79"/>
        <v>0</v>
      </c>
      <c r="Z281" s="320"/>
      <c r="AA281" s="320"/>
      <c r="AB281" s="320"/>
      <c r="AC281" s="320"/>
      <c r="AD281" s="320"/>
      <c r="AE281" s="320"/>
      <c r="AF281" s="320"/>
      <c r="AG281" s="320">
        <f t="shared" si="80"/>
        <v>691566.31</v>
      </c>
      <c r="AH281" s="320">
        <f t="shared" si="81"/>
        <v>691566.31</v>
      </c>
      <c r="AI281" s="320">
        <f t="shared" si="82"/>
        <v>0</v>
      </c>
      <c r="AJ281" s="320"/>
      <c r="AK281" s="320"/>
      <c r="AL281" s="320"/>
      <c r="AM281" s="320"/>
      <c r="AN281" s="320">
        <f t="shared" si="83"/>
        <v>691566.31</v>
      </c>
      <c r="AO281" s="320">
        <v>691566.31</v>
      </c>
      <c r="AP281" s="320"/>
      <c r="AQ281" s="320"/>
      <c r="AR281" s="320"/>
      <c r="AS281" s="320">
        <f t="shared" si="84"/>
        <v>0</v>
      </c>
      <c r="AT281" s="320"/>
      <c r="AU281" s="320"/>
      <c r="AV281" s="320"/>
      <c r="AW281" s="320"/>
      <c r="AX281" s="320">
        <f t="shared" si="85"/>
        <v>0</v>
      </c>
      <c r="AY281" s="320"/>
      <c r="AZ281" s="320"/>
      <c r="BA281" s="320"/>
      <c r="BB281" s="320"/>
      <c r="BC281" s="320"/>
      <c r="BD281" s="320"/>
      <c r="BE281" s="321"/>
      <c r="BF281" s="319" t="s">
        <v>56</v>
      </c>
      <c r="BG281" s="322"/>
      <c r="BH281" s="323"/>
    </row>
    <row r="282" s="270" customFormat="1" ht="15" hidden="1" spans="1:60">
      <c r="A282" s="301">
        <v>275</v>
      </c>
      <c r="B282" s="302" t="s">
        <v>19</v>
      </c>
      <c r="C282" s="302" t="s">
        <v>20</v>
      </c>
      <c r="D282" s="301">
        <v>2018</v>
      </c>
      <c r="E282" s="303" t="s">
        <v>459</v>
      </c>
      <c r="F282" s="301" t="s">
        <v>53</v>
      </c>
      <c r="G282" s="238" t="s">
        <v>53</v>
      </c>
      <c r="H282" s="304">
        <f t="shared" si="74"/>
        <v>125112</v>
      </c>
      <c r="I282" s="304">
        <f t="shared" si="75"/>
        <v>125112</v>
      </c>
      <c r="J282" s="304">
        <f t="shared" si="76"/>
        <v>0</v>
      </c>
      <c r="K282" s="304"/>
      <c r="L282" s="304"/>
      <c r="M282" s="304"/>
      <c r="N282" s="304"/>
      <c r="O282" s="304">
        <f t="shared" si="77"/>
        <v>125112</v>
      </c>
      <c r="P282" s="304">
        <v>125112</v>
      </c>
      <c r="Q282" s="304"/>
      <c r="R282" s="304"/>
      <c r="S282" s="304"/>
      <c r="T282" s="304">
        <f t="shared" si="78"/>
        <v>0</v>
      </c>
      <c r="U282" s="304"/>
      <c r="V282" s="304"/>
      <c r="W282" s="304"/>
      <c r="X282" s="304"/>
      <c r="Y282" s="304">
        <f t="shared" si="79"/>
        <v>0</v>
      </c>
      <c r="Z282" s="304"/>
      <c r="AA282" s="304"/>
      <c r="AB282" s="304"/>
      <c r="AC282" s="304"/>
      <c r="AD282" s="304"/>
      <c r="AE282" s="304"/>
      <c r="AF282" s="304"/>
      <c r="AG282" s="304">
        <f t="shared" si="80"/>
        <v>125112</v>
      </c>
      <c r="AH282" s="304">
        <f t="shared" si="81"/>
        <v>125112</v>
      </c>
      <c r="AI282" s="304">
        <f t="shared" si="82"/>
        <v>0</v>
      </c>
      <c r="AJ282" s="304"/>
      <c r="AK282" s="304"/>
      <c r="AL282" s="304"/>
      <c r="AM282" s="304"/>
      <c r="AN282" s="304">
        <f t="shared" si="83"/>
        <v>125112</v>
      </c>
      <c r="AO282" s="304">
        <v>125112</v>
      </c>
      <c r="AP282" s="304"/>
      <c r="AQ282" s="304"/>
      <c r="AR282" s="304"/>
      <c r="AS282" s="304">
        <f t="shared" si="84"/>
        <v>0</v>
      </c>
      <c r="AT282" s="304"/>
      <c r="AU282" s="304"/>
      <c r="AV282" s="304"/>
      <c r="AW282" s="304"/>
      <c r="AX282" s="304">
        <f t="shared" si="85"/>
        <v>0</v>
      </c>
      <c r="AY282" s="304"/>
      <c r="AZ282" s="304"/>
      <c r="BA282" s="304"/>
      <c r="BB282" s="304"/>
      <c r="BC282" s="304"/>
      <c r="BD282" s="304"/>
      <c r="BE282" s="305">
        <v>0</v>
      </c>
      <c r="BF282" s="238" t="s">
        <v>53</v>
      </c>
      <c r="BG282" s="263" t="s">
        <v>54</v>
      </c>
      <c r="BH282" s="306"/>
    </row>
    <row r="283" s="270" customFormat="1" ht="13" hidden="1" customHeight="1" spans="1:60">
      <c r="A283" s="301">
        <v>276</v>
      </c>
      <c r="B283" s="302" t="s">
        <v>19</v>
      </c>
      <c r="C283" s="302" t="s">
        <v>20</v>
      </c>
      <c r="D283" s="301">
        <v>2018</v>
      </c>
      <c r="E283" s="303" t="s">
        <v>460</v>
      </c>
      <c r="F283" s="301" t="s">
        <v>53</v>
      </c>
      <c r="G283" s="238" t="s">
        <v>53</v>
      </c>
      <c r="H283" s="304">
        <f t="shared" si="74"/>
        <v>1531000</v>
      </c>
      <c r="I283" s="304">
        <f t="shared" si="75"/>
        <v>1531000</v>
      </c>
      <c r="J283" s="304">
        <f t="shared" si="76"/>
        <v>0</v>
      </c>
      <c r="K283" s="304"/>
      <c r="L283" s="304"/>
      <c r="M283" s="304"/>
      <c r="N283" s="304"/>
      <c r="O283" s="304">
        <f t="shared" si="77"/>
        <v>1531000</v>
      </c>
      <c r="P283" s="304">
        <v>1531000</v>
      </c>
      <c r="Q283" s="304"/>
      <c r="R283" s="304"/>
      <c r="S283" s="304"/>
      <c r="T283" s="304">
        <f t="shared" si="78"/>
        <v>0</v>
      </c>
      <c r="U283" s="304"/>
      <c r="V283" s="304"/>
      <c r="W283" s="304"/>
      <c r="X283" s="304"/>
      <c r="Y283" s="304">
        <f t="shared" si="79"/>
        <v>0</v>
      </c>
      <c r="Z283" s="304"/>
      <c r="AA283" s="304"/>
      <c r="AB283" s="304"/>
      <c r="AC283" s="304"/>
      <c r="AD283" s="304"/>
      <c r="AE283" s="304"/>
      <c r="AF283" s="304"/>
      <c r="AG283" s="304">
        <f t="shared" si="80"/>
        <v>1531000</v>
      </c>
      <c r="AH283" s="304">
        <f t="shared" si="81"/>
        <v>1531000</v>
      </c>
      <c r="AI283" s="304">
        <f t="shared" si="82"/>
        <v>0</v>
      </c>
      <c r="AJ283" s="304"/>
      <c r="AK283" s="304"/>
      <c r="AL283" s="304"/>
      <c r="AM283" s="304"/>
      <c r="AN283" s="304">
        <f t="shared" si="83"/>
        <v>1531000</v>
      </c>
      <c r="AO283" s="304">
        <v>1531000</v>
      </c>
      <c r="AP283" s="304"/>
      <c r="AQ283" s="304"/>
      <c r="AR283" s="304"/>
      <c r="AS283" s="304">
        <f t="shared" si="84"/>
        <v>0</v>
      </c>
      <c r="AT283" s="304"/>
      <c r="AU283" s="304"/>
      <c r="AV283" s="304"/>
      <c r="AW283" s="304"/>
      <c r="AX283" s="304">
        <f t="shared" si="85"/>
        <v>0</v>
      </c>
      <c r="AY283" s="304"/>
      <c r="AZ283" s="304"/>
      <c r="BA283" s="304"/>
      <c r="BB283" s="304"/>
      <c r="BC283" s="304"/>
      <c r="BD283" s="304"/>
      <c r="BE283" s="305">
        <v>0</v>
      </c>
      <c r="BF283" s="238" t="s">
        <v>53</v>
      </c>
      <c r="BG283" s="263" t="s">
        <v>54</v>
      </c>
      <c r="BH283" s="306"/>
    </row>
    <row r="284" s="270" customFormat="1" ht="28" hidden="1" spans="1:60">
      <c r="A284" s="301">
        <v>277</v>
      </c>
      <c r="B284" s="302" t="s">
        <v>19</v>
      </c>
      <c r="C284" s="302" t="s">
        <v>20</v>
      </c>
      <c r="D284" s="301">
        <v>2018</v>
      </c>
      <c r="E284" s="303" t="s">
        <v>461</v>
      </c>
      <c r="F284" s="301" t="s">
        <v>53</v>
      </c>
      <c r="G284" s="238" t="s">
        <v>56</v>
      </c>
      <c r="H284" s="304">
        <f t="shared" si="74"/>
        <v>2000000</v>
      </c>
      <c r="I284" s="304">
        <f t="shared" si="75"/>
        <v>2000000</v>
      </c>
      <c r="J284" s="304">
        <f t="shared" si="76"/>
        <v>0</v>
      </c>
      <c r="K284" s="304"/>
      <c r="L284" s="304"/>
      <c r="M284" s="304"/>
      <c r="N284" s="304"/>
      <c r="O284" s="304">
        <f t="shared" si="77"/>
        <v>2000000</v>
      </c>
      <c r="P284" s="304"/>
      <c r="Q284" s="304"/>
      <c r="R284" s="304">
        <v>2000000</v>
      </c>
      <c r="S284" s="304"/>
      <c r="T284" s="304">
        <f t="shared" si="78"/>
        <v>0</v>
      </c>
      <c r="U284" s="304"/>
      <c r="V284" s="304"/>
      <c r="W284" s="304"/>
      <c r="X284" s="304"/>
      <c r="Y284" s="304">
        <f t="shared" si="79"/>
        <v>0</v>
      </c>
      <c r="Z284" s="304"/>
      <c r="AA284" s="304"/>
      <c r="AB284" s="304"/>
      <c r="AC284" s="304"/>
      <c r="AD284" s="304"/>
      <c r="AE284" s="304"/>
      <c r="AF284" s="304"/>
      <c r="AG284" s="304">
        <f t="shared" si="80"/>
        <v>2000000</v>
      </c>
      <c r="AH284" s="304">
        <f t="shared" si="81"/>
        <v>2000000</v>
      </c>
      <c r="AI284" s="304">
        <f t="shared" si="82"/>
        <v>0</v>
      </c>
      <c r="AJ284" s="304"/>
      <c r="AK284" s="304"/>
      <c r="AL284" s="304"/>
      <c r="AM284" s="304"/>
      <c r="AN284" s="304">
        <f t="shared" si="83"/>
        <v>2000000</v>
      </c>
      <c r="AO284" s="304"/>
      <c r="AP284" s="304"/>
      <c r="AQ284" s="304">
        <v>2000000</v>
      </c>
      <c r="AR284" s="304"/>
      <c r="AS284" s="304">
        <f t="shared" si="84"/>
        <v>0</v>
      </c>
      <c r="AT284" s="304"/>
      <c r="AU284" s="304"/>
      <c r="AV284" s="304"/>
      <c r="AW284" s="304"/>
      <c r="AX284" s="304">
        <f t="shared" si="85"/>
        <v>0</v>
      </c>
      <c r="AY284" s="304"/>
      <c r="AZ284" s="304"/>
      <c r="BA284" s="304"/>
      <c r="BB284" s="304"/>
      <c r="BC284" s="304"/>
      <c r="BD284" s="304"/>
      <c r="BE284" s="305"/>
      <c r="BF284" s="238" t="s">
        <v>53</v>
      </c>
      <c r="BG284" s="263" t="s">
        <v>70</v>
      </c>
      <c r="BH284" s="306" t="s">
        <v>462</v>
      </c>
    </row>
    <row r="285" s="77" customFormat="1" ht="15" hidden="1" spans="1:60">
      <c r="A285" s="301">
        <v>278</v>
      </c>
      <c r="B285" s="307" t="s">
        <v>19</v>
      </c>
      <c r="C285" s="307" t="s">
        <v>20</v>
      </c>
      <c r="D285" s="308">
        <v>2018</v>
      </c>
      <c r="E285" s="313" t="s">
        <v>463</v>
      </c>
      <c r="F285" s="308" t="s">
        <v>53</v>
      </c>
      <c r="G285" s="127" t="s">
        <v>56</v>
      </c>
      <c r="H285" s="310">
        <f t="shared" si="74"/>
        <v>2000000</v>
      </c>
      <c r="I285" s="310">
        <f t="shared" si="75"/>
        <v>2000000</v>
      </c>
      <c r="J285" s="310">
        <f t="shared" si="76"/>
        <v>0</v>
      </c>
      <c r="K285" s="310"/>
      <c r="L285" s="310"/>
      <c r="M285" s="310"/>
      <c r="N285" s="310"/>
      <c r="O285" s="310">
        <f t="shared" si="77"/>
        <v>2000000</v>
      </c>
      <c r="P285" s="310"/>
      <c r="Q285" s="310"/>
      <c r="R285" s="310">
        <v>2000000</v>
      </c>
      <c r="S285" s="310"/>
      <c r="T285" s="310">
        <f t="shared" si="78"/>
        <v>0</v>
      </c>
      <c r="U285" s="310"/>
      <c r="V285" s="310"/>
      <c r="W285" s="310"/>
      <c r="X285" s="310"/>
      <c r="Y285" s="310">
        <f t="shared" si="79"/>
        <v>0</v>
      </c>
      <c r="Z285" s="310"/>
      <c r="AA285" s="310"/>
      <c r="AB285" s="310"/>
      <c r="AC285" s="310"/>
      <c r="AD285" s="310"/>
      <c r="AE285" s="310"/>
      <c r="AF285" s="310"/>
      <c r="AG285" s="310">
        <f t="shared" si="80"/>
        <v>2000000</v>
      </c>
      <c r="AH285" s="310">
        <f t="shared" si="81"/>
        <v>2000000</v>
      </c>
      <c r="AI285" s="310">
        <f t="shared" si="82"/>
        <v>0</v>
      </c>
      <c r="AJ285" s="310"/>
      <c r="AK285" s="310"/>
      <c r="AL285" s="310"/>
      <c r="AM285" s="310"/>
      <c r="AN285" s="310">
        <f t="shared" si="83"/>
        <v>2000000</v>
      </c>
      <c r="AO285" s="310"/>
      <c r="AP285" s="310"/>
      <c r="AQ285" s="310">
        <v>2000000</v>
      </c>
      <c r="AR285" s="310"/>
      <c r="AS285" s="310">
        <f t="shared" si="84"/>
        <v>0</v>
      </c>
      <c r="AT285" s="310"/>
      <c r="AU285" s="310"/>
      <c r="AV285" s="310"/>
      <c r="AW285" s="310"/>
      <c r="AX285" s="310">
        <f t="shared" si="85"/>
        <v>0</v>
      </c>
      <c r="AY285" s="310"/>
      <c r="AZ285" s="310"/>
      <c r="BA285" s="310"/>
      <c r="BB285" s="310"/>
      <c r="BC285" s="310"/>
      <c r="BD285" s="310"/>
      <c r="BE285" s="312"/>
      <c r="BF285" s="127" t="s">
        <v>56</v>
      </c>
      <c r="BG285" s="184" t="s">
        <v>464</v>
      </c>
      <c r="BH285" s="330" t="s">
        <v>465</v>
      </c>
    </row>
    <row r="286" s="78" customFormat="1" ht="15" hidden="1" spans="1:60">
      <c r="A286" s="301">
        <v>279</v>
      </c>
      <c r="B286" s="307" t="s">
        <v>19</v>
      </c>
      <c r="C286" s="307" t="s">
        <v>20</v>
      </c>
      <c r="D286" s="308">
        <v>2018</v>
      </c>
      <c r="E286" s="313" t="s">
        <v>466</v>
      </c>
      <c r="F286" s="308" t="s">
        <v>53</v>
      </c>
      <c r="G286" s="127" t="s">
        <v>56</v>
      </c>
      <c r="H286" s="310">
        <f t="shared" si="74"/>
        <v>530400</v>
      </c>
      <c r="I286" s="310">
        <f t="shared" si="75"/>
        <v>530400</v>
      </c>
      <c r="J286" s="310">
        <f t="shared" si="76"/>
        <v>0</v>
      </c>
      <c r="K286" s="310"/>
      <c r="L286" s="310"/>
      <c r="M286" s="310"/>
      <c r="N286" s="310"/>
      <c r="O286" s="310">
        <f t="shared" si="77"/>
        <v>530400</v>
      </c>
      <c r="P286" s="310"/>
      <c r="Q286" s="310"/>
      <c r="R286" s="310"/>
      <c r="S286" s="310">
        <v>530400</v>
      </c>
      <c r="T286" s="310">
        <f t="shared" si="78"/>
        <v>0</v>
      </c>
      <c r="U286" s="310"/>
      <c r="V286" s="310"/>
      <c r="W286" s="310"/>
      <c r="X286" s="310"/>
      <c r="Y286" s="310">
        <f t="shared" si="79"/>
        <v>0</v>
      </c>
      <c r="Z286" s="310"/>
      <c r="AA286" s="310"/>
      <c r="AB286" s="310"/>
      <c r="AC286" s="310"/>
      <c r="AD286" s="310"/>
      <c r="AE286" s="310"/>
      <c r="AF286" s="310"/>
      <c r="AG286" s="310">
        <f t="shared" si="80"/>
        <v>530400</v>
      </c>
      <c r="AH286" s="310">
        <f t="shared" si="81"/>
        <v>530400</v>
      </c>
      <c r="AI286" s="310">
        <f t="shared" si="82"/>
        <v>0</v>
      </c>
      <c r="AJ286" s="310"/>
      <c r="AK286" s="310"/>
      <c r="AL286" s="310"/>
      <c r="AM286" s="310"/>
      <c r="AN286" s="310">
        <f t="shared" si="83"/>
        <v>530400</v>
      </c>
      <c r="AO286" s="310"/>
      <c r="AP286" s="310"/>
      <c r="AQ286" s="310"/>
      <c r="AR286" s="310">
        <v>530400</v>
      </c>
      <c r="AS286" s="310">
        <f t="shared" si="84"/>
        <v>0</v>
      </c>
      <c r="AT286" s="310"/>
      <c r="AU286" s="310"/>
      <c r="AV286" s="310"/>
      <c r="AW286" s="310"/>
      <c r="AX286" s="310">
        <f t="shared" si="85"/>
        <v>0</v>
      </c>
      <c r="AY286" s="310"/>
      <c r="AZ286" s="310"/>
      <c r="BA286" s="310"/>
      <c r="BB286" s="310"/>
      <c r="BC286" s="310"/>
      <c r="BD286" s="310"/>
      <c r="BE286" s="312"/>
      <c r="BF286" s="134" t="s">
        <v>139</v>
      </c>
      <c r="BG286" s="315" t="s">
        <v>467</v>
      </c>
      <c r="BH286" s="137" t="s">
        <v>73</v>
      </c>
    </row>
    <row r="287" s="270" customFormat="1" ht="15" hidden="1" spans="1:60">
      <c r="A287" s="301">
        <v>280</v>
      </c>
      <c r="B287" s="302" t="s">
        <v>19</v>
      </c>
      <c r="C287" s="302" t="s">
        <v>20</v>
      </c>
      <c r="D287" s="301">
        <v>2018</v>
      </c>
      <c r="E287" s="303" t="s">
        <v>468</v>
      </c>
      <c r="F287" s="301" t="s">
        <v>53</v>
      </c>
      <c r="G287" s="238" t="s">
        <v>56</v>
      </c>
      <c r="H287" s="304">
        <f t="shared" si="74"/>
        <v>11000000</v>
      </c>
      <c r="I287" s="304">
        <f t="shared" si="75"/>
        <v>11000000</v>
      </c>
      <c r="J287" s="304">
        <f t="shared" si="76"/>
        <v>0</v>
      </c>
      <c r="K287" s="304"/>
      <c r="L287" s="304"/>
      <c r="M287" s="304"/>
      <c r="N287" s="304"/>
      <c r="O287" s="304">
        <f t="shared" si="77"/>
        <v>11000000</v>
      </c>
      <c r="P287" s="304"/>
      <c r="Q287" s="304"/>
      <c r="R287" s="304">
        <v>11000000</v>
      </c>
      <c r="S287" s="304"/>
      <c r="T287" s="304">
        <f t="shared" si="78"/>
        <v>0</v>
      </c>
      <c r="U287" s="304"/>
      <c r="V287" s="304"/>
      <c r="W287" s="304"/>
      <c r="X287" s="304"/>
      <c r="Y287" s="304">
        <f t="shared" si="79"/>
        <v>0</v>
      </c>
      <c r="Z287" s="304"/>
      <c r="AA287" s="304"/>
      <c r="AB287" s="304"/>
      <c r="AC287" s="304"/>
      <c r="AD287" s="304"/>
      <c r="AE287" s="304"/>
      <c r="AF287" s="304"/>
      <c r="AG287" s="304">
        <f t="shared" si="80"/>
        <v>11000000</v>
      </c>
      <c r="AH287" s="304">
        <f t="shared" si="81"/>
        <v>11000000</v>
      </c>
      <c r="AI287" s="304">
        <f t="shared" si="82"/>
        <v>0</v>
      </c>
      <c r="AJ287" s="304"/>
      <c r="AK287" s="304"/>
      <c r="AL287" s="304"/>
      <c r="AM287" s="304"/>
      <c r="AN287" s="304">
        <f t="shared" si="83"/>
        <v>11000000</v>
      </c>
      <c r="AO287" s="304"/>
      <c r="AP287" s="304"/>
      <c r="AQ287" s="304">
        <v>11000000</v>
      </c>
      <c r="AR287" s="304"/>
      <c r="AS287" s="304">
        <f t="shared" si="84"/>
        <v>0</v>
      </c>
      <c r="AT287" s="304"/>
      <c r="AU287" s="304"/>
      <c r="AV287" s="304"/>
      <c r="AW287" s="304"/>
      <c r="AX287" s="304">
        <f t="shared" si="85"/>
        <v>0</v>
      </c>
      <c r="AY287" s="304"/>
      <c r="AZ287" s="304"/>
      <c r="BA287" s="304"/>
      <c r="BB287" s="304"/>
      <c r="BC287" s="304"/>
      <c r="BD287" s="304"/>
      <c r="BE287" s="305"/>
      <c r="BF287" s="238" t="s">
        <v>53</v>
      </c>
      <c r="BG287" s="263" t="s">
        <v>54</v>
      </c>
      <c r="BH287" s="306" t="s">
        <v>283</v>
      </c>
    </row>
    <row r="288" s="77" customFormat="1" ht="15" hidden="1" spans="1:60">
      <c r="A288" s="301">
        <v>281</v>
      </c>
      <c r="B288" s="307" t="s">
        <v>19</v>
      </c>
      <c r="C288" s="307" t="s">
        <v>20</v>
      </c>
      <c r="D288" s="308">
        <v>2018</v>
      </c>
      <c r="E288" s="313" t="s">
        <v>469</v>
      </c>
      <c r="F288" s="308" t="s">
        <v>53</v>
      </c>
      <c r="G288" s="127" t="s">
        <v>56</v>
      </c>
      <c r="H288" s="310">
        <f t="shared" si="74"/>
        <v>53100</v>
      </c>
      <c r="I288" s="310">
        <f t="shared" si="75"/>
        <v>53100</v>
      </c>
      <c r="J288" s="310">
        <f t="shared" si="76"/>
        <v>0</v>
      </c>
      <c r="K288" s="310"/>
      <c r="L288" s="310"/>
      <c r="M288" s="310"/>
      <c r="N288" s="310"/>
      <c r="O288" s="310">
        <f t="shared" si="77"/>
        <v>53100</v>
      </c>
      <c r="P288" s="310"/>
      <c r="Q288" s="310"/>
      <c r="R288" s="310">
        <v>53100</v>
      </c>
      <c r="S288" s="310"/>
      <c r="T288" s="310">
        <f t="shared" si="78"/>
        <v>0</v>
      </c>
      <c r="U288" s="310"/>
      <c r="V288" s="310"/>
      <c r="W288" s="310"/>
      <c r="X288" s="310"/>
      <c r="Y288" s="310">
        <f t="shared" si="79"/>
        <v>0</v>
      </c>
      <c r="Z288" s="310"/>
      <c r="AA288" s="310"/>
      <c r="AB288" s="310"/>
      <c r="AC288" s="310"/>
      <c r="AD288" s="310"/>
      <c r="AE288" s="310"/>
      <c r="AF288" s="310"/>
      <c r="AG288" s="310">
        <f t="shared" si="80"/>
        <v>53100</v>
      </c>
      <c r="AH288" s="310">
        <f t="shared" si="81"/>
        <v>53100</v>
      </c>
      <c r="AI288" s="310">
        <f t="shared" si="82"/>
        <v>0</v>
      </c>
      <c r="AJ288" s="310"/>
      <c r="AK288" s="310"/>
      <c r="AL288" s="310"/>
      <c r="AM288" s="310"/>
      <c r="AN288" s="310">
        <f t="shared" si="83"/>
        <v>53100</v>
      </c>
      <c r="AO288" s="310"/>
      <c r="AP288" s="310"/>
      <c r="AQ288" s="310">
        <v>53100</v>
      </c>
      <c r="AR288" s="310"/>
      <c r="AS288" s="310">
        <f t="shared" si="84"/>
        <v>0</v>
      </c>
      <c r="AT288" s="310"/>
      <c r="AU288" s="310"/>
      <c r="AV288" s="310"/>
      <c r="AW288" s="310"/>
      <c r="AX288" s="310">
        <f t="shared" si="85"/>
        <v>0</v>
      </c>
      <c r="AY288" s="310"/>
      <c r="AZ288" s="310"/>
      <c r="BA288" s="310"/>
      <c r="BB288" s="310"/>
      <c r="BC288" s="310"/>
      <c r="BD288" s="310"/>
      <c r="BE288" s="312"/>
      <c r="BF288" s="127" t="s">
        <v>56</v>
      </c>
      <c r="BG288" s="184" t="s">
        <v>464</v>
      </c>
      <c r="BH288" s="330" t="s">
        <v>279</v>
      </c>
    </row>
    <row r="289" s="77" customFormat="1" ht="15" hidden="1" spans="1:60">
      <c r="A289" s="301">
        <v>282</v>
      </c>
      <c r="B289" s="307" t="s">
        <v>19</v>
      </c>
      <c r="C289" s="307" t="s">
        <v>20</v>
      </c>
      <c r="D289" s="308">
        <v>2018</v>
      </c>
      <c r="E289" s="313" t="s">
        <v>470</v>
      </c>
      <c r="F289" s="308" t="s">
        <v>53</v>
      </c>
      <c r="G289" s="127" t="s">
        <v>53</v>
      </c>
      <c r="H289" s="310">
        <f t="shared" ref="H289:H322" si="86">I289+AF289</f>
        <v>300000</v>
      </c>
      <c r="I289" s="310">
        <f t="shared" ref="I289:I322" si="87">O289+J289+T289+Y289+AE289+AC289+AD289</f>
        <v>300000</v>
      </c>
      <c r="J289" s="310">
        <f t="shared" ref="J289:J322" si="88">N289+M289+L289+K289</f>
        <v>0</v>
      </c>
      <c r="K289" s="310"/>
      <c r="L289" s="310"/>
      <c r="M289" s="310"/>
      <c r="N289" s="310"/>
      <c r="O289" s="310">
        <f t="shared" ref="O289:O322" si="89">S289+R289+Q289+P289</f>
        <v>300000</v>
      </c>
      <c r="P289" s="310"/>
      <c r="Q289" s="310"/>
      <c r="R289" s="310"/>
      <c r="S289" s="310">
        <v>300000</v>
      </c>
      <c r="T289" s="310">
        <f t="shared" ref="T289:T322" si="90">U289+V289+W289+X289</f>
        <v>0</v>
      </c>
      <c r="U289" s="310"/>
      <c r="V289" s="310"/>
      <c r="W289" s="310"/>
      <c r="X289" s="310"/>
      <c r="Y289" s="310">
        <f t="shared" ref="Y289:Y322" si="91">AA289+Z289+AB289</f>
        <v>0</v>
      </c>
      <c r="Z289" s="310"/>
      <c r="AA289" s="310"/>
      <c r="AB289" s="310"/>
      <c r="AC289" s="310"/>
      <c r="AD289" s="310"/>
      <c r="AE289" s="310"/>
      <c r="AF289" s="310"/>
      <c r="AG289" s="310">
        <f t="shared" ref="AG289:AG322" si="92">AH289+BE289</f>
        <v>300000</v>
      </c>
      <c r="AH289" s="310">
        <f t="shared" ref="AH289:AH322" si="93">AN289+AI289+AS289+AX289+BD289+BB289+BC289</f>
        <v>300000</v>
      </c>
      <c r="AI289" s="310">
        <f t="shared" ref="AI289:AI322" si="94">AM289+AL289+AK289+AJ289</f>
        <v>0</v>
      </c>
      <c r="AJ289" s="310"/>
      <c r="AK289" s="310"/>
      <c r="AL289" s="310"/>
      <c r="AM289" s="310"/>
      <c r="AN289" s="310">
        <f t="shared" ref="AN289:AN322" si="95">AR289+AQ289+AP289+AO289</f>
        <v>300000</v>
      </c>
      <c r="AO289" s="310"/>
      <c r="AP289" s="310"/>
      <c r="AQ289" s="310">
        <v>300000</v>
      </c>
      <c r="AR289" s="310"/>
      <c r="AS289" s="310">
        <f t="shared" ref="AS289:AS322" si="96">AW289+AV289+AU289+AT289</f>
        <v>0</v>
      </c>
      <c r="AT289" s="310"/>
      <c r="AU289" s="310"/>
      <c r="AV289" s="310"/>
      <c r="AW289" s="310"/>
      <c r="AX289" s="310">
        <f t="shared" ref="AX289:AX322" si="97">AZ289+AY289+BA289</f>
        <v>0</v>
      </c>
      <c r="AY289" s="310"/>
      <c r="AZ289" s="310"/>
      <c r="BA289" s="310"/>
      <c r="BB289" s="310"/>
      <c r="BC289" s="310"/>
      <c r="BD289" s="310"/>
      <c r="BE289" s="312">
        <v>0</v>
      </c>
      <c r="BF289" s="127" t="s">
        <v>56</v>
      </c>
      <c r="BG289" s="184" t="s">
        <v>450</v>
      </c>
      <c r="BH289" s="133" t="s">
        <v>140</v>
      </c>
    </row>
    <row r="290" s="77" customFormat="1" ht="15" hidden="1" spans="1:60">
      <c r="A290" s="301">
        <v>283</v>
      </c>
      <c r="B290" s="307" t="s">
        <v>19</v>
      </c>
      <c r="C290" s="307" t="s">
        <v>20</v>
      </c>
      <c r="D290" s="308">
        <v>2019</v>
      </c>
      <c r="E290" s="313" t="s">
        <v>471</v>
      </c>
      <c r="F290" s="308" t="s">
        <v>53</v>
      </c>
      <c r="G290" s="127" t="s">
        <v>53</v>
      </c>
      <c r="H290" s="310">
        <f t="shared" si="86"/>
        <v>430000</v>
      </c>
      <c r="I290" s="310">
        <f t="shared" si="87"/>
        <v>400000</v>
      </c>
      <c r="J290" s="310">
        <f t="shared" si="88"/>
        <v>400000</v>
      </c>
      <c r="K290" s="310">
        <v>400000</v>
      </c>
      <c r="L290" s="310"/>
      <c r="M290" s="310"/>
      <c r="N290" s="310"/>
      <c r="O290" s="310">
        <f t="shared" si="89"/>
        <v>0</v>
      </c>
      <c r="P290" s="310"/>
      <c r="Q290" s="310"/>
      <c r="R290" s="310"/>
      <c r="S290" s="310"/>
      <c r="T290" s="310">
        <f t="shared" si="90"/>
        <v>0</v>
      </c>
      <c r="U290" s="310"/>
      <c r="V290" s="310"/>
      <c r="W290" s="310"/>
      <c r="X290" s="310"/>
      <c r="Y290" s="310">
        <f t="shared" si="91"/>
        <v>0</v>
      </c>
      <c r="Z290" s="310"/>
      <c r="AA290" s="310"/>
      <c r="AB290" s="310"/>
      <c r="AC290" s="310"/>
      <c r="AD290" s="310"/>
      <c r="AE290" s="310"/>
      <c r="AF290" s="310">
        <v>30000</v>
      </c>
      <c r="AG290" s="310">
        <f t="shared" si="92"/>
        <v>400000</v>
      </c>
      <c r="AH290" s="310">
        <f t="shared" si="93"/>
        <v>400000</v>
      </c>
      <c r="AI290" s="310">
        <f t="shared" si="94"/>
        <v>400000</v>
      </c>
      <c r="AJ290" s="310">
        <v>400000</v>
      </c>
      <c r="AK290" s="310"/>
      <c r="AL290" s="310"/>
      <c r="AM290" s="310"/>
      <c r="AN290" s="310">
        <f t="shared" si="95"/>
        <v>0</v>
      </c>
      <c r="AO290" s="310"/>
      <c r="AP290" s="310"/>
      <c r="AQ290" s="310"/>
      <c r="AR290" s="310"/>
      <c r="AS290" s="310">
        <f t="shared" si="96"/>
        <v>0</v>
      </c>
      <c r="AT290" s="310"/>
      <c r="AU290" s="310"/>
      <c r="AV290" s="310"/>
      <c r="AW290" s="310"/>
      <c r="AX290" s="310">
        <f t="shared" si="97"/>
        <v>0</v>
      </c>
      <c r="AY290" s="310"/>
      <c r="AZ290" s="310"/>
      <c r="BA290" s="310"/>
      <c r="BB290" s="310"/>
      <c r="BC290" s="310"/>
      <c r="BD290" s="310"/>
      <c r="BE290" s="312"/>
      <c r="BF290" s="127" t="s">
        <v>56</v>
      </c>
      <c r="BG290" s="184" t="s">
        <v>472</v>
      </c>
      <c r="BH290" s="133" t="s">
        <v>140</v>
      </c>
    </row>
    <row r="291" s="273" customFormat="1" ht="15" hidden="1" spans="1:60">
      <c r="A291" s="301">
        <v>284</v>
      </c>
      <c r="B291" s="334" t="s">
        <v>19</v>
      </c>
      <c r="C291" s="334" t="s">
        <v>20</v>
      </c>
      <c r="D291" s="335">
        <v>2019</v>
      </c>
      <c r="E291" s="340" t="s">
        <v>473</v>
      </c>
      <c r="F291" s="335" t="s">
        <v>53</v>
      </c>
      <c r="G291" s="146" t="s">
        <v>56</v>
      </c>
      <c r="H291" s="337">
        <f t="shared" si="86"/>
        <v>370000</v>
      </c>
      <c r="I291" s="337">
        <f t="shared" si="87"/>
        <v>370000</v>
      </c>
      <c r="J291" s="337">
        <f t="shared" si="88"/>
        <v>0</v>
      </c>
      <c r="K291" s="337"/>
      <c r="L291" s="337"/>
      <c r="M291" s="337"/>
      <c r="N291" s="337"/>
      <c r="O291" s="337">
        <f t="shared" si="89"/>
        <v>370000</v>
      </c>
      <c r="P291" s="337"/>
      <c r="Q291" s="337"/>
      <c r="R291" s="337"/>
      <c r="S291" s="337">
        <v>370000</v>
      </c>
      <c r="T291" s="337">
        <f t="shared" si="90"/>
        <v>0</v>
      </c>
      <c r="U291" s="337"/>
      <c r="V291" s="337"/>
      <c r="W291" s="337"/>
      <c r="X291" s="337"/>
      <c r="Y291" s="337">
        <f t="shared" si="91"/>
        <v>0</v>
      </c>
      <c r="Z291" s="337"/>
      <c r="AA291" s="337"/>
      <c r="AB291" s="337"/>
      <c r="AC291" s="337"/>
      <c r="AD291" s="337"/>
      <c r="AE291" s="337"/>
      <c r="AF291" s="337"/>
      <c r="AG291" s="337">
        <f t="shared" si="92"/>
        <v>370000</v>
      </c>
      <c r="AH291" s="337">
        <f t="shared" si="93"/>
        <v>370000</v>
      </c>
      <c r="AI291" s="337">
        <f t="shared" si="94"/>
        <v>0</v>
      </c>
      <c r="AJ291" s="337"/>
      <c r="AK291" s="337"/>
      <c r="AL291" s="337"/>
      <c r="AM291" s="337"/>
      <c r="AN291" s="337">
        <f t="shared" si="95"/>
        <v>370000</v>
      </c>
      <c r="AO291" s="337"/>
      <c r="AP291" s="337"/>
      <c r="AQ291" s="337">
        <v>370000</v>
      </c>
      <c r="AR291" s="337"/>
      <c r="AS291" s="337">
        <f t="shared" si="96"/>
        <v>0</v>
      </c>
      <c r="AT291" s="337"/>
      <c r="AU291" s="337"/>
      <c r="AV291" s="337"/>
      <c r="AW291" s="337"/>
      <c r="AX291" s="337">
        <f t="shared" si="97"/>
        <v>0</v>
      </c>
      <c r="AY291" s="337"/>
      <c r="AZ291" s="337"/>
      <c r="BA291" s="337"/>
      <c r="BB291" s="337"/>
      <c r="BC291" s="337"/>
      <c r="BD291" s="337"/>
      <c r="BE291" s="338"/>
      <c r="BF291" s="146" t="s">
        <v>56</v>
      </c>
      <c r="BG291" s="346" t="s">
        <v>380</v>
      </c>
      <c r="BH291" s="369" t="s">
        <v>474</v>
      </c>
    </row>
    <row r="292" s="270" customFormat="1" ht="15" hidden="1" spans="1:60">
      <c r="A292" s="301">
        <v>285</v>
      </c>
      <c r="B292" s="302" t="s">
        <v>19</v>
      </c>
      <c r="C292" s="302" t="s">
        <v>20</v>
      </c>
      <c r="D292" s="301">
        <v>2019</v>
      </c>
      <c r="E292" s="303" t="s">
        <v>475</v>
      </c>
      <c r="F292" s="301" t="s">
        <v>53</v>
      </c>
      <c r="G292" s="238" t="s">
        <v>53</v>
      </c>
      <c r="H292" s="304">
        <f t="shared" si="86"/>
        <v>996100</v>
      </c>
      <c r="I292" s="304">
        <f t="shared" si="87"/>
        <v>996100</v>
      </c>
      <c r="J292" s="304">
        <f t="shared" si="88"/>
        <v>0</v>
      </c>
      <c r="K292" s="304"/>
      <c r="L292" s="304"/>
      <c r="M292" s="304"/>
      <c r="N292" s="304"/>
      <c r="O292" s="304">
        <f t="shared" si="89"/>
        <v>996100</v>
      </c>
      <c r="P292" s="304">
        <v>996100</v>
      </c>
      <c r="Q292" s="304"/>
      <c r="R292" s="304"/>
      <c r="S292" s="304"/>
      <c r="T292" s="304">
        <f t="shared" si="90"/>
        <v>0</v>
      </c>
      <c r="U292" s="304"/>
      <c r="V292" s="304"/>
      <c r="W292" s="304"/>
      <c r="X292" s="304"/>
      <c r="Y292" s="304">
        <f t="shared" si="91"/>
        <v>0</v>
      </c>
      <c r="Z292" s="304"/>
      <c r="AA292" s="304"/>
      <c r="AB292" s="304"/>
      <c r="AC292" s="304"/>
      <c r="AD292" s="304"/>
      <c r="AE292" s="304"/>
      <c r="AF292" s="304"/>
      <c r="AG292" s="304">
        <f t="shared" si="92"/>
        <v>996100</v>
      </c>
      <c r="AH292" s="304">
        <f t="shared" si="93"/>
        <v>996100</v>
      </c>
      <c r="AI292" s="304">
        <f t="shared" si="94"/>
        <v>0</v>
      </c>
      <c r="AJ292" s="304"/>
      <c r="AK292" s="304"/>
      <c r="AL292" s="304"/>
      <c r="AM292" s="304"/>
      <c r="AN292" s="304">
        <f t="shared" si="95"/>
        <v>996100</v>
      </c>
      <c r="AO292" s="304">
        <v>996100</v>
      </c>
      <c r="AP292" s="304"/>
      <c r="AQ292" s="304"/>
      <c r="AR292" s="304"/>
      <c r="AS292" s="304">
        <f t="shared" si="96"/>
        <v>0</v>
      </c>
      <c r="AT292" s="304"/>
      <c r="AU292" s="304"/>
      <c r="AV292" s="304"/>
      <c r="AW292" s="304"/>
      <c r="AX292" s="304">
        <f t="shared" si="97"/>
        <v>0</v>
      </c>
      <c r="AY292" s="304"/>
      <c r="AZ292" s="304"/>
      <c r="BA292" s="304"/>
      <c r="BB292" s="304"/>
      <c r="BC292" s="304"/>
      <c r="BD292" s="304"/>
      <c r="BE292" s="305"/>
      <c r="BF292" s="238" t="s">
        <v>53</v>
      </c>
      <c r="BG292" s="263" t="s">
        <v>54</v>
      </c>
      <c r="BH292" s="306" t="s">
        <v>184</v>
      </c>
    </row>
    <row r="293" s="270" customFormat="1" ht="15" hidden="1" spans="1:60">
      <c r="A293" s="301">
        <v>286</v>
      </c>
      <c r="B293" s="302" t="s">
        <v>19</v>
      </c>
      <c r="C293" s="302" t="s">
        <v>20</v>
      </c>
      <c r="D293" s="301">
        <v>2019</v>
      </c>
      <c r="E293" s="303" t="s">
        <v>476</v>
      </c>
      <c r="F293" s="301" t="s">
        <v>53</v>
      </c>
      <c r="G293" s="238" t="s">
        <v>53</v>
      </c>
      <c r="H293" s="304">
        <f t="shared" si="86"/>
        <v>972100</v>
      </c>
      <c r="I293" s="304">
        <f t="shared" si="87"/>
        <v>972100</v>
      </c>
      <c r="J293" s="304">
        <f t="shared" si="88"/>
        <v>0</v>
      </c>
      <c r="K293" s="304"/>
      <c r="L293" s="304"/>
      <c r="M293" s="304"/>
      <c r="N293" s="304"/>
      <c r="O293" s="304">
        <f t="shared" si="89"/>
        <v>972100</v>
      </c>
      <c r="P293" s="304">
        <v>972100</v>
      </c>
      <c r="Q293" s="304"/>
      <c r="R293" s="304"/>
      <c r="S293" s="304"/>
      <c r="T293" s="304">
        <f t="shared" si="90"/>
        <v>0</v>
      </c>
      <c r="U293" s="304"/>
      <c r="V293" s="304"/>
      <c r="W293" s="304"/>
      <c r="X293" s="304"/>
      <c r="Y293" s="304">
        <f t="shared" si="91"/>
        <v>0</v>
      </c>
      <c r="Z293" s="304"/>
      <c r="AA293" s="304"/>
      <c r="AB293" s="304"/>
      <c r="AC293" s="304"/>
      <c r="AD293" s="304"/>
      <c r="AE293" s="304"/>
      <c r="AF293" s="304"/>
      <c r="AG293" s="304">
        <f t="shared" si="92"/>
        <v>971505</v>
      </c>
      <c r="AH293" s="304">
        <f t="shared" si="93"/>
        <v>971505</v>
      </c>
      <c r="AI293" s="304">
        <f t="shared" si="94"/>
        <v>0</v>
      </c>
      <c r="AJ293" s="304"/>
      <c r="AK293" s="304"/>
      <c r="AL293" s="304"/>
      <c r="AM293" s="304"/>
      <c r="AN293" s="304">
        <f t="shared" si="95"/>
        <v>971505</v>
      </c>
      <c r="AO293" s="304">
        <v>971505</v>
      </c>
      <c r="AP293" s="304"/>
      <c r="AQ293" s="304"/>
      <c r="AR293" s="304"/>
      <c r="AS293" s="304">
        <f t="shared" si="96"/>
        <v>0</v>
      </c>
      <c r="AT293" s="304"/>
      <c r="AU293" s="304"/>
      <c r="AV293" s="304"/>
      <c r="AW293" s="304"/>
      <c r="AX293" s="304">
        <f t="shared" si="97"/>
        <v>0</v>
      </c>
      <c r="AY293" s="304"/>
      <c r="AZ293" s="304"/>
      <c r="BA293" s="304"/>
      <c r="BB293" s="304"/>
      <c r="BC293" s="304"/>
      <c r="BD293" s="304"/>
      <c r="BE293" s="305"/>
      <c r="BF293" s="238" t="s">
        <v>53</v>
      </c>
      <c r="BG293" s="263" t="s">
        <v>253</v>
      </c>
      <c r="BH293" s="306" t="s">
        <v>98</v>
      </c>
    </row>
    <row r="294" s="270" customFormat="1" ht="15" hidden="1" spans="1:60">
      <c r="A294" s="301">
        <v>287</v>
      </c>
      <c r="B294" s="302" t="s">
        <v>19</v>
      </c>
      <c r="C294" s="302" t="s">
        <v>20</v>
      </c>
      <c r="D294" s="301">
        <v>2019</v>
      </c>
      <c r="E294" s="303" t="s">
        <v>477</v>
      </c>
      <c r="F294" s="301" t="s">
        <v>53</v>
      </c>
      <c r="G294" s="238" t="s">
        <v>53</v>
      </c>
      <c r="H294" s="304">
        <f t="shared" si="86"/>
        <v>955260</v>
      </c>
      <c r="I294" s="304">
        <f t="shared" si="87"/>
        <v>955260</v>
      </c>
      <c r="J294" s="304">
        <f t="shared" si="88"/>
        <v>0</v>
      </c>
      <c r="K294" s="304"/>
      <c r="L294" s="304"/>
      <c r="M294" s="304"/>
      <c r="N294" s="304"/>
      <c r="O294" s="304">
        <f t="shared" si="89"/>
        <v>955260</v>
      </c>
      <c r="P294" s="304">
        <v>955260</v>
      </c>
      <c r="Q294" s="304"/>
      <c r="R294" s="304"/>
      <c r="S294" s="304"/>
      <c r="T294" s="304">
        <f t="shared" si="90"/>
        <v>0</v>
      </c>
      <c r="U294" s="304"/>
      <c r="V294" s="304"/>
      <c r="W294" s="304"/>
      <c r="X294" s="304"/>
      <c r="Y294" s="304">
        <f t="shared" si="91"/>
        <v>0</v>
      </c>
      <c r="Z294" s="304"/>
      <c r="AA294" s="304"/>
      <c r="AB294" s="304"/>
      <c r="AC294" s="304"/>
      <c r="AD294" s="304"/>
      <c r="AE294" s="304"/>
      <c r="AF294" s="304"/>
      <c r="AG294" s="304">
        <f t="shared" si="92"/>
        <v>955260</v>
      </c>
      <c r="AH294" s="304">
        <f t="shared" si="93"/>
        <v>955260</v>
      </c>
      <c r="AI294" s="304">
        <f t="shared" si="94"/>
        <v>0</v>
      </c>
      <c r="AJ294" s="304"/>
      <c r="AK294" s="304"/>
      <c r="AL294" s="304"/>
      <c r="AM294" s="304"/>
      <c r="AN294" s="304">
        <f t="shared" si="95"/>
        <v>955260</v>
      </c>
      <c r="AO294" s="304">
        <v>955260</v>
      </c>
      <c r="AP294" s="304"/>
      <c r="AQ294" s="304"/>
      <c r="AR294" s="304"/>
      <c r="AS294" s="304">
        <f t="shared" si="96"/>
        <v>0</v>
      </c>
      <c r="AT294" s="304"/>
      <c r="AU294" s="304"/>
      <c r="AV294" s="304"/>
      <c r="AW294" s="304"/>
      <c r="AX294" s="304">
        <f t="shared" si="97"/>
        <v>0</v>
      </c>
      <c r="AY294" s="304"/>
      <c r="AZ294" s="304"/>
      <c r="BA294" s="304"/>
      <c r="BB294" s="304"/>
      <c r="BC294" s="304"/>
      <c r="BD294" s="304"/>
      <c r="BE294" s="305"/>
      <c r="BF294" s="238" t="s">
        <v>53</v>
      </c>
      <c r="BG294" s="263" t="s">
        <v>54</v>
      </c>
      <c r="BH294" s="306"/>
    </row>
    <row r="295" s="270" customFormat="1" ht="15" hidden="1" spans="1:60">
      <c r="A295" s="301">
        <v>288</v>
      </c>
      <c r="B295" s="302" t="s">
        <v>19</v>
      </c>
      <c r="C295" s="302" t="s">
        <v>20</v>
      </c>
      <c r="D295" s="301">
        <v>2019</v>
      </c>
      <c r="E295" s="303" t="s">
        <v>478</v>
      </c>
      <c r="F295" s="301" t="s">
        <v>53</v>
      </c>
      <c r="G295" s="238" t="s">
        <v>53</v>
      </c>
      <c r="H295" s="304">
        <f t="shared" si="86"/>
        <v>945000</v>
      </c>
      <c r="I295" s="304">
        <f t="shared" si="87"/>
        <v>945000</v>
      </c>
      <c r="J295" s="304">
        <f t="shared" si="88"/>
        <v>0</v>
      </c>
      <c r="K295" s="304"/>
      <c r="L295" s="304"/>
      <c r="M295" s="304"/>
      <c r="N295" s="304"/>
      <c r="O295" s="304">
        <f t="shared" si="89"/>
        <v>945000</v>
      </c>
      <c r="P295" s="304">
        <v>945000</v>
      </c>
      <c r="Q295" s="304"/>
      <c r="R295" s="304"/>
      <c r="S295" s="304"/>
      <c r="T295" s="304">
        <f t="shared" si="90"/>
        <v>0</v>
      </c>
      <c r="U295" s="304"/>
      <c r="V295" s="304"/>
      <c r="W295" s="304"/>
      <c r="X295" s="304"/>
      <c r="Y295" s="304">
        <f t="shared" si="91"/>
        <v>0</v>
      </c>
      <c r="Z295" s="304"/>
      <c r="AA295" s="304"/>
      <c r="AB295" s="304"/>
      <c r="AC295" s="304"/>
      <c r="AD295" s="304"/>
      <c r="AE295" s="304"/>
      <c r="AF295" s="304"/>
      <c r="AG295" s="304">
        <f t="shared" si="92"/>
        <v>945000</v>
      </c>
      <c r="AH295" s="304">
        <f t="shared" si="93"/>
        <v>945000</v>
      </c>
      <c r="AI295" s="304">
        <f t="shared" si="94"/>
        <v>0</v>
      </c>
      <c r="AJ295" s="304"/>
      <c r="AK295" s="304"/>
      <c r="AL295" s="304"/>
      <c r="AM295" s="304"/>
      <c r="AN295" s="304">
        <f t="shared" si="95"/>
        <v>945000</v>
      </c>
      <c r="AO295" s="304">
        <v>945000</v>
      </c>
      <c r="AP295" s="304"/>
      <c r="AQ295" s="304"/>
      <c r="AR295" s="304"/>
      <c r="AS295" s="304">
        <f t="shared" si="96"/>
        <v>0</v>
      </c>
      <c r="AT295" s="304"/>
      <c r="AU295" s="304"/>
      <c r="AV295" s="304"/>
      <c r="AW295" s="304"/>
      <c r="AX295" s="304">
        <f t="shared" si="97"/>
        <v>0</v>
      </c>
      <c r="AY295" s="304"/>
      <c r="AZ295" s="304"/>
      <c r="BA295" s="304"/>
      <c r="BB295" s="304"/>
      <c r="BC295" s="304"/>
      <c r="BD295" s="304"/>
      <c r="BE295" s="305"/>
      <c r="BF295" s="238" t="s">
        <v>53</v>
      </c>
      <c r="BG295" s="263" t="s">
        <v>54</v>
      </c>
      <c r="BH295" s="306" t="s">
        <v>67</v>
      </c>
    </row>
    <row r="296" s="270" customFormat="1" ht="15" hidden="1" spans="1:60">
      <c r="A296" s="301">
        <v>289</v>
      </c>
      <c r="B296" s="302" t="s">
        <v>19</v>
      </c>
      <c r="C296" s="302" t="s">
        <v>20</v>
      </c>
      <c r="D296" s="301">
        <v>2019</v>
      </c>
      <c r="E296" s="303" t="s">
        <v>479</v>
      </c>
      <c r="F296" s="301" t="s">
        <v>53</v>
      </c>
      <c r="G296" s="238" t="s">
        <v>53</v>
      </c>
      <c r="H296" s="304">
        <f t="shared" si="86"/>
        <v>999600</v>
      </c>
      <c r="I296" s="304">
        <f t="shared" si="87"/>
        <v>999600</v>
      </c>
      <c r="J296" s="304">
        <f t="shared" si="88"/>
        <v>0</v>
      </c>
      <c r="K296" s="304"/>
      <c r="L296" s="304"/>
      <c r="M296" s="304"/>
      <c r="N296" s="304"/>
      <c r="O296" s="304">
        <f t="shared" si="89"/>
        <v>999600</v>
      </c>
      <c r="P296" s="304">
        <v>999600</v>
      </c>
      <c r="Q296" s="304"/>
      <c r="R296" s="304"/>
      <c r="S296" s="304"/>
      <c r="T296" s="304">
        <f t="shared" si="90"/>
        <v>0</v>
      </c>
      <c r="U296" s="304"/>
      <c r="V296" s="304"/>
      <c r="W296" s="304"/>
      <c r="X296" s="304"/>
      <c r="Y296" s="304">
        <f t="shared" si="91"/>
        <v>0</v>
      </c>
      <c r="Z296" s="304"/>
      <c r="AA296" s="304"/>
      <c r="AB296" s="304"/>
      <c r="AC296" s="304"/>
      <c r="AD296" s="304"/>
      <c r="AE296" s="304"/>
      <c r="AF296" s="304"/>
      <c r="AG296" s="304">
        <f t="shared" si="92"/>
        <v>999600</v>
      </c>
      <c r="AH296" s="304">
        <f t="shared" si="93"/>
        <v>999600</v>
      </c>
      <c r="AI296" s="304">
        <f t="shared" si="94"/>
        <v>0</v>
      </c>
      <c r="AJ296" s="304"/>
      <c r="AK296" s="304"/>
      <c r="AL296" s="304"/>
      <c r="AM296" s="304"/>
      <c r="AN296" s="304">
        <f t="shared" si="95"/>
        <v>999600</v>
      </c>
      <c r="AO296" s="304">
        <v>999600</v>
      </c>
      <c r="AP296" s="304"/>
      <c r="AQ296" s="304"/>
      <c r="AR296" s="304"/>
      <c r="AS296" s="304">
        <f t="shared" si="96"/>
        <v>0</v>
      </c>
      <c r="AT296" s="304"/>
      <c r="AU296" s="304"/>
      <c r="AV296" s="304"/>
      <c r="AW296" s="304"/>
      <c r="AX296" s="304">
        <f t="shared" si="97"/>
        <v>0</v>
      </c>
      <c r="AY296" s="304"/>
      <c r="AZ296" s="304"/>
      <c r="BA296" s="304"/>
      <c r="BB296" s="304"/>
      <c r="BC296" s="304"/>
      <c r="BD296" s="304"/>
      <c r="BE296" s="305"/>
      <c r="BF296" s="238" t="s">
        <v>53</v>
      </c>
      <c r="BG296" s="263" t="s">
        <v>54</v>
      </c>
      <c r="BH296" s="306" t="s">
        <v>140</v>
      </c>
    </row>
    <row r="297" s="270" customFormat="1" ht="15" hidden="1" spans="1:60">
      <c r="A297" s="301">
        <v>290</v>
      </c>
      <c r="B297" s="302" t="s">
        <v>19</v>
      </c>
      <c r="C297" s="302" t="s">
        <v>20</v>
      </c>
      <c r="D297" s="301">
        <v>2019</v>
      </c>
      <c r="E297" s="303" t="s">
        <v>480</v>
      </c>
      <c r="F297" s="301" t="s">
        <v>53</v>
      </c>
      <c r="G297" s="238" t="s">
        <v>56</v>
      </c>
      <c r="H297" s="304">
        <f t="shared" si="86"/>
        <v>1000000</v>
      </c>
      <c r="I297" s="304">
        <f t="shared" si="87"/>
        <v>1000000</v>
      </c>
      <c r="J297" s="304">
        <f t="shared" si="88"/>
        <v>0</v>
      </c>
      <c r="K297" s="304"/>
      <c r="L297" s="304"/>
      <c r="M297" s="304"/>
      <c r="N297" s="304"/>
      <c r="O297" s="304">
        <f t="shared" si="89"/>
        <v>1000000</v>
      </c>
      <c r="P297" s="304">
        <v>500000</v>
      </c>
      <c r="Q297" s="304">
        <v>500000</v>
      </c>
      <c r="R297" s="304"/>
      <c r="S297" s="304"/>
      <c r="T297" s="304">
        <f t="shared" si="90"/>
        <v>0</v>
      </c>
      <c r="U297" s="304"/>
      <c r="V297" s="304"/>
      <c r="W297" s="304"/>
      <c r="X297" s="304"/>
      <c r="Y297" s="304">
        <f t="shared" si="91"/>
        <v>0</v>
      </c>
      <c r="Z297" s="304"/>
      <c r="AA297" s="304"/>
      <c r="AB297" s="304"/>
      <c r="AC297" s="304"/>
      <c r="AD297" s="304"/>
      <c r="AE297" s="304"/>
      <c r="AF297" s="304"/>
      <c r="AG297" s="304">
        <f t="shared" si="92"/>
        <v>922275</v>
      </c>
      <c r="AH297" s="304">
        <f t="shared" si="93"/>
        <v>922275</v>
      </c>
      <c r="AI297" s="304">
        <f t="shared" si="94"/>
        <v>0</v>
      </c>
      <c r="AJ297" s="304"/>
      <c r="AK297" s="304"/>
      <c r="AL297" s="304"/>
      <c r="AM297" s="304"/>
      <c r="AN297" s="304">
        <f t="shared" si="95"/>
        <v>922275</v>
      </c>
      <c r="AO297" s="304">
        <v>461137.5</v>
      </c>
      <c r="AP297" s="304">
        <v>461137.5</v>
      </c>
      <c r="AQ297" s="304"/>
      <c r="AR297" s="304"/>
      <c r="AS297" s="304">
        <f t="shared" si="96"/>
        <v>0</v>
      </c>
      <c r="AT297" s="304"/>
      <c r="AU297" s="304"/>
      <c r="AV297" s="304"/>
      <c r="AW297" s="304"/>
      <c r="AX297" s="304">
        <f t="shared" si="97"/>
        <v>0</v>
      </c>
      <c r="AY297" s="304"/>
      <c r="AZ297" s="304"/>
      <c r="BA297" s="304"/>
      <c r="BB297" s="304"/>
      <c r="BC297" s="304"/>
      <c r="BD297" s="304"/>
      <c r="BE297" s="305"/>
      <c r="BF297" s="238" t="s">
        <v>53</v>
      </c>
      <c r="BG297" s="236" t="s">
        <v>481</v>
      </c>
      <c r="BH297" s="306"/>
    </row>
    <row r="298" s="270" customFormat="1" ht="15" hidden="1" spans="1:60">
      <c r="A298" s="301">
        <v>291</v>
      </c>
      <c r="B298" s="302" t="s">
        <v>19</v>
      </c>
      <c r="C298" s="302" t="s">
        <v>20</v>
      </c>
      <c r="D298" s="301">
        <v>2019</v>
      </c>
      <c r="E298" s="303" t="s">
        <v>482</v>
      </c>
      <c r="F298" s="301" t="s">
        <v>53</v>
      </c>
      <c r="G298" s="238" t="s">
        <v>56</v>
      </c>
      <c r="H298" s="304">
        <f t="shared" si="86"/>
        <v>1000000</v>
      </c>
      <c r="I298" s="304">
        <f t="shared" si="87"/>
        <v>1000000</v>
      </c>
      <c r="J298" s="304">
        <f t="shared" si="88"/>
        <v>0</v>
      </c>
      <c r="K298" s="304"/>
      <c r="L298" s="304"/>
      <c r="M298" s="304"/>
      <c r="N298" s="304"/>
      <c r="O298" s="304">
        <f t="shared" si="89"/>
        <v>1000000</v>
      </c>
      <c r="P298" s="304"/>
      <c r="Q298" s="304">
        <v>1000000</v>
      </c>
      <c r="R298" s="304"/>
      <c r="S298" s="304"/>
      <c r="T298" s="304">
        <f t="shared" si="90"/>
        <v>0</v>
      </c>
      <c r="U298" s="304"/>
      <c r="V298" s="304"/>
      <c r="W298" s="304"/>
      <c r="X298" s="304"/>
      <c r="Y298" s="304">
        <f t="shared" si="91"/>
        <v>0</v>
      </c>
      <c r="Z298" s="304"/>
      <c r="AA298" s="304"/>
      <c r="AB298" s="304"/>
      <c r="AC298" s="304"/>
      <c r="AD298" s="304"/>
      <c r="AE298" s="304"/>
      <c r="AF298" s="304"/>
      <c r="AG298" s="304">
        <f t="shared" si="92"/>
        <v>1000000</v>
      </c>
      <c r="AH298" s="304">
        <f t="shared" si="93"/>
        <v>1000000</v>
      </c>
      <c r="AI298" s="304">
        <f t="shared" si="94"/>
        <v>0</v>
      </c>
      <c r="AJ298" s="304"/>
      <c r="AK298" s="304"/>
      <c r="AL298" s="304"/>
      <c r="AM298" s="304"/>
      <c r="AN298" s="304">
        <f t="shared" si="95"/>
        <v>1000000</v>
      </c>
      <c r="AO298" s="304"/>
      <c r="AP298" s="304">
        <v>1000000</v>
      </c>
      <c r="AQ298" s="304"/>
      <c r="AR298" s="304"/>
      <c r="AS298" s="304">
        <f t="shared" si="96"/>
        <v>0</v>
      </c>
      <c r="AT298" s="304"/>
      <c r="AU298" s="304"/>
      <c r="AV298" s="304"/>
      <c r="AW298" s="304"/>
      <c r="AX298" s="304">
        <f t="shared" si="97"/>
        <v>0</v>
      </c>
      <c r="AY298" s="304"/>
      <c r="AZ298" s="304"/>
      <c r="BA298" s="304"/>
      <c r="BB298" s="304"/>
      <c r="BC298" s="304"/>
      <c r="BD298" s="304"/>
      <c r="BE298" s="305"/>
      <c r="BF298" s="238" t="s">
        <v>53</v>
      </c>
      <c r="BG298" s="263" t="s">
        <v>54</v>
      </c>
      <c r="BH298" s="306" t="s">
        <v>67</v>
      </c>
    </row>
    <row r="299" s="77" customFormat="1" ht="15" hidden="1" spans="1:60">
      <c r="A299" s="301">
        <v>292</v>
      </c>
      <c r="B299" s="307" t="s">
        <v>19</v>
      </c>
      <c r="C299" s="307" t="s">
        <v>20</v>
      </c>
      <c r="D299" s="308">
        <v>2019</v>
      </c>
      <c r="E299" s="313" t="s">
        <v>483</v>
      </c>
      <c r="F299" s="308" t="s">
        <v>53</v>
      </c>
      <c r="G299" s="127" t="s">
        <v>56</v>
      </c>
      <c r="H299" s="310">
        <f t="shared" si="86"/>
        <v>600000</v>
      </c>
      <c r="I299" s="310">
        <f t="shared" si="87"/>
        <v>600000</v>
      </c>
      <c r="J299" s="310">
        <f t="shared" si="88"/>
        <v>0</v>
      </c>
      <c r="K299" s="310"/>
      <c r="L299" s="310"/>
      <c r="M299" s="310"/>
      <c r="N299" s="310"/>
      <c r="O299" s="310">
        <f t="shared" si="89"/>
        <v>600000</v>
      </c>
      <c r="P299" s="310"/>
      <c r="Q299" s="310">
        <v>600000</v>
      </c>
      <c r="R299" s="310"/>
      <c r="S299" s="310"/>
      <c r="T299" s="310">
        <f t="shared" si="90"/>
        <v>0</v>
      </c>
      <c r="U299" s="310"/>
      <c r="V299" s="310"/>
      <c r="W299" s="310"/>
      <c r="X299" s="310"/>
      <c r="Y299" s="310">
        <f t="shared" si="91"/>
        <v>0</v>
      </c>
      <c r="Z299" s="310"/>
      <c r="AA299" s="310"/>
      <c r="AB299" s="310"/>
      <c r="AC299" s="310"/>
      <c r="AD299" s="310"/>
      <c r="AE299" s="310"/>
      <c r="AF299" s="310"/>
      <c r="AG299" s="310">
        <f t="shared" si="92"/>
        <v>600000</v>
      </c>
      <c r="AH299" s="310">
        <f t="shared" si="93"/>
        <v>600000</v>
      </c>
      <c r="AI299" s="310">
        <f t="shared" si="94"/>
        <v>0</v>
      </c>
      <c r="AJ299" s="310"/>
      <c r="AK299" s="310"/>
      <c r="AL299" s="310"/>
      <c r="AM299" s="310"/>
      <c r="AN299" s="310">
        <f t="shared" si="95"/>
        <v>600000</v>
      </c>
      <c r="AO299" s="310"/>
      <c r="AP299" s="310">
        <v>600000</v>
      </c>
      <c r="AQ299" s="310"/>
      <c r="AR299" s="310"/>
      <c r="AS299" s="310">
        <f t="shared" si="96"/>
        <v>0</v>
      </c>
      <c r="AT299" s="310"/>
      <c r="AU299" s="310"/>
      <c r="AV299" s="310"/>
      <c r="AW299" s="310"/>
      <c r="AX299" s="310">
        <f t="shared" si="97"/>
        <v>0</v>
      </c>
      <c r="AY299" s="310"/>
      <c r="AZ299" s="310"/>
      <c r="BA299" s="310"/>
      <c r="BB299" s="310"/>
      <c r="BC299" s="310"/>
      <c r="BD299" s="310"/>
      <c r="BE299" s="312"/>
      <c r="BF299" s="127" t="s">
        <v>56</v>
      </c>
      <c r="BG299" s="184" t="s">
        <v>484</v>
      </c>
      <c r="BH299" s="330" t="s">
        <v>485</v>
      </c>
    </row>
    <row r="300" s="270" customFormat="1" ht="15" hidden="1" spans="1:60">
      <c r="A300" s="301">
        <v>293</v>
      </c>
      <c r="B300" s="302" t="s">
        <v>19</v>
      </c>
      <c r="C300" s="302" t="s">
        <v>20</v>
      </c>
      <c r="D300" s="301">
        <v>2019</v>
      </c>
      <c r="E300" s="303" t="s">
        <v>486</v>
      </c>
      <c r="F300" s="301" t="s">
        <v>53</v>
      </c>
      <c r="G300" s="238" t="s">
        <v>56</v>
      </c>
      <c r="H300" s="304">
        <f t="shared" si="86"/>
        <v>3307000</v>
      </c>
      <c r="I300" s="304">
        <f t="shared" si="87"/>
        <v>3307000</v>
      </c>
      <c r="J300" s="304">
        <f t="shared" si="88"/>
        <v>0</v>
      </c>
      <c r="K300" s="304"/>
      <c r="L300" s="304"/>
      <c r="M300" s="304"/>
      <c r="N300" s="304"/>
      <c r="O300" s="304">
        <f t="shared" si="89"/>
        <v>3307000</v>
      </c>
      <c r="P300" s="304"/>
      <c r="Q300" s="304"/>
      <c r="R300" s="304"/>
      <c r="S300" s="304">
        <v>3307000</v>
      </c>
      <c r="T300" s="304">
        <f t="shared" si="90"/>
        <v>0</v>
      </c>
      <c r="U300" s="304"/>
      <c r="V300" s="304"/>
      <c r="W300" s="304"/>
      <c r="X300" s="304"/>
      <c r="Y300" s="304">
        <f t="shared" si="91"/>
        <v>0</v>
      </c>
      <c r="Z300" s="304"/>
      <c r="AA300" s="304"/>
      <c r="AB300" s="304"/>
      <c r="AC300" s="304"/>
      <c r="AD300" s="304"/>
      <c r="AE300" s="304"/>
      <c r="AF300" s="304"/>
      <c r="AG300" s="304">
        <f t="shared" si="92"/>
        <v>3031613</v>
      </c>
      <c r="AH300" s="304">
        <f t="shared" si="93"/>
        <v>3031613</v>
      </c>
      <c r="AI300" s="304">
        <f t="shared" si="94"/>
        <v>0</v>
      </c>
      <c r="AJ300" s="304"/>
      <c r="AK300" s="304"/>
      <c r="AL300" s="304"/>
      <c r="AM300" s="304"/>
      <c r="AN300" s="304">
        <f t="shared" si="95"/>
        <v>3031613</v>
      </c>
      <c r="AO300" s="304"/>
      <c r="AP300" s="304"/>
      <c r="AQ300" s="304"/>
      <c r="AR300" s="304">
        <v>3031613</v>
      </c>
      <c r="AS300" s="304">
        <f t="shared" si="96"/>
        <v>0</v>
      </c>
      <c r="AT300" s="304"/>
      <c r="AU300" s="304"/>
      <c r="AV300" s="304"/>
      <c r="AW300" s="304"/>
      <c r="AX300" s="304">
        <f t="shared" si="97"/>
        <v>0</v>
      </c>
      <c r="AY300" s="304"/>
      <c r="AZ300" s="304"/>
      <c r="BA300" s="304"/>
      <c r="BB300" s="304"/>
      <c r="BC300" s="304"/>
      <c r="BD300" s="304"/>
      <c r="BE300" s="305"/>
      <c r="BF300" s="238" t="s">
        <v>53</v>
      </c>
      <c r="BG300" s="263" t="s">
        <v>487</v>
      </c>
      <c r="BH300" s="306"/>
    </row>
    <row r="301" s="79" customFormat="1" ht="15" hidden="1" spans="1:60">
      <c r="A301" s="301">
        <v>294</v>
      </c>
      <c r="B301" s="334" t="s">
        <v>19</v>
      </c>
      <c r="C301" s="334" t="s">
        <v>20</v>
      </c>
      <c r="D301" s="335">
        <v>2020</v>
      </c>
      <c r="E301" s="340" t="s">
        <v>488</v>
      </c>
      <c r="F301" s="335" t="s">
        <v>53</v>
      </c>
      <c r="G301" s="146" t="s">
        <v>56</v>
      </c>
      <c r="H301" s="337">
        <f t="shared" si="86"/>
        <v>300700</v>
      </c>
      <c r="I301" s="337">
        <f t="shared" si="87"/>
        <v>300700</v>
      </c>
      <c r="J301" s="337">
        <f t="shared" si="88"/>
        <v>0</v>
      </c>
      <c r="K301" s="337"/>
      <c r="L301" s="337"/>
      <c r="M301" s="337"/>
      <c r="N301" s="337"/>
      <c r="O301" s="337">
        <f t="shared" si="89"/>
        <v>0</v>
      </c>
      <c r="P301" s="337"/>
      <c r="Q301" s="337"/>
      <c r="R301" s="337"/>
      <c r="S301" s="337"/>
      <c r="T301" s="337">
        <f t="shared" si="90"/>
        <v>0</v>
      </c>
      <c r="U301" s="337"/>
      <c r="V301" s="337"/>
      <c r="W301" s="337"/>
      <c r="X301" s="337"/>
      <c r="Y301" s="337">
        <f t="shared" si="91"/>
        <v>300700</v>
      </c>
      <c r="Z301" s="337"/>
      <c r="AA301" s="337">
        <v>300700</v>
      </c>
      <c r="AB301" s="337"/>
      <c r="AC301" s="337"/>
      <c r="AD301" s="337"/>
      <c r="AE301" s="337"/>
      <c r="AF301" s="337"/>
      <c r="AG301" s="337">
        <f t="shared" si="92"/>
        <v>300700</v>
      </c>
      <c r="AH301" s="337">
        <f t="shared" si="93"/>
        <v>300700</v>
      </c>
      <c r="AI301" s="337">
        <f t="shared" si="94"/>
        <v>0</v>
      </c>
      <c r="AJ301" s="337"/>
      <c r="AK301" s="337"/>
      <c r="AL301" s="337"/>
      <c r="AM301" s="337"/>
      <c r="AN301" s="337">
        <f t="shared" si="95"/>
        <v>0</v>
      </c>
      <c r="AO301" s="337"/>
      <c r="AP301" s="337"/>
      <c r="AQ301" s="337"/>
      <c r="AR301" s="337"/>
      <c r="AS301" s="337">
        <f t="shared" si="96"/>
        <v>0</v>
      </c>
      <c r="AT301" s="337"/>
      <c r="AU301" s="337"/>
      <c r="AV301" s="337"/>
      <c r="AW301" s="337"/>
      <c r="AX301" s="337">
        <f t="shared" si="97"/>
        <v>300700</v>
      </c>
      <c r="AY301" s="337"/>
      <c r="AZ301" s="337">
        <v>300700</v>
      </c>
      <c r="BA301" s="337"/>
      <c r="BB301" s="337"/>
      <c r="BC301" s="337"/>
      <c r="BD301" s="337"/>
      <c r="BE301" s="338"/>
      <c r="BF301" s="139" t="s">
        <v>56</v>
      </c>
      <c r="BG301" s="339" t="s">
        <v>221</v>
      </c>
      <c r="BH301" s="147" t="s">
        <v>124</v>
      </c>
    </row>
    <row r="302" s="77" customFormat="1" ht="15" hidden="1" spans="1:60">
      <c r="A302" s="301">
        <v>295</v>
      </c>
      <c r="B302" s="307" t="s">
        <v>19</v>
      </c>
      <c r="C302" s="307" t="s">
        <v>20</v>
      </c>
      <c r="D302" s="308">
        <v>2020</v>
      </c>
      <c r="E302" s="313" t="s">
        <v>489</v>
      </c>
      <c r="F302" s="308" t="s">
        <v>53</v>
      </c>
      <c r="G302" s="127" t="s">
        <v>53</v>
      </c>
      <c r="H302" s="310">
        <f t="shared" si="86"/>
        <v>15300000</v>
      </c>
      <c r="I302" s="310">
        <f t="shared" si="87"/>
        <v>15300000</v>
      </c>
      <c r="J302" s="310">
        <f t="shared" si="88"/>
        <v>0</v>
      </c>
      <c r="K302" s="310"/>
      <c r="L302" s="310"/>
      <c r="M302" s="310"/>
      <c r="N302" s="310"/>
      <c r="O302" s="310">
        <f t="shared" si="89"/>
        <v>15300000</v>
      </c>
      <c r="P302" s="310">
        <v>15300000</v>
      </c>
      <c r="Q302" s="310"/>
      <c r="R302" s="310"/>
      <c r="S302" s="310"/>
      <c r="T302" s="310">
        <f t="shared" si="90"/>
        <v>0</v>
      </c>
      <c r="U302" s="310"/>
      <c r="V302" s="310"/>
      <c r="W302" s="310"/>
      <c r="X302" s="310"/>
      <c r="Y302" s="310">
        <f t="shared" si="91"/>
        <v>0</v>
      </c>
      <c r="Z302" s="310"/>
      <c r="AA302" s="310"/>
      <c r="AB302" s="310"/>
      <c r="AC302" s="310"/>
      <c r="AD302" s="310"/>
      <c r="AE302" s="310"/>
      <c r="AF302" s="310"/>
      <c r="AG302" s="310">
        <f t="shared" si="92"/>
        <v>15299259.59</v>
      </c>
      <c r="AH302" s="310">
        <f t="shared" si="93"/>
        <v>15299259.59</v>
      </c>
      <c r="AI302" s="310">
        <f t="shared" si="94"/>
        <v>0</v>
      </c>
      <c r="AJ302" s="310"/>
      <c r="AK302" s="310"/>
      <c r="AL302" s="310"/>
      <c r="AM302" s="310"/>
      <c r="AN302" s="310">
        <f t="shared" si="95"/>
        <v>15299259.59</v>
      </c>
      <c r="AO302" s="310">
        <v>15299259.59</v>
      </c>
      <c r="AP302" s="310"/>
      <c r="AQ302" s="310"/>
      <c r="AR302" s="310"/>
      <c r="AS302" s="310">
        <f t="shared" si="96"/>
        <v>0</v>
      </c>
      <c r="AT302" s="310"/>
      <c r="AU302" s="310"/>
      <c r="AV302" s="310"/>
      <c r="AW302" s="310"/>
      <c r="AX302" s="310">
        <f t="shared" si="97"/>
        <v>0</v>
      </c>
      <c r="AY302" s="310"/>
      <c r="AZ302" s="310"/>
      <c r="BA302" s="310"/>
      <c r="BB302" s="310"/>
      <c r="BC302" s="310"/>
      <c r="BD302" s="310"/>
      <c r="BE302" s="312">
        <v>0</v>
      </c>
      <c r="BF302" s="127" t="s">
        <v>56</v>
      </c>
      <c r="BG302" s="128" t="s">
        <v>239</v>
      </c>
      <c r="BH302" s="133" t="s">
        <v>124</v>
      </c>
    </row>
    <row r="303" s="270" customFormat="1" ht="15" hidden="1" spans="1:60">
      <c r="A303" s="301">
        <v>296</v>
      </c>
      <c r="B303" s="302" t="s">
        <v>19</v>
      </c>
      <c r="C303" s="302" t="s">
        <v>20</v>
      </c>
      <c r="D303" s="301">
        <v>2020</v>
      </c>
      <c r="E303" s="303" t="s">
        <v>490</v>
      </c>
      <c r="F303" s="301" t="s">
        <v>53</v>
      </c>
      <c r="G303" s="238" t="s">
        <v>53</v>
      </c>
      <c r="H303" s="304">
        <f t="shared" si="86"/>
        <v>3800000</v>
      </c>
      <c r="I303" s="304">
        <f t="shared" si="87"/>
        <v>3800000</v>
      </c>
      <c r="J303" s="304">
        <f t="shared" si="88"/>
        <v>0</v>
      </c>
      <c r="K303" s="304"/>
      <c r="L303" s="304"/>
      <c r="M303" s="304"/>
      <c r="N303" s="304"/>
      <c r="O303" s="304">
        <f t="shared" si="89"/>
        <v>3800000</v>
      </c>
      <c r="P303" s="304">
        <v>3800000</v>
      </c>
      <c r="Q303" s="304"/>
      <c r="R303" s="304"/>
      <c r="S303" s="304"/>
      <c r="T303" s="304">
        <f t="shared" si="90"/>
        <v>0</v>
      </c>
      <c r="U303" s="304"/>
      <c r="V303" s="304"/>
      <c r="W303" s="304"/>
      <c r="X303" s="304"/>
      <c r="Y303" s="304">
        <f t="shared" si="91"/>
        <v>0</v>
      </c>
      <c r="Z303" s="304"/>
      <c r="AA303" s="304"/>
      <c r="AB303" s="304"/>
      <c r="AC303" s="304"/>
      <c r="AD303" s="304"/>
      <c r="AE303" s="304"/>
      <c r="AF303" s="304"/>
      <c r="AG303" s="304">
        <f t="shared" si="92"/>
        <v>3790000</v>
      </c>
      <c r="AH303" s="304">
        <f t="shared" si="93"/>
        <v>3790000</v>
      </c>
      <c r="AI303" s="304">
        <f t="shared" si="94"/>
        <v>0</v>
      </c>
      <c r="AJ303" s="304"/>
      <c r="AK303" s="304"/>
      <c r="AL303" s="304"/>
      <c r="AM303" s="304"/>
      <c r="AN303" s="304">
        <f t="shared" si="95"/>
        <v>3790000</v>
      </c>
      <c r="AO303" s="304">
        <v>3790000</v>
      </c>
      <c r="AP303" s="304"/>
      <c r="AQ303" s="304"/>
      <c r="AR303" s="304"/>
      <c r="AS303" s="304">
        <f t="shared" si="96"/>
        <v>0</v>
      </c>
      <c r="AT303" s="304"/>
      <c r="AU303" s="304"/>
      <c r="AV303" s="304"/>
      <c r="AW303" s="304"/>
      <c r="AX303" s="304">
        <f t="shared" si="97"/>
        <v>0</v>
      </c>
      <c r="AY303" s="304"/>
      <c r="AZ303" s="304"/>
      <c r="BA303" s="304"/>
      <c r="BB303" s="304"/>
      <c r="BC303" s="304"/>
      <c r="BD303" s="304"/>
      <c r="BE303" s="305">
        <v>0</v>
      </c>
      <c r="BF303" s="238" t="s">
        <v>53</v>
      </c>
      <c r="BG303" s="263" t="s">
        <v>70</v>
      </c>
      <c r="BH303" s="306"/>
    </row>
    <row r="304" s="77" customFormat="1" ht="15" hidden="1" spans="1:60">
      <c r="A304" s="301">
        <v>297</v>
      </c>
      <c r="B304" s="307" t="s">
        <v>19</v>
      </c>
      <c r="C304" s="307" t="s">
        <v>20</v>
      </c>
      <c r="D304" s="308">
        <v>2020</v>
      </c>
      <c r="E304" s="313" t="s">
        <v>491</v>
      </c>
      <c r="F304" s="308" t="s">
        <v>53</v>
      </c>
      <c r="G304" s="127" t="s">
        <v>56</v>
      </c>
      <c r="H304" s="310">
        <f t="shared" si="86"/>
        <v>40000</v>
      </c>
      <c r="I304" s="310">
        <f t="shared" si="87"/>
        <v>40000</v>
      </c>
      <c r="J304" s="310">
        <f t="shared" si="88"/>
        <v>0</v>
      </c>
      <c r="K304" s="310"/>
      <c r="L304" s="310"/>
      <c r="M304" s="310"/>
      <c r="N304" s="310"/>
      <c r="O304" s="310">
        <f t="shared" si="89"/>
        <v>40000</v>
      </c>
      <c r="P304" s="310"/>
      <c r="Q304" s="310"/>
      <c r="R304" s="310"/>
      <c r="S304" s="310">
        <v>40000</v>
      </c>
      <c r="T304" s="310">
        <f t="shared" si="90"/>
        <v>0</v>
      </c>
      <c r="U304" s="310"/>
      <c r="V304" s="310"/>
      <c r="W304" s="310"/>
      <c r="X304" s="310"/>
      <c r="Y304" s="310">
        <f t="shared" si="91"/>
        <v>0</v>
      </c>
      <c r="Z304" s="310"/>
      <c r="AA304" s="310"/>
      <c r="AB304" s="310"/>
      <c r="AC304" s="310"/>
      <c r="AD304" s="310"/>
      <c r="AE304" s="310"/>
      <c r="AF304" s="310"/>
      <c r="AG304" s="310">
        <f t="shared" si="92"/>
        <v>40000</v>
      </c>
      <c r="AH304" s="310">
        <f t="shared" si="93"/>
        <v>40000</v>
      </c>
      <c r="AI304" s="310">
        <f t="shared" si="94"/>
        <v>0</v>
      </c>
      <c r="AJ304" s="310"/>
      <c r="AK304" s="310"/>
      <c r="AL304" s="310"/>
      <c r="AM304" s="310"/>
      <c r="AN304" s="310">
        <f t="shared" si="95"/>
        <v>40000</v>
      </c>
      <c r="AO304" s="310"/>
      <c r="AP304" s="310"/>
      <c r="AQ304" s="310"/>
      <c r="AR304" s="310">
        <v>40000</v>
      </c>
      <c r="AS304" s="310">
        <f t="shared" si="96"/>
        <v>0</v>
      </c>
      <c r="AT304" s="310"/>
      <c r="AU304" s="310"/>
      <c r="AV304" s="310"/>
      <c r="AW304" s="310"/>
      <c r="AX304" s="310">
        <f t="shared" si="97"/>
        <v>0</v>
      </c>
      <c r="AY304" s="310"/>
      <c r="AZ304" s="310"/>
      <c r="BA304" s="310"/>
      <c r="BB304" s="310"/>
      <c r="BC304" s="310"/>
      <c r="BD304" s="310"/>
      <c r="BE304" s="312"/>
      <c r="BF304" s="127" t="s">
        <v>56</v>
      </c>
      <c r="BG304" s="128" t="s">
        <v>349</v>
      </c>
      <c r="BH304" s="133"/>
    </row>
    <row r="305" s="77" customFormat="1" ht="15" hidden="1" spans="1:61">
      <c r="A305" s="301">
        <v>298</v>
      </c>
      <c r="B305" s="307" t="s">
        <v>19</v>
      </c>
      <c r="C305" s="307" t="s">
        <v>20</v>
      </c>
      <c r="D305" s="308">
        <v>2020</v>
      </c>
      <c r="E305" s="313" t="s">
        <v>492</v>
      </c>
      <c r="F305" s="308" t="s">
        <v>53</v>
      </c>
      <c r="G305" s="127" t="s">
        <v>56</v>
      </c>
      <c r="H305" s="310">
        <f t="shared" si="86"/>
        <v>54933.42</v>
      </c>
      <c r="I305" s="310">
        <f t="shared" si="87"/>
        <v>54933.42</v>
      </c>
      <c r="J305" s="310">
        <f t="shared" si="88"/>
        <v>0</v>
      </c>
      <c r="K305" s="310"/>
      <c r="L305" s="310"/>
      <c r="M305" s="310"/>
      <c r="N305" s="310"/>
      <c r="O305" s="310">
        <f t="shared" si="89"/>
        <v>54933.42</v>
      </c>
      <c r="P305" s="310"/>
      <c r="Q305" s="310"/>
      <c r="R305" s="310"/>
      <c r="S305" s="310">
        <v>54933.42</v>
      </c>
      <c r="T305" s="310">
        <f t="shared" si="90"/>
        <v>0</v>
      </c>
      <c r="U305" s="310"/>
      <c r="V305" s="310"/>
      <c r="W305" s="310"/>
      <c r="X305" s="310"/>
      <c r="Y305" s="310">
        <f t="shared" si="91"/>
        <v>0</v>
      </c>
      <c r="Z305" s="310"/>
      <c r="AA305" s="310"/>
      <c r="AB305" s="310"/>
      <c r="AC305" s="310"/>
      <c r="AD305" s="310"/>
      <c r="AE305" s="310"/>
      <c r="AF305" s="310"/>
      <c r="AG305" s="310">
        <f t="shared" si="92"/>
        <v>54933.42</v>
      </c>
      <c r="AH305" s="310">
        <f t="shared" si="93"/>
        <v>54933.42</v>
      </c>
      <c r="AI305" s="310">
        <f t="shared" si="94"/>
        <v>0</v>
      </c>
      <c r="AJ305" s="310"/>
      <c r="AK305" s="310"/>
      <c r="AL305" s="310"/>
      <c r="AM305" s="310"/>
      <c r="AN305" s="310">
        <f t="shared" si="95"/>
        <v>54933.42</v>
      </c>
      <c r="AO305" s="310"/>
      <c r="AP305" s="310"/>
      <c r="AQ305" s="310"/>
      <c r="AR305" s="310">
        <v>54933.42</v>
      </c>
      <c r="AS305" s="310">
        <f t="shared" si="96"/>
        <v>0</v>
      </c>
      <c r="AT305" s="310"/>
      <c r="AU305" s="310"/>
      <c r="AV305" s="310"/>
      <c r="AW305" s="310"/>
      <c r="AX305" s="310">
        <f t="shared" si="97"/>
        <v>0</v>
      </c>
      <c r="AY305" s="310"/>
      <c r="AZ305" s="310"/>
      <c r="BA305" s="310"/>
      <c r="BB305" s="310"/>
      <c r="BC305" s="310"/>
      <c r="BD305" s="310"/>
      <c r="BE305" s="312"/>
      <c r="BF305" s="127" t="s">
        <v>56</v>
      </c>
      <c r="BG305" s="128" t="s">
        <v>349</v>
      </c>
      <c r="BH305" s="133"/>
    </row>
    <row r="306" s="273" customFormat="1" ht="15" hidden="1" spans="1:61">
      <c r="A306" s="301">
        <v>299</v>
      </c>
      <c r="B306" s="334" t="s">
        <v>19</v>
      </c>
      <c r="C306" s="334" t="s">
        <v>20</v>
      </c>
      <c r="D306" s="335">
        <v>2020</v>
      </c>
      <c r="E306" s="340" t="s">
        <v>493</v>
      </c>
      <c r="F306" s="335" t="s">
        <v>53</v>
      </c>
      <c r="G306" s="146" t="s">
        <v>56</v>
      </c>
      <c r="H306" s="337">
        <f t="shared" si="86"/>
        <v>400000</v>
      </c>
      <c r="I306" s="337">
        <f t="shared" si="87"/>
        <v>400000</v>
      </c>
      <c r="J306" s="337">
        <f t="shared" si="88"/>
        <v>0</v>
      </c>
      <c r="K306" s="337"/>
      <c r="L306" s="337"/>
      <c r="M306" s="337"/>
      <c r="N306" s="337"/>
      <c r="O306" s="337">
        <f t="shared" si="89"/>
        <v>400000</v>
      </c>
      <c r="P306" s="337"/>
      <c r="Q306" s="337"/>
      <c r="R306" s="337">
        <v>400000</v>
      </c>
      <c r="S306" s="337"/>
      <c r="T306" s="337">
        <f t="shared" si="90"/>
        <v>0</v>
      </c>
      <c r="U306" s="337"/>
      <c r="V306" s="337"/>
      <c r="W306" s="337"/>
      <c r="X306" s="337"/>
      <c r="Y306" s="337">
        <f t="shared" si="91"/>
        <v>0</v>
      </c>
      <c r="Z306" s="337"/>
      <c r="AA306" s="337"/>
      <c r="AB306" s="337"/>
      <c r="AC306" s="337"/>
      <c r="AD306" s="337"/>
      <c r="AE306" s="337"/>
      <c r="AF306" s="337"/>
      <c r="AG306" s="337">
        <f t="shared" si="92"/>
        <v>400000</v>
      </c>
      <c r="AH306" s="337">
        <f t="shared" si="93"/>
        <v>400000</v>
      </c>
      <c r="AI306" s="337">
        <f t="shared" si="94"/>
        <v>0</v>
      </c>
      <c r="AJ306" s="337"/>
      <c r="AK306" s="337"/>
      <c r="AL306" s="337"/>
      <c r="AM306" s="337"/>
      <c r="AN306" s="337">
        <f t="shared" si="95"/>
        <v>400000</v>
      </c>
      <c r="AO306" s="337"/>
      <c r="AP306" s="337"/>
      <c r="AQ306" s="337">
        <v>400000</v>
      </c>
      <c r="AR306" s="337"/>
      <c r="AS306" s="337">
        <f t="shared" si="96"/>
        <v>0</v>
      </c>
      <c r="AT306" s="337"/>
      <c r="AU306" s="337"/>
      <c r="AV306" s="337"/>
      <c r="AW306" s="337"/>
      <c r="AX306" s="337">
        <f t="shared" si="97"/>
        <v>0</v>
      </c>
      <c r="AY306" s="337"/>
      <c r="AZ306" s="337"/>
      <c r="BA306" s="337"/>
      <c r="BB306" s="337"/>
      <c r="BC306" s="337"/>
      <c r="BD306" s="337"/>
      <c r="BE306" s="338"/>
      <c r="BF306" s="146" t="s">
        <v>56</v>
      </c>
      <c r="BG306" s="346" t="s">
        <v>380</v>
      </c>
      <c r="BH306" s="369" t="s">
        <v>381</v>
      </c>
    </row>
    <row r="307" s="77" customFormat="1" ht="15" hidden="1" spans="1:61">
      <c r="A307" s="301">
        <v>300</v>
      </c>
      <c r="B307" s="307" t="s">
        <v>19</v>
      </c>
      <c r="C307" s="307" t="s">
        <v>20</v>
      </c>
      <c r="D307" s="308">
        <v>2019</v>
      </c>
      <c r="E307" s="313" t="s">
        <v>494</v>
      </c>
      <c r="F307" s="308" t="s">
        <v>53</v>
      </c>
      <c r="G307" s="127" t="s">
        <v>53</v>
      </c>
      <c r="H307" s="310">
        <f t="shared" si="86"/>
        <v>3800000</v>
      </c>
      <c r="I307" s="310">
        <f t="shared" si="87"/>
        <v>3800000</v>
      </c>
      <c r="J307" s="310">
        <f t="shared" si="88"/>
        <v>0</v>
      </c>
      <c r="K307" s="310"/>
      <c r="L307" s="310"/>
      <c r="M307" s="310"/>
      <c r="N307" s="310"/>
      <c r="O307" s="310">
        <f t="shared" si="89"/>
        <v>3800000</v>
      </c>
      <c r="P307" s="310"/>
      <c r="Q307" s="310">
        <v>3800000</v>
      </c>
      <c r="R307" s="310"/>
      <c r="S307" s="310"/>
      <c r="T307" s="310">
        <f t="shared" si="90"/>
        <v>0</v>
      </c>
      <c r="U307" s="310"/>
      <c r="V307" s="310"/>
      <c r="W307" s="310"/>
      <c r="X307" s="310"/>
      <c r="Y307" s="310">
        <f t="shared" si="91"/>
        <v>0</v>
      </c>
      <c r="Z307" s="310"/>
      <c r="AA307" s="310"/>
      <c r="AB307" s="310"/>
      <c r="AC307" s="310"/>
      <c r="AD307" s="310"/>
      <c r="AE307" s="310"/>
      <c r="AF307" s="310"/>
      <c r="AG307" s="310">
        <f t="shared" si="92"/>
        <v>3800000</v>
      </c>
      <c r="AH307" s="310">
        <f t="shared" si="93"/>
        <v>3800000</v>
      </c>
      <c r="AI307" s="310">
        <f t="shared" si="94"/>
        <v>0</v>
      </c>
      <c r="AJ307" s="310"/>
      <c r="AK307" s="310"/>
      <c r="AL307" s="310"/>
      <c r="AM307" s="310"/>
      <c r="AN307" s="310">
        <f t="shared" si="95"/>
        <v>3800000</v>
      </c>
      <c r="AO307" s="310">
        <v>3800000</v>
      </c>
      <c r="AP307" s="310"/>
      <c r="AQ307" s="310"/>
      <c r="AR307" s="310"/>
      <c r="AS307" s="310">
        <f t="shared" si="96"/>
        <v>0</v>
      </c>
      <c r="AT307" s="310"/>
      <c r="AU307" s="310"/>
      <c r="AV307" s="310"/>
      <c r="AW307" s="310"/>
      <c r="AX307" s="310">
        <f t="shared" si="97"/>
        <v>0</v>
      </c>
      <c r="AY307" s="310"/>
      <c r="AZ307" s="310"/>
      <c r="BA307" s="310"/>
      <c r="BB307" s="310"/>
      <c r="BC307" s="310"/>
      <c r="BD307" s="310"/>
      <c r="BE307" s="312">
        <v>0</v>
      </c>
      <c r="BF307" s="127" t="s">
        <v>56</v>
      </c>
      <c r="BG307" s="184" t="s">
        <v>495</v>
      </c>
      <c r="BH307" s="133" t="s">
        <v>131</v>
      </c>
    </row>
    <row r="308" s="77" customFormat="1" ht="15" hidden="1" spans="1:61">
      <c r="A308" s="301">
        <v>301</v>
      </c>
      <c r="B308" s="307" t="s">
        <v>19</v>
      </c>
      <c r="C308" s="307" t="s">
        <v>20</v>
      </c>
      <c r="D308" s="308">
        <v>2021</v>
      </c>
      <c r="E308" s="313" t="s">
        <v>496</v>
      </c>
      <c r="F308" s="308" t="s">
        <v>53</v>
      </c>
      <c r="G308" s="127" t="s">
        <v>53</v>
      </c>
      <c r="H308" s="310">
        <f t="shared" si="86"/>
        <v>1200000</v>
      </c>
      <c r="I308" s="310">
        <f t="shared" si="87"/>
        <v>1200000</v>
      </c>
      <c r="J308" s="310">
        <f t="shared" si="88"/>
        <v>0</v>
      </c>
      <c r="K308" s="310"/>
      <c r="L308" s="310"/>
      <c r="M308" s="310"/>
      <c r="N308" s="310"/>
      <c r="O308" s="310">
        <f t="shared" si="89"/>
        <v>1200000</v>
      </c>
      <c r="P308" s="310"/>
      <c r="Q308" s="310"/>
      <c r="R308" s="310">
        <v>1200000</v>
      </c>
      <c r="S308" s="310"/>
      <c r="T308" s="310">
        <f t="shared" si="90"/>
        <v>0</v>
      </c>
      <c r="U308" s="310"/>
      <c r="V308" s="310"/>
      <c r="W308" s="310"/>
      <c r="X308" s="310"/>
      <c r="Y308" s="310">
        <f t="shared" si="91"/>
        <v>0</v>
      </c>
      <c r="Z308" s="310"/>
      <c r="AA308" s="310"/>
      <c r="AB308" s="310"/>
      <c r="AC308" s="310"/>
      <c r="AD308" s="310"/>
      <c r="AE308" s="310"/>
      <c r="AF308" s="310"/>
      <c r="AG308" s="310">
        <f t="shared" si="92"/>
        <v>1200000</v>
      </c>
      <c r="AH308" s="310">
        <f t="shared" si="93"/>
        <v>1200000</v>
      </c>
      <c r="AI308" s="310">
        <f t="shared" si="94"/>
        <v>0</v>
      </c>
      <c r="AJ308" s="310"/>
      <c r="AK308" s="310"/>
      <c r="AL308" s="310"/>
      <c r="AM308" s="310"/>
      <c r="AN308" s="310">
        <f t="shared" si="95"/>
        <v>1200000</v>
      </c>
      <c r="AO308" s="310"/>
      <c r="AP308" s="310">
        <v>1200000</v>
      </c>
      <c r="AQ308" s="310"/>
      <c r="AR308" s="310"/>
      <c r="AS308" s="310">
        <f t="shared" si="96"/>
        <v>0</v>
      </c>
      <c r="AT308" s="310"/>
      <c r="AU308" s="310"/>
      <c r="AV308" s="310"/>
      <c r="AW308" s="310"/>
      <c r="AX308" s="310">
        <f t="shared" si="97"/>
        <v>0</v>
      </c>
      <c r="AY308" s="310"/>
      <c r="AZ308" s="310"/>
      <c r="BA308" s="310"/>
      <c r="BB308" s="310"/>
      <c r="BC308" s="310"/>
      <c r="BD308" s="310"/>
      <c r="BE308" s="312">
        <v>0</v>
      </c>
      <c r="BF308" s="127" t="s">
        <v>56</v>
      </c>
      <c r="BG308" s="128" t="s">
        <v>497</v>
      </c>
      <c r="BH308" s="133" t="s">
        <v>456</v>
      </c>
    </row>
    <row r="309" s="270" customFormat="1" ht="15" hidden="1" spans="1:61">
      <c r="A309" s="301">
        <v>302</v>
      </c>
      <c r="B309" s="302" t="s">
        <v>19</v>
      </c>
      <c r="C309" s="302" t="s">
        <v>20</v>
      </c>
      <c r="D309" s="301">
        <v>2021</v>
      </c>
      <c r="E309" s="303" t="s">
        <v>498</v>
      </c>
      <c r="F309" s="301" t="s">
        <v>53</v>
      </c>
      <c r="G309" s="238" t="s">
        <v>53</v>
      </c>
      <c r="H309" s="304">
        <f t="shared" si="86"/>
        <v>624900</v>
      </c>
      <c r="I309" s="304">
        <f t="shared" si="87"/>
        <v>600000</v>
      </c>
      <c r="J309" s="304">
        <f t="shared" si="88"/>
        <v>600000</v>
      </c>
      <c r="K309" s="304"/>
      <c r="L309" s="304"/>
      <c r="M309" s="304">
        <v>500000</v>
      </c>
      <c r="N309" s="304">
        <v>100000</v>
      </c>
      <c r="O309" s="304">
        <f t="shared" si="89"/>
        <v>0</v>
      </c>
      <c r="P309" s="304"/>
      <c r="Q309" s="304"/>
      <c r="R309" s="304"/>
      <c r="S309" s="304"/>
      <c r="T309" s="304">
        <f t="shared" si="90"/>
        <v>0</v>
      </c>
      <c r="U309" s="304"/>
      <c r="V309" s="304"/>
      <c r="W309" s="304"/>
      <c r="X309" s="304"/>
      <c r="Y309" s="304">
        <f t="shared" si="91"/>
        <v>0</v>
      </c>
      <c r="Z309" s="304"/>
      <c r="AA309" s="304"/>
      <c r="AB309" s="304"/>
      <c r="AC309" s="304"/>
      <c r="AD309" s="304"/>
      <c r="AE309" s="304"/>
      <c r="AF309" s="304">
        <v>24900</v>
      </c>
      <c r="AG309" s="304">
        <f t="shared" si="92"/>
        <v>624900</v>
      </c>
      <c r="AH309" s="304">
        <f t="shared" si="93"/>
        <v>600000</v>
      </c>
      <c r="AI309" s="304">
        <f t="shared" si="94"/>
        <v>600000</v>
      </c>
      <c r="AJ309" s="304"/>
      <c r="AK309" s="304"/>
      <c r="AL309" s="304">
        <v>500000</v>
      </c>
      <c r="AM309" s="304">
        <v>100000</v>
      </c>
      <c r="AN309" s="304">
        <f t="shared" si="95"/>
        <v>0</v>
      </c>
      <c r="AO309" s="304"/>
      <c r="AP309" s="304"/>
      <c r="AQ309" s="304"/>
      <c r="AR309" s="304"/>
      <c r="AS309" s="304">
        <f t="shared" si="96"/>
        <v>0</v>
      </c>
      <c r="AT309" s="304"/>
      <c r="AU309" s="304"/>
      <c r="AV309" s="304"/>
      <c r="AW309" s="304"/>
      <c r="AX309" s="304">
        <f t="shared" si="97"/>
        <v>0</v>
      </c>
      <c r="AY309" s="304"/>
      <c r="AZ309" s="304"/>
      <c r="BA309" s="304"/>
      <c r="BB309" s="304"/>
      <c r="BC309" s="304"/>
      <c r="BD309" s="304"/>
      <c r="BE309" s="305">
        <v>24900</v>
      </c>
      <c r="BF309" s="238" t="s">
        <v>53</v>
      </c>
      <c r="BG309" s="263" t="s">
        <v>54</v>
      </c>
      <c r="BH309" s="306" t="s">
        <v>499</v>
      </c>
    </row>
    <row r="310" s="77" customFormat="1" ht="15" hidden="1" spans="1:61">
      <c r="A310" s="301">
        <v>303</v>
      </c>
      <c r="B310" s="307" t="s">
        <v>19</v>
      </c>
      <c r="C310" s="307" t="s">
        <v>20</v>
      </c>
      <c r="D310" s="308">
        <v>2021</v>
      </c>
      <c r="E310" s="313" t="s">
        <v>500</v>
      </c>
      <c r="F310" s="308" t="s">
        <v>53</v>
      </c>
      <c r="G310" s="127" t="s">
        <v>53</v>
      </c>
      <c r="H310" s="310">
        <f t="shared" si="86"/>
        <v>655200</v>
      </c>
      <c r="I310" s="310">
        <f t="shared" si="87"/>
        <v>655200</v>
      </c>
      <c r="J310" s="310">
        <f t="shared" si="88"/>
        <v>0</v>
      </c>
      <c r="K310" s="310"/>
      <c r="L310" s="310"/>
      <c r="M310" s="310"/>
      <c r="N310" s="310"/>
      <c r="O310" s="310">
        <f t="shared" si="89"/>
        <v>0</v>
      </c>
      <c r="P310" s="310"/>
      <c r="Q310" s="310"/>
      <c r="R310" s="310"/>
      <c r="S310" s="310"/>
      <c r="T310" s="310">
        <f t="shared" si="90"/>
        <v>655200</v>
      </c>
      <c r="U310" s="310">
        <v>655200</v>
      </c>
      <c r="V310" s="310"/>
      <c r="W310" s="310"/>
      <c r="X310" s="310"/>
      <c r="Y310" s="310">
        <f t="shared" si="91"/>
        <v>0</v>
      </c>
      <c r="Z310" s="310"/>
      <c r="AA310" s="310"/>
      <c r="AB310" s="310"/>
      <c r="AC310" s="310"/>
      <c r="AD310" s="310"/>
      <c r="AE310" s="310"/>
      <c r="AF310" s="310"/>
      <c r="AG310" s="310">
        <f t="shared" si="92"/>
        <v>654750</v>
      </c>
      <c r="AH310" s="310">
        <f t="shared" si="93"/>
        <v>654750</v>
      </c>
      <c r="AI310" s="310">
        <f t="shared" si="94"/>
        <v>0</v>
      </c>
      <c r="AJ310" s="310"/>
      <c r="AK310" s="310"/>
      <c r="AL310" s="310"/>
      <c r="AM310" s="310"/>
      <c r="AN310" s="310">
        <f t="shared" si="95"/>
        <v>0</v>
      </c>
      <c r="AO310" s="310"/>
      <c r="AP310" s="310"/>
      <c r="AQ310" s="310"/>
      <c r="AR310" s="310"/>
      <c r="AS310" s="310">
        <f t="shared" si="96"/>
        <v>654750</v>
      </c>
      <c r="AT310" s="310">
        <v>654750</v>
      </c>
      <c r="AU310" s="310"/>
      <c r="AV310" s="310"/>
      <c r="AW310" s="310"/>
      <c r="AX310" s="310">
        <f t="shared" si="97"/>
        <v>0</v>
      </c>
      <c r="AY310" s="310"/>
      <c r="AZ310" s="310"/>
      <c r="BA310" s="310"/>
      <c r="BB310" s="310"/>
      <c r="BC310" s="310"/>
      <c r="BD310" s="310"/>
      <c r="BE310" s="312">
        <v>0</v>
      </c>
      <c r="BF310" s="127" t="s">
        <v>56</v>
      </c>
      <c r="BG310" s="128" t="s">
        <v>501</v>
      </c>
      <c r="BH310" s="133" t="s">
        <v>157</v>
      </c>
    </row>
    <row r="311" s="77" customFormat="1" ht="15" hidden="1" spans="1:61">
      <c r="A311" s="301">
        <v>304</v>
      </c>
      <c r="B311" s="307" t="s">
        <v>19</v>
      </c>
      <c r="C311" s="307" t="s">
        <v>20</v>
      </c>
      <c r="D311" s="308">
        <v>2021</v>
      </c>
      <c r="E311" s="313" t="s">
        <v>502</v>
      </c>
      <c r="F311" s="308" t="s">
        <v>53</v>
      </c>
      <c r="G311" s="127" t="s">
        <v>53</v>
      </c>
      <c r="H311" s="310">
        <f t="shared" si="86"/>
        <v>1575000</v>
      </c>
      <c r="I311" s="310">
        <f t="shared" si="87"/>
        <v>1575000</v>
      </c>
      <c r="J311" s="310">
        <f t="shared" si="88"/>
        <v>0</v>
      </c>
      <c r="K311" s="310"/>
      <c r="L311" s="310"/>
      <c r="M311" s="310"/>
      <c r="N311" s="310"/>
      <c r="O311" s="310">
        <f t="shared" si="89"/>
        <v>0</v>
      </c>
      <c r="P311" s="310"/>
      <c r="Q311" s="310"/>
      <c r="R311" s="310"/>
      <c r="S311" s="310"/>
      <c r="T311" s="310">
        <f t="shared" si="90"/>
        <v>1575000</v>
      </c>
      <c r="U311" s="310">
        <v>1575000</v>
      </c>
      <c r="V311" s="310"/>
      <c r="W311" s="310"/>
      <c r="X311" s="310"/>
      <c r="Y311" s="310">
        <f t="shared" si="91"/>
        <v>0</v>
      </c>
      <c r="Z311" s="310"/>
      <c r="AA311" s="310"/>
      <c r="AB311" s="310"/>
      <c r="AC311" s="310"/>
      <c r="AD311" s="310"/>
      <c r="AE311" s="310"/>
      <c r="AF311" s="310"/>
      <c r="AG311" s="310">
        <f t="shared" si="92"/>
        <v>1574000</v>
      </c>
      <c r="AH311" s="310">
        <f t="shared" si="93"/>
        <v>1574000</v>
      </c>
      <c r="AI311" s="310">
        <f t="shared" si="94"/>
        <v>0</v>
      </c>
      <c r="AJ311" s="310"/>
      <c r="AK311" s="310"/>
      <c r="AL311" s="310"/>
      <c r="AM311" s="310"/>
      <c r="AN311" s="310">
        <f t="shared" si="95"/>
        <v>0</v>
      </c>
      <c r="AO311" s="310"/>
      <c r="AP311" s="310"/>
      <c r="AQ311" s="310"/>
      <c r="AR311" s="310"/>
      <c r="AS311" s="310">
        <f t="shared" si="96"/>
        <v>1574000</v>
      </c>
      <c r="AT311" s="310">
        <v>1574000</v>
      </c>
      <c r="AU311" s="310"/>
      <c r="AV311" s="310"/>
      <c r="AW311" s="310"/>
      <c r="AX311" s="310">
        <f t="shared" si="97"/>
        <v>0</v>
      </c>
      <c r="AY311" s="310"/>
      <c r="AZ311" s="310"/>
      <c r="BA311" s="310"/>
      <c r="BB311" s="310"/>
      <c r="BC311" s="310"/>
      <c r="BD311" s="310"/>
      <c r="BE311" s="312">
        <v>0</v>
      </c>
      <c r="BF311" s="127" t="s">
        <v>56</v>
      </c>
      <c r="BG311" s="128" t="s">
        <v>239</v>
      </c>
      <c r="BH311" s="133" t="s">
        <v>157</v>
      </c>
    </row>
    <row r="312" s="77" customFormat="1" ht="15" hidden="1" spans="1:61">
      <c r="A312" s="301">
        <v>305</v>
      </c>
      <c r="B312" s="307" t="s">
        <v>19</v>
      </c>
      <c r="C312" s="307" t="s">
        <v>20</v>
      </c>
      <c r="D312" s="308">
        <v>2021</v>
      </c>
      <c r="E312" s="313" t="s">
        <v>503</v>
      </c>
      <c r="F312" s="308" t="s">
        <v>53</v>
      </c>
      <c r="G312" s="127" t="s">
        <v>53</v>
      </c>
      <c r="H312" s="310">
        <f t="shared" si="86"/>
        <v>2294800</v>
      </c>
      <c r="I312" s="310">
        <f t="shared" si="87"/>
        <v>2294800</v>
      </c>
      <c r="J312" s="310">
        <f t="shared" si="88"/>
        <v>0</v>
      </c>
      <c r="K312" s="310"/>
      <c r="L312" s="310"/>
      <c r="M312" s="310"/>
      <c r="N312" s="310"/>
      <c r="O312" s="310">
        <f t="shared" si="89"/>
        <v>0</v>
      </c>
      <c r="P312" s="310"/>
      <c r="Q312" s="310"/>
      <c r="R312" s="310"/>
      <c r="S312" s="310"/>
      <c r="T312" s="310">
        <f t="shared" si="90"/>
        <v>2294800</v>
      </c>
      <c r="U312" s="310">
        <v>2294800</v>
      </c>
      <c r="V312" s="310"/>
      <c r="W312" s="310"/>
      <c r="X312" s="310"/>
      <c r="Y312" s="310">
        <f t="shared" si="91"/>
        <v>0</v>
      </c>
      <c r="Z312" s="310"/>
      <c r="AA312" s="310"/>
      <c r="AB312" s="310"/>
      <c r="AC312" s="310"/>
      <c r="AD312" s="310"/>
      <c r="AE312" s="310"/>
      <c r="AF312" s="310"/>
      <c r="AG312" s="310">
        <f t="shared" si="92"/>
        <v>2294800</v>
      </c>
      <c r="AH312" s="310">
        <f t="shared" si="93"/>
        <v>2294800</v>
      </c>
      <c r="AI312" s="310">
        <f t="shared" si="94"/>
        <v>0</v>
      </c>
      <c r="AJ312" s="310"/>
      <c r="AK312" s="310"/>
      <c r="AL312" s="310"/>
      <c r="AM312" s="310"/>
      <c r="AN312" s="310">
        <f t="shared" si="95"/>
        <v>0</v>
      </c>
      <c r="AO312" s="310"/>
      <c r="AP312" s="310"/>
      <c r="AQ312" s="310"/>
      <c r="AR312" s="310"/>
      <c r="AS312" s="310">
        <f t="shared" si="96"/>
        <v>2294800</v>
      </c>
      <c r="AT312" s="310">
        <v>2294800</v>
      </c>
      <c r="AU312" s="310"/>
      <c r="AV312" s="310"/>
      <c r="AW312" s="310"/>
      <c r="AX312" s="310">
        <f t="shared" si="97"/>
        <v>0</v>
      </c>
      <c r="AY312" s="310"/>
      <c r="AZ312" s="310"/>
      <c r="BA312" s="310"/>
      <c r="BB312" s="310"/>
      <c r="BC312" s="310"/>
      <c r="BD312" s="310"/>
      <c r="BE312" s="312">
        <v>0</v>
      </c>
      <c r="BF312" s="127" t="s">
        <v>56</v>
      </c>
      <c r="BG312" s="128" t="s">
        <v>501</v>
      </c>
      <c r="BH312" s="133" t="s">
        <v>157</v>
      </c>
      <c r="BI312" s="77" t="s">
        <v>504</v>
      </c>
    </row>
    <row r="313" s="77" customFormat="1" ht="15" hidden="1" spans="1:61">
      <c r="A313" s="301">
        <v>306</v>
      </c>
      <c r="B313" s="307" t="s">
        <v>19</v>
      </c>
      <c r="C313" s="307" t="s">
        <v>20</v>
      </c>
      <c r="D313" s="308">
        <v>2021</v>
      </c>
      <c r="E313" s="313" t="s">
        <v>505</v>
      </c>
      <c r="F313" s="308" t="s">
        <v>56</v>
      </c>
      <c r="G313" s="127" t="s">
        <v>56</v>
      </c>
      <c r="H313" s="310">
        <f t="shared" si="86"/>
        <v>1200000</v>
      </c>
      <c r="I313" s="310">
        <f t="shared" si="87"/>
        <v>1200000</v>
      </c>
      <c r="J313" s="310">
        <f t="shared" si="88"/>
        <v>0</v>
      </c>
      <c r="K313" s="310"/>
      <c r="L313" s="310"/>
      <c r="M313" s="310"/>
      <c r="N313" s="310"/>
      <c r="O313" s="310">
        <f t="shared" si="89"/>
        <v>0</v>
      </c>
      <c r="P313" s="310"/>
      <c r="Q313" s="310"/>
      <c r="R313" s="310"/>
      <c r="S313" s="310"/>
      <c r="T313" s="310">
        <f t="shared" si="90"/>
        <v>1200000</v>
      </c>
      <c r="U313" s="310">
        <v>1200000</v>
      </c>
      <c r="V313" s="310"/>
      <c r="W313" s="310"/>
      <c r="X313" s="310"/>
      <c r="Y313" s="310">
        <f t="shared" si="91"/>
        <v>0</v>
      </c>
      <c r="Z313" s="310"/>
      <c r="AA313" s="310"/>
      <c r="AB313" s="310"/>
      <c r="AC313" s="310"/>
      <c r="AD313" s="310"/>
      <c r="AE313" s="310"/>
      <c r="AF313" s="310"/>
      <c r="AG313" s="310">
        <f t="shared" si="92"/>
        <v>1200000</v>
      </c>
      <c r="AH313" s="310">
        <f t="shared" si="93"/>
        <v>1200000</v>
      </c>
      <c r="AI313" s="310">
        <f t="shared" si="94"/>
        <v>0</v>
      </c>
      <c r="AJ313" s="310"/>
      <c r="AK313" s="310"/>
      <c r="AL313" s="310"/>
      <c r="AM313" s="310"/>
      <c r="AN313" s="310">
        <f t="shared" si="95"/>
        <v>0</v>
      </c>
      <c r="AO313" s="310"/>
      <c r="AP313" s="310"/>
      <c r="AQ313" s="310"/>
      <c r="AR313" s="310"/>
      <c r="AS313" s="310">
        <f t="shared" si="96"/>
        <v>1200000</v>
      </c>
      <c r="AT313" s="310">
        <v>1200000</v>
      </c>
      <c r="AU313" s="310"/>
      <c r="AV313" s="310"/>
      <c r="AW313" s="310"/>
      <c r="AX313" s="310">
        <f t="shared" si="97"/>
        <v>0</v>
      </c>
      <c r="AY313" s="310"/>
      <c r="AZ313" s="310"/>
      <c r="BA313" s="310"/>
      <c r="BB313" s="310"/>
      <c r="BC313" s="310"/>
      <c r="BD313" s="310"/>
      <c r="BE313" s="312"/>
      <c r="BF313" s="127" t="s">
        <v>56</v>
      </c>
      <c r="BG313" s="128" t="s">
        <v>239</v>
      </c>
      <c r="BH313" s="133" t="s">
        <v>67</v>
      </c>
    </row>
    <row r="314" s="77" customFormat="1" ht="15" hidden="1" spans="1:61">
      <c r="A314" s="301">
        <v>307</v>
      </c>
      <c r="B314" s="307" t="s">
        <v>19</v>
      </c>
      <c r="C314" s="307" t="s">
        <v>20</v>
      </c>
      <c r="D314" s="308">
        <v>2021</v>
      </c>
      <c r="E314" s="313" t="s">
        <v>506</v>
      </c>
      <c r="F314" s="308" t="s">
        <v>53</v>
      </c>
      <c r="G314" s="127" t="s">
        <v>56</v>
      </c>
      <c r="H314" s="310">
        <f t="shared" si="86"/>
        <v>600000</v>
      </c>
      <c r="I314" s="310">
        <f t="shared" si="87"/>
        <v>600000</v>
      </c>
      <c r="J314" s="310">
        <f t="shared" si="88"/>
        <v>0</v>
      </c>
      <c r="K314" s="310"/>
      <c r="L314" s="310"/>
      <c r="M314" s="310"/>
      <c r="N314" s="310"/>
      <c r="O314" s="310">
        <f t="shared" si="89"/>
        <v>0</v>
      </c>
      <c r="P314" s="310"/>
      <c r="Q314" s="310"/>
      <c r="R314" s="310"/>
      <c r="S314" s="310"/>
      <c r="T314" s="310">
        <f t="shared" si="90"/>
        <v>600000</v>
      </c>
      <c r="U314" s="310">
        <v>600000</v>
      </c>
      <c r="V314" s="310"/>
      <c r="W314" s="310"/>
      <c r="X314" s="310"/>
      <c r="Y314" s="310">
        <f t="shared" si="91"/>
        <v>0</v>
      </c>
      <c r="Z314" s="310"/>
      <c r="AA314" s="310"/>
      <c r="AB314" s="310"/>
      <c r="AC314" s="310"/>
      <c r="AD314" s="310"/>
      <c r="AE314" s="310"/>
      <c r="AF314" s="310"/>
      <c r="AG314" s="310">
        <f t="shared" si="92"/>
        <v>600000</v>
      </c>
      <c r="AH314" s="310">
        <f t="shared" si="93"/>
        <v>600000</v>
      </c>
      <c r="AI314" s="310">
        <f t="shared" si="94"/>
        <v>0</v>
      </c>
      <c r="AJ314" s="310"/>
      <c r="AK314" s="310"/>
      <c r="AL314" s="310"/>
      <c r="AM314" s="310"/>
      <c r="AN314" s="310">
        <f t="shared" si="95"/>
        <v>0</v>
      </c>
      <c r="AO314" s="310"/>
      <c r="AP314" s="310"/>
      <c r="AQ314" s="310"/>
      <c r="AR314" s="310"/>
      <c r="AS314" s="310">
        <f t="shared" si="96"/>
        <v>600000</v>
      </c>
      <c r="AT314" s="310">
        <v>600000</v>
      </c>
      <c r="AU314" s="310"/>
      <c r="AV314" s="310"/>
      <c r="AW314" s="310"/>
      <c r="AX314" s="310">
        <f t="shared" si="97"/>
        <v>0</v>
      </c>
      <c r="AY314" s="310"/>
      <c r="AZ314" s="310"/>
      <c r="BA314" s="310"/>
      <c r="BB314" s="310"/>
      <c r="BC314" s="310"/>
      <c r="BD314" s="310"/>
      <c r="BE314" s="312"/>
      <c r="BF314" s="127" t="s">
        <v>56</v>
      </c>
      <c r="BG314" s="128" t="s">
        <v>501</v>
      </c>
      <c r="BH314" s="133" t="s">
        <v>157</v>
      </c>
    </row>
    <row r="315" s="273" customFormat="1" ht="15" hidden="1" spans="1:61">
      <c r="A315" s="301">
        <v>308</v>
      </c>
      <c r="B315" s="334" t="s">
        <v>19</v>
      </c>
      <c r="C315" s="334" t="s">
        <v>20</v>
      </c>
      <c r="D315" s="335">
        <v>2022</v>
      </c>
      <c r="E315" s="340" t="s">
        <v>507</v>
      </c>
      <c r="F315" s="335" t="s">
        <v>53</v>
      </c>
      <c r="G315" s="146" t="s">
        <v>53</v>
      </c>
      <c r="H315" s="337">
        <f t="shared" si="86"/>
        <v>4000000</v>
      </c>
      <c r="I315" s="337">
        <f t="shared" si="87"/>
        <v>4000000</v>
      </c>
      <c r="J315" s="337">
        <f t="shared" si="88"/>
        <v>0</v>
      </c>
      <c r="K315" s="337"/>
      <c r="L315" s="337"/>
      <c r="M315" s="337"/>
      <c r="N315" s="337"/>
      <c r="O315" s="337">
        <f t="shared" si="89"/>
        <v>0</v>
      </c>
      <c r="P315" s="337"/>
      <c r="Q315" s="337"/>
      <c r="R315" s="337"/>
      <c r="S315" s="337"/>
      <c r="T315" s="337">
        <f t="shared" si="90"/>
        <v>4000000</v>
      </c>
      <c r="U315" s="337"/>
      <c r="V315" s="337">
        <v>4000000</v>
      </c>
      <c r="W315" s="337"/>
      <c r="X315" s="337"/>
      <c r="Y315" s="337">
        <f t="shared" si="91"/>
        <v>0</v>
      </c>
      <c r="Z315" s="337"/>
      <c r="AA315" s="337"/>
      <c r="AB315" s="337"/>
      <c r="AC315" s="337"/>
      <c r="AD315" s="337"/>
      <c r="AE315" s="337"/>
      <c r="AF315" s="337"/>
      <c r="AG315" s="337">
        <f t="shared" si="92"/>
        <v>4000000</v>
      </c>
      <c r="AH315" s="337">
        <f t="shared" si="93"/>
        <v>4000000</v>
      </c>
      <c r="AI315" s="337">
        <f t="shared" si="94"/>
        <v>0</v>
      </c>
      <c r="AJ315" s="337"/>
      <c r="AK315" s="337"/>
      <c r="AL315" s="337"/>
      <c r="AM315" s="337"/>
      <c r="AN315" s="337">
        <f t="shared" si="95"/>
        <v>0</v>
      </c>
      <c r="AO315" s="337"/>
      <c r="AP315" s="337"/>
      <c r="AQ315" s="337"/>
      <c r="AR315" s="337"/>
      <c r="AS315" s="337">
        <f t="shared" si="96"/>
        <v>4000000</v>
      </c>
      <c r="AT315" s="337"/>
      <c r="AU315" s="337">
        <v>4000000</v>
      </c>
      <c r="AV315" s="337"/>
      <c r="AW315" s="337"/>
      <c r="AX315" s="337">
        <f t="shared" si="97"/>
        <v>0</v>
      </c>
      <c r="AY315" s="337"/>
      <c r="AZ315" s="337"/>
      <c r="BA315" s="337"/>
      <c r="BB315" s="337"/>
      <c r="BC315" s="337"/>
      <c r="BD315" s="337"/>
      <c r="BE315" s="338">
        <v>0</v>
      </c>
      <c r="BF315" s="146" t="s">
        <v>56</v>
      </c>
      <c r="BG315" s="346" t="s">
        <v>380</v>
      </c>
      <c r="BH315" s="347" t="s">
        <v>140</v>
      </c>
    </row>
    <row r="316" s="77" customFormat="1" ht="15" hidden="1" spans="1:61">
      <c r="A316" s="301">
        <v>309</v>
      </c>
      <c r="B316" s="307" t="s">
        <v>19</v>
      </c>
      <c r="C316" s="307" t="s">
        <v>20</v>
      </c>
      <c r="D316" s="308">
        <v>2022</v>
      </c>
      <c r="E316" s="313" t="s">
        <v>508</v>
      </c>
      <c r="F316" s="308" t="s">
        <v>53</v>
      </c>
      <c r="G316" s="127" t="s">
        <v>56</v>
      </c>
      <c r="H316" s="310">
        <f t="shared" si="86"/>
        <v>1050000</v>
      </c>
      <c r="I316" s="310">
        <f t="shared" si="87"/>
        <v>1050000</v>
      </c>
      <c r="J316" s="310">
        <f t="shared" si="88"/>
        <v>0</v>
      </c>
      <c r="K316" s="310"/>
      <c r="L316" s="310"/>
      <c r="M316" s="310"/>
      <c r="N316" s="310"/>
      <c r="O316" s="310">
        <f t="shared" si="89"/>
        <v>0</v>
      </c>
      <c r="P316" s="310"/>
      <c r="Q316" s="310"/>
      <c r="R316" s="310"/>
      <c r="S316" s="310"/>
      <c r="T316" s="310">
        <f t="shared" si="90"/>
        <v>1050000</v>
      </c>
      <c r="U316" s="310"/>
      <c r="V316" s="310"/>
      <c r="W316" s="310"/>
      <c r="X316" s="310">
        <v>1050000</v>
      </c>
      <c r="Y316" s="310">
        <f t="shared" si="91"/>
        <v>0</v>
      </c>
      <c r="Z316" s="310"/>
      <c r="AA316" s="310"/>
      <c r="AB316" s="310"/>
      <c r="AC316" s="310"/>
      <c r="AD316" s="310"/>
      <c r="AE316" s="310"/>
      <c r="AF316" s="310"/>
      <c r="AG316" s="310">
        <f t="shared" si="92"/>
        <v>77475</v>
      </c>
      <c r="AH316" s="310">
        <f t="shared" si="93"/>
        <v>77475</v>
      </c>
      <c r="AI316" s="310">
        <f t="shared" si="94"/>
        <v>0</v>
      </c>
      <c r="AJ316" s="310"/>
      <c r="AK316" s="310"/>
      <c r="AL316" s="310"/>
      <c r="AM316" s="310"/>
      <c r="AN316" s="310">
        <f t="shared" si="95"/>
        <v>0</v>
      </c>
      <c r="AO316" s="310"/>
      <c r="AP316" s="310"/>
      <c r="AQ316" s="310"/>
      <c r="AR316" s="310"/>
      <c r="AS316" s="310">
        <f t="shared" si="96"/>
        <v>77475</v>
      </c>
      <c r="AT316" s="310"/>
      <c r="AU316" s="310"/>
      <c r="AV316" s="310"/>
      <c r="AW316" s="310">
        <v>77475</v>
      </c>
      <c r="AX316" s="310">
        <f t="shared" si="97"/>
        <v>0</v>
      </c>
      <c r="AY316" s="310"/>
      <c r="AZ316" s="310"/>
      <c r="BA316" s="310"/>
      <c r="BB316" s="310"/>
      <c r="BC316" s="310"/>
      <c r="BD316" s="310"/>
      <c r="BE316" s="312">
        <v>0</v>
      </c>
      <c r="BF316" s="127" t="s">
        <v>56</v>
      </c>
      <c r="BG316" s="128" t="s">
        <v>509</v>
      </c>
      <c r="BH316" s="133" t="s">
        <v>131</v>
      </c>
    </row>
    <row r="317" s="271" customFormat="1" ht="15" hidden="1" spans="1:61">
      <c r="A317" s="301">
        <v>310</v>
      </c>
      <c r="B317" s="316" t="s">
        <v>19</v>
      </c>
      <c r="C317" s="316" t="s">
        <v>20</v>
      </c>
      <c r="D317" s="317">
        <v>2023</v>
      </c>
      <c r="E317" s="341" t="s">
        <v>510</v>
      </c>
      <c r="F317" s="317" t="s">
        <v>53</v>
      </c>
      <c r="G317" s="319" t="s">
        <v>56</v>
      </c>
      <c r="H317" s="320">
        <f t="shared" si="86"/>
        <v>5918200</v>
      </c>
      <c r="I317" s="320">
        <f t="shared" si="87"/>
        <v>5918200</v>
      </c>
      <c r="J317" s="320">
        <f t="shared" si="88"/>
        <v>0</v>
      </c>
      <c r="K317" s="320"/>
      <c r="L317" s="320"/>
      <c r="M317" s="320"/>
      <c r="N317" s="320"/>
      <c r="O317" s="320">
        <f t="shared" si="89"/>
        <v>0</v>
      </c>
      <c r="P317" s="320"/>
      <c r="Q317" s="320"/>
      <c r="R317" s="320"/>
      <c r="S317" s="320"/>
      <c r="T317" s="320">
        <f t="shared" si="90"/>
        <v>5918200</v>
      </c>
      <c r="U317" s="320">
        <v>5918200</v>
      </c>
      <c r="V317" s="320"/>
      <c r="W317" s="320"/>
      <c r="X317" s="320"/>
      <c r="Y317" s="320">
        <f t="shared" si="91"/>
        <v>0</v>
      </c>
      <c r="Z317" s="320"/>
      <c r="AA317" s="320"/>
      <c r="AB317" s="320"/>
      <c r="AC317" s="320"/>
      <c r="AD317" s="320"/>
      <c r="AE317" s="320"/>
      <c r="AF317" s="320"/>
      <c r="AG317" s="320">
        <f t="shared" si="92"/>
        <v>5918200</v>
      </c>
      <c r="AH317" s="320">
        <f t="shared" si="93"/>
        <v>5918200</v>
      </c>
      <c r="AI317" s="320">
        <f t="shared" si="94"/>
        <v>0</v>
      </c>
      <c r="AJ317" s="320"/>
      <c r="AK317" s="320"/>
      <c r="AL317" s="320"/>
      <c r="AM317" s="320"/>
      <c r="AN317" s="320">
        <f t="shared" si="95"/>
        <v>0</v>
      </c>
      <c r="AO317" s="320"/>
      <c r="AP317" s="320"/>
      <c r="AQ317" s="320"/>
      <c r="AR317" s="320"/>
      <c r="AS317" s="320">
        <f t="shared" si="96"/>
        <v>5918200</v>
      </c>
      <c r="AT317" s="320">
        <v>5918200</v>
      </c>
      <c r="AU317" s="320"/>
      <c r="AV317" s="320"/>
      <c r="AW317" s="320"/>
      <c r="AX317" s="320">
        <f t="shared" si="97"/>
        <v>0</v>
      </c>
      <c r="AY317" s="320"/>
      <c r="AZ317" s="320"/>
      <c r="BA317" s="320"/>
      <c r="BB317" s="320"/>
      <c r="BC317" s="320"/>
      <c r="BD317" s="320"/>
      <c r="BE317" s="321"/>
      <c r="BF317" s="319" t="s">
        <v>56</v>
      </c>
      <c r="BG317" s="322"/>
      <c r="BH317" s="323"/>
    </row>
    <row r="318" s="271" customFormat="1" ht="15" hidden="1" spans="1:61">
      <c r="A318" s="301">
        <v>311</v>
      </c>
      <c r="B318" s="316" t="s">
        <v>19</v>
      </c>
      <c r="C318" s="316" t="s">
        <v>20</v>
      </c>
      <c r="D318" s="317">
        <v>2016</v>
      </c>
      <c r="E318" s="341" t="s">
        <v>511</v>
      </c>
      <c r="F318" s="317" t="s">
        <v>53</v>
      </c>
      <c r="G318" s="319" t="s">
        <v>56</v>
      </c>
      <c r="H318" s="320">
        <f t="shared" si="86"/>
        <v>1000000</v>
      </c>
      <c r="I318" s="320">
        <f t="shared" si="87"/>
        <v>1000000</v>
      </c>
      <c r="J318" s="320">
        <f t="shared" si="88"/>
        <v>0</v>
      </c>
      <c r="K318" s="320"/>
      <c r="L318" s="320"/>
      <c r="M318" s="320"/>
      <c r="N318" s="320"/>
      <c r="O318" s="320">
        <f t="shared" si="89"/>
        <v>0</v>
      </c>
      <c r="P318" s="320"/>
      <c r="Q318" s="320"/>
      <c r="R318" s="320"/>
      <c r="S318" s="320"/>
      <c r="T318" s="320">
        <f t="shared" si="90"/>
        <v>0</v>
      </c>
      <c r="U318" s="320"/>
      <c r="V318" s="320"/>
      <c r="W318" s="320"/>
      <c r="X318" s="320"/>
      <c r="Y318" s="320">
        <f t="shared" si="91"/>
        <v>0</v>
      </c>
      <c r="Z318" s="320"/>
      <c r="AA318" s="320"/>
      <c r="AB318" s="320"/>
      <c r="AC318" s="320"/>
      <c r="AD318" s="320"/>
      <c r="AE318" s="320">
        <v>1000000</v>
      </c>
      <c r="AF318" s="320"/>
      <c r="AG318" s="320">
        <f t="shared" si="92"/>
        <v>1000000</v>
      </c>
      <c r="AH318" s="320">
        <f t="shared" si="93"/>
        <v>1000000</v>
      </c>
      <c r="AI318" s="320">
        <f t="shared" si="94"/>
        <v>0</v>
      </c>
      <c r="AJ318" s="320"/>
      <c r="AK318" s="320"/>
      <c r="AL318" s="320"/>
      <c r="AM318" s="320"/>
      <c r="AN318" s="320">
        <f t="shared" si="95"/>
        <v>0</v>
      </c>
      <c r="AO318" s="320"/>
      <c r="AP318" s="320"/>
      <c r="AQ318" s="320"/>
      <c r="AR318" s="320"/>
      <c r="AS318" s="320">
        <f t="shared" si="96"/>
        <v>0</v>
      </c>
      <c r="AT318" s="320"/>
      <c r="AU318" s="320"/>
      <c r="AV318" s="320"/>
      <c r="AW318" s="320"/>
      <c r="AX318" s="320">
        <f t="shared" si="97"/>
        <v>0</v>
      </c>
      <c r="AY318" s="320"/>
      <c r="AZ318" s="320"/>
      <c r="BA318" s="320"/>
      <c r="BB318" s="320"/>
      <c r="BC318" s="320"/>
      <c r="BD318" s="320">
        <v>1000000</v>
      </c>
      <c r="BE318" s="321"/>
      <c r="BF318" s="319" t="s">
        <v>56</v>
      </c>
      <c r="BG318" s="322"/>
      <c r="BH318" s="323"/>
    </row>
    <row r="319" s="78" customFormat="1" ht="15" hidden="1" spans="1:61">
      <c r="A319" s="301">
        <v>312</v>
      </c>
      <c r="B319" s="307" t="s">
        <v>19</v>
      </c>
      <c r="C319" s="307" t="s">
        <v>20</v>
      </c>
      <c r="D319" s="308">
        <v>2016</v>
      </c>
      <c r="E319" s="313" t="s">
        <v>512</v>
      </c>
      <c r="F319" s="308" t="s">
        <v>53</v>
      </c>
      <c r="G319" s="127" t="s">
        <v>53</v>
      </c>
      <c r="H319" s="310">
        <f t="shared" si="86"/>
        <v>1400000</v>
      </c>
      <c r="I319" s="310">
        <f t="shared" si="87"/>
        <v>1400000</v>
      </c>
      <c r="J319" s="310">
        <f t="shared" si="88"/>
        <v>0</v>
      </c>
      <c r="K319" s="310"/>
      <c r="L319" s="310"/>
      <c r="M319" s="310"/>
      <c r="N319" s="310"/>
      <c r="O319" s="310">
        <f t="shared" si="89"/>
        <v>1400000</v>
      </c>
      <c r="P319" s="310">
        <v>1400000</v>
      </c>
      <c r="Q319" s="310"/>
      <c r="R319" s="310"/>
      <c r="S319" s="310"/>
      <c r="T319" s="310">
        <f t="shared" si="90"/>
        <v>0</v>
      </c>
      <c r="U319" s="310"/>
      <c r="V319" s="310"/>
      <c r="W319" s="310"/>
      <c r="X319" s="310"/>
      <c r="Y319" s="310">
        <f t="shared" si="91"/>
        <v>0</v>
      </c>
      <c r="Z319" s="310"/>
      <c r="AA319" s="310"/>
      <c r="AB319" s="310"/>
      <c r="AC319" s="310"/>
      <c r="AD319" s="310"/>
      <c r="AE319" s="310"/>
      <c r="AF319" s="310"/>
      <c r="AG319" s="310">
        <f t="shared" si="92"/>
        <v>1400000</v>
      </c>
      <c r="AH319" s="310">
        <f t="shared" si="93"/>
        <v>1400000</v>
      </c>
      <c r="AI319" s="310">
        <f t="shared" si="94"/>
        <v>0</v>
      </c>
      <c r="AJ319" s="310"/>
      <c r="AK319" s="310"/>
      <c r="AL319" s="310"/>
      <c r="AM319" s="310"/>
      <c r="AN319" s="310">
        <f t="shared" si="95"/>
        <v>1400000</v>
      </c>
      <c r="AO319" s="310">
        <v>1400000</v>
      </c>
      <c r="AP319" s="310"/>
      <c r="AQ319" s="310"/>
      <c r="AR319" s="310"/>
      <c r="AS319" s="310">
        <f t="shared" si="96"/>
        <v>0</v>
      </c>
      <c r="AT319" s="310"/>
      <c r="AU319" s="310"/>
      <c r="AV319" s="310"/>
      <c r="AW319" s="310"/>
      <c r="AX319" s="310">
        <f t="shared" si="97"/>
        <v>0</v>
      </c>
      <c r="AY319" s="310"/>
      <c r="AZ319" s="310"/>
      <c r="BA319" s="310"/>
      <c r="BB319" s="310"/>
      <c r="BC319" s="310"/>
      <c r="BD319" s="310"/>
      <c r="BE319" s="312">
        <v>0</v>
      </c>
      <c r="BF319" s="134" t="s">
        <v>56</v>
      </c>
      <c r="BG319" s="315" t="s">
        <v>513</v>
      </c>
      <c r="BH319" s="137" t="s">
        <v>514</v>
      </c>
    </row>
    <row r="320" s="271" customFormat="1" ht="15" hidden="1" spans="1:61">
      <c r="A320" s="301">
        <v>313</v>
      </c>
      <c r="B320" s="316" t="s">
        <v>19</v>
      </c>
      <c r="C320" s="316" t="s">
        <v>20</v>
      </c>
      <c r="D320" s="317">
        <v>2016</v>
      </c>
      <c r="E320" s="341" t="s">
        <v>515</v>
      </c>
      <c r="F320" s="317" t="s">
        <v>53</v>
      </c>
      <c r="G320" s="319" t="s">
        <v>56</v>
      </c>
      <c r="H320" s="320">
        <f t="shared" si="86"/>
        <v>1038600</v>
      </c>
      <c r="I320" s="320">
        <f t="shared" si="87"/>
        <v>1038600</v>
      </c>
      <c r="J320" s="320">
        <f t="shared" si="88"/>
        <v>0</v>
      </c>
      <c r="K320" s="320"/>
      <c r="L320" s="320"/>
      <c r="M320" s="320"/>
      <c r="N320" s="320"/>
      <c r="O320" s="320">
        <f t="shared" si="89"/>
        <v>1038600</v>
      </c>
      <c r="P320" s="320">
        <v>1038600</v>
      </c>
      <c r="Q320" s="320"/>
      <c r="R320" s="320"/>
      <c r="S320" s="320"/>
      <c r="T320" s="320">
        <f t="shared" si="90"/>
        <v>0</v>
      </c>
      <c r="U320" s="320"/>
      <c r="V320" s="320"/>
      <c r="W320" s="320"/>
      <c r="X320" s="320"/>
      <c r="Y320" s="320">
        <f t="shared" si="91"/>
        <v>0</v>
      </c>
      <c r="Z320" s="320"/>
      <c r="AA320" s="320"/>
      <c r="AB320" s="320"/>
      <c r="AC320" s="320"/>
      <c r="AD320" s="320"/>
      <c r="AE320" s="320"/>
      <c r="AF320" s="320"/>
      <c r="AG320" s="320">
        <f t="shared" si="92"/>
        <v>1038600</v>
      </c>
      <c r="AH320" s="320">
        <f t="shared" si="93"/>
        <v>1038600</v>
      </c>
      <c r="AI320" s="320">
        <f t="shared" si="94"/>
        <v>0</v>
      </c>
      <c r="AJ320" s="320"/>
      <c r="AK320" s="320"/>
      <c r="AL320" s="320"/>
      <c r="AM320" s="320"/>
      <c r="AN320" s="320">
        <f t="shared" si="95"/>
        <v>1038600</v>
      </c>
      <c r="AO320" s="320">
        <v>1038600</v>
      </c>
      <c r="AP320" s="320"/>
      <c r="AQ320" s="320"/>
      <c r="AR320" s="320"/>
      <c r="AS320" s="320">
        <f t="shared" si="96"/>
        <v>0</v>
      </c>
      <c r="AT320" s="320"/>
      <c r="AU320" s="320"/>
      <c r="AV320" s="320"/>
      <c r="AW320" s="320"/>
      <c r="AX320" s="320">
        <f t="shared" si="97"/>
        <v>0</v>
      </c>
      <c r="AY320" s="320"/>
      <c r="AZ320" s="320"/>
      <c r="BA320" s="320"/>
      <c r="BB320" s="320"/>
      <c r="BC320" s="320"/>
      <c r="BD320" s="320"/>
      <c r="BE320" s="321"/>
      <c r="BF320" s="319" t="s">
        <v>56</v>
      </c>
      <c r="BG320" s="322"/>
      <c r="BH320" s="323"/>
    </row>
    <row r="321" s="78" customFormat="1" ht="15" hidden="1" spans="1:60">
      <c r="A321" s="301">
        <v>314</v>
      </c>
      <c r="B321" s="307" t="s">
        <v>19</v>
      </c>
      <c r="C321" s="307" t="s">
        <v>20</v>
      </c>
      <c r="D321" s="308">
        <v>2016</v>
      </c>
      <c r="E321" s="313" t="s">
        <v>516</v>
      </c>
      <c r="F321" s="308" t="s">
        <v>53</v>
      </c>
      <c r="G321" s="127" t="s">
        <v>56</v>
      </c>
      <c r="H321" s="310">
        <f t="shared" si="86"/>
        <v>500000</v>
      </c>
      <c r="I321" s="310">
        <f t="shared" si="87"/>
        <v>450000</v>
      </c>
      <c r="J321" s="310">
        <f t="shared" si="88"/>
        <v>0</v>
      </c>
      <c r="K321" s="310"/>
      <c r="L321" s="310"/>
      <c r="M321" s="310"/>
      <c r="N321" s="310"/>
      <c r="O321" s="310">
        <f t="shared" si="89"/>
        <v>450000</v>
      </c>
      <c r="P321" s="310"/>
      <c r="Q321" s="310">
        <v>450000</v>
      </c>
      <c r="R321" s="310"/>
      <c r="S321" s="310"/>
      <c r="T321" s="310">
        <f t="shared" si="90"/>
        <v>0</v>
      </c>
      <c r="U321" s="310"/>
      <c r="V321" s="310"/>
      <c r="W321" s="310"/>
      <c r="X321" s="310"/>
      <c r="Y321" s="310">
        <f t="shared" si="91"/>
        <v>0</v>
      </c>
      <c r="Z321" s="310"/>
      <c r="AA321" s="310"/>
      <c r="AB321" s="310"/>
      <c r="AC321" s="310"/>
      <c r="AD321" s="310"/>
      <c r="AE321" s="310"/>
      <c r="AF321" s="310">
        <v>50000</v>
      </c>
      <c r="AG321" s="310">
        <f t="shared" si="92"/>
        <v>500000</v>
      </c>
      <c r="AH321" s="310">
        <f t="shared" si="93"/>
        <v>450000</v>
      </c>
      <c r="AI321" s="310">
        <f t="shared" si="94"/>
        <v>0</v>
      </c>
      <c r="AJ321" s="310"/>
      <c r="AK321" s="310"/>
      <c r="AL321" s="310"/>
      <c r="AM321" s="310"/>
      <c r="AN321" s="310">
        <f t="shared" si="95"/>
        <v>450000</v>
      </c>
      <c r="AO321" s="310"/>
      <c r="AP321" s="310">
        <v>450000</v>
      </c>
      <c r="AQ321" s="310"/>
      <c r="AR321" s="310"/>
      <c r="AS321" s="310">
        <f t="shared" si="96"/>
        <v>0</v>
      </c>
      <c r="AT321" s="310"/>
      <c r="AU321" s="310"/>
      <c r="AV321" s="310"/>
      <c r="AW321" s="310"/>
      <c r="AX321" s="310">
        <f t="shared" si="97"/>
        <v>0</v>
      </c>
      <c r="AY321" s="310"/>
      <c r="AZ321" s="310"/>
      <c r="BA321" s="310"/>
      <c r="BB321" s="310"/>
      <c r="BC321" s="310"/>
      <c r="BD321" s="310"/>
      <c r="BE321" s="312">
        <v>50000</v>
      </c>
      <c r="BF321" s="134" t="s">
        <v>53</v>
      </c>
      <c r="BG321" s="315" t="s">
        <v>54</v>
      </c>
      <c r="BH321" s="137" t="s">
        <v>173</v>
      </c>
    </row>
    <row r="322" s="79" customFormat="1" ht="15" hidden="1" spans="1:60">
      <c r="A322" s="301">
        <v>315</v>
      </c>
      <c r="B322" s="334" t="s">
        <v>19</v>
      </c>
      <c r="C322" s="334" t="s">
        <v>20</v>
      </c>
      <c r="D322" s="335">
        <v>2018</v>
      </c>
      <c r="E322" s="340" t="s">
        <v>517</v>
      </c>
      <c r="F322" s="335" t="s">
        <v>53</v>
      </c>
      <c r="G322" s="146" t="s">
        <v>53</v>
      </c>
      <c r="H322" s="337">
        <f t="shared" si="86"/>
        <v>1603200</v>
      </c>
      <c r="I322" s="337">
        <f t="shared" si="87"/>
        <v>1603200</v>
      </c>
      <c r="J322" s="337">
        <f t="shared" si="88"/>
        <v>0</v>
      </c>
      <c r="K322" s="337"/>
      <c r="L322" s="337"/>
      <c r="M322" s="337"/>
      <c r="N322" s="337"/>
      <c r="O322" s="337">
        <f t="shared" si="89"/>
        <v>1603200</v>
      </c>
      <c r="P322" s="337"/>
      <c r="Q322" s="337"/>
      <c r="R322" s="337"/>
      <c r="S322" s="337">
        <v>1603200</v>
      </c>
      <c r="T322" s="337">
        <f t="shared" si="90"/>
        <v>0</v>
      </c>
      <c r="U322" s="337"/>
      <c r="V322" s="337"/>
      <c r="W322" s="337"/>
      <c r="X322" s="337"/>
      <c r="Y322" s="337">
        <f t="shared" si="91"/>
        <v>0</v>
      </c>
      <c r="Z322" s="337"/>
      <c r="AA322" s="337"/>
      <c r="AB322" s="337"/>
      <c r="AC322" s="337"/>
      <c r="AD322" s="337"/>
      <c r="AE322" s="337"/>
      <c r="AF322" s="337"/>
      <c r="AG322" s="337">
        <f t="shared" si="92"/>
        <v>1603200</v>
      </c>
      <c r="AH322" s="337">
        <f t="shared" si="93"/>
        <v>1603200</v>
      </c>
      <c r="AI322" s="337">
        <f t="shared" si="94"/>
        <v>0</v>
      </c>
      <c r="AJ322" s="337"/>
      <c r="AK322" s="337"/>
      <c r="AL322" s="337"/>
      <c r="AM322" s="337"/>
      <c r="AN322" s="337">
        <f t="shared" si="95"/>
        <v>1603200</v>
      </c>
      <c r="AO322" s="337"/>
      <c r="AP322" s="337"/>
      <c r="AQ322" s="337"/>
      <c r="AR322" s="337">
        <v>1603200</v>
      </c>
      <c r="AS322" s="337">
        <f t="shared" si="96"/>
        <v>0</v>
      </c>
      <c r="AT322" s="337"/>
      <c r="AU322" s="337"/>
      <c r="AV322" s="337"/>
      <c r="AW322" s="337"/>
      <c r="AX322" s="337">
        <f t="shared" si="97"/>
        <v>0</v>
      </c>
      <c r="AY322" s="337"/>
      <c r="AZ322" s="337"/>
      <c r="BA322" s="337"/>
      <c r="BB322" s="337"/>
      <c r="BC322" s="337"/>
      <c r="BD322" s="337"/>
      <c r="BE322" s="338">
        <v>0</v>
      </c>
      <c r="BF322" s="139" t="s">
        <v>56</v>
      </c>
      <c r="BG322" s="339" t="s">
        <v>221</v>
      </c>
      <c r="BH322" s="147" t="s">
        <v>288</v>
      </c>
    </row>
    <row r="323" s="270" customFormat="1" ht="15" hidden="1" spans="1:60">
      <c r="A323" s="301">
        <v>316</v>
      </c>
      <c r="B323" s="302" t="s">
        <v>19</v>
      </c>
      <c r="C323" s="302" t="s">
        <v>20</v>
      </c>
      <c r="D323" s="301">
        <v>2018</v>
      </c>
      <c r="E323" s="303" t="s">
        <v>518</v>
      </c>
      <c r="F323" s="301" t="s">
        <v>53</v>
      </c>
      <c r="G323" s="238" t="s">
        <v>56</v>
      </c>
      <c r="H323" s="304">
        <f t="shared" ref="H323:H372" si="98">I323+AF323</f>
        <v>3163400</v>
      </c>
      <c r="I323" s="304">
        <f t="shared" ref="I323:I372" si="99">O323+J323+T323+Y323+AE323+AC323+AD323</f>
        <v>3163400</v>
      </c>
      <c r="J323" s="304">
        <f t="shared" ref="J323:J372" si="100">N323+M323+L323+K323</f>
        <v>0</v>
      </c>
      <c r="K323" s="304"/>
      <c r="L323" s="304"/>
      <c r="M323" s="304"/>
      <c r="N323" s="304"/>
      <c r="O323" s="304">
        <f t="shared" ref="O323:O372" si="101">S323+R323+Q323+P323</f>
        <v>3163400</v>
      </c>
      <c r="P323" s="304">
        <v>3163400</v>
      </c>
      <c r="Q323" s="304"/>
      <c r="R323" s="304"/>
      <c r="S323" s="304"/>
      <c r="T323" s="304">
        <f t="shared" ref="T323:T372" si="102">U323+V323+W323+X323</f>
        <v>0</v>
      </c>
      <c r="U323" s="304"/>
      <c r="V323" s="304"/>
      <c r="W323" s="304"/>
      <c r="X323" s="304"/>
      <c r="Y323" s="304">
        <f t="shared" ref="Y323:Y372" si="103">AA323+Z323+AB323</f>
        <v>0</v>
      </c>
      <c r="Z323" s="304"/>
      <c r="AA323" s="304"/>
      <c r="AB323" s="304"/>
      <c r="AC323" s="304"/>
      <c r="AD323" s="304"/>
      <c r="AE323" s="304"/>
      <c r="AF323" s="304"/>
      <c r="AG323" s="304">
        <f t="shared" ref="AG323:AG372" si="104">AH323+BE323</f>
        <v>3035502.11575236</v>
      </c>
      <c r="AH323" s="304">
        <f t="shared" ref="AH323:AH372" si="105">AN323+AI323+AS323+AX323+BD323+BB323+BC323</f>
        <v>3035502.11575236</v>
      </c>
      <c r="AI323" s="304">
        <f t="shared" ref="AI323:AI372" si="106">AM323+AL323+AK323+AJ323</f>
        <v>0</v>
      </c>
      <c r="AJ323" s="304"/>
      <c r="AK323" s="304"/>
      <c r="AL323" s="304"/>
      <c r="AM323" s="304"/>
      <c r="AN323" s="304">
        <f t="shared" ref="AN323:AN372" si="107">AR323+AQ323+AP323+AO323</f>
        <v>3035502.11575236</v>
      </c>
      <c r="AO323" s="304">
        <v>3035502.11575236</v>
      </c>
      <c r="AP323" s="304"/>
      <c r="AQ323" s="304"/>
      <c r="AR323" s="304"/>
      <c r="AS323" s="304">
        <f t="shared" ref="AS323:AS372" si="108">AW323+AV323+AU323+AT323</f>
        <v>0</v>
      </c>
      <c r="AT323" s="304"/>
      <c r="AU323" s="304"/>
      <c r="AV323" s="304"/>
      <c r="AW323" s="304"/>
      <c r="AX323" s="304">
        <f t="shared" ref="AX323:AX372" si="109">AZ323+AY323+BA323</f>
        <v>0</v>
      </c>
      <c r="AY323" s="304"/>
      <c r="AZ323" s="304"/>
      <c r="BA323" s="304"/>
      <c r="BB323" s="304"/>
      <c r="BC323" s="304"/>
      <c r="BD323" s="304"/>
      <c r="BE323" s="305"/>
      <c r="BF323" s="238" t="s">
        <v>53</v>
      </c>
      <c r="BG323" s="263" t="s">
        <v>70</v>
      </c>
      <c r="BH323" s="306"/>
    </row>
    <row r="324" s="270" customFormat="1" ht="15" hidden="1" spans="1:60">
      <c r="A324" s="301">
        <v>317</v>
      </c>
      <c r="B324" s="302" t="s">
        <v>19</v>
      </c>
      <c r="C324" s="302" t="s">
        <v>20</v>
      </c>
      <c r="D324" s="301">
        <v>2018</v>
      </c>
      <c r="E324" s="303" t="s">
        <v>519</v>
      </c>
      <c r="F324" s="301" t="s">
        <v>53</v>
      </c>
      <c r="G324" s="238" t="s">
        <v>56</v>
      </c>
      <c r="H324" s="304">
        <f t="shared" si="98"/>
        <v>2482800</v>
      </c>
      <c r="I324" s="304">
        <f t="shared" si="99"/>
        <v>2482800</v>
      </c>
      <c r="J324" s="304">
        <f t="shared" si="100"/>
        <v>0</v>
      </c>
      <c r="K324" s="304"/>
      <c r="L324" s="304"/>
      <c r="M324" s="304"/>
      <c r="N324" s="304"/>
      <c r="O324" s="304">
        <f t="shared" si="101"/>
        <v>2482800</v>
      </c>
      <c r="P324" s="304">
        <v>2482800</v>
      </c>
      <c r="Q324" s="304"/>
      <c r="R324" s="304"/>
      <c r="S324" s="304"/>
      <c r="T324" s="304">
        <f t="shared" si="102"/>
        <v>0</v>
      </c>
      <c r="U324" s="304"/>
      <c r="V324" s="304"/>
      <c r="W324" s="304"/>
      <c r="X324" s="304"/>
      <c r="Y324" s="304">
        <f t="shared" si="103"/>
        <v>0</v>
      </c>
      <c r="Z324" s="304"/>
      <c r="AA324" s="304"/>
      <c r="AB324" s="304"/>
      <c r="AC324" s="304"/>
      <c r="AD324" s="304"/>
      <c r="AE324" s="304"/>
      <c r="AF324" s="304"/>
      <c r="AG324" s="304">
        <f t="shared" si="104"/>
        <v>2325597.09</v>
      </c>
      <c r="AH324" s="304">
        <f t="shared" si="105"/>
        <v>2325597.09</v>
      </c>
      <c r="AI324" s="304">
        <f t="shared" si="106"/>
        <v>0</v>
      </c>
      <c r="AJ324" s="304"/>
      <c r="AK324" s="304"/>
      <c r="AL324" s="304"/>
      <c r="AM324" s="304"/>
      <c r="AN324" s="304">
        <f t="shared" si="107"/>
        <v>2325597.09</v>
      </c>
      <c r="AO324" s="304">
        <v>2325597.09</v>
      </c>
      <c r="AP324" s="304"/>
      <c r="AQ324" s="304"/>
      <c r="AR324" s="304"/>
      <c r="AS324" s="304">
        <f t="shared" si="108"/>
        <v>0</v>
      </c>
      <c r="AT324" s="304"/>
      <c r="AU324" s="304"/>
      <c r="AV324" s="304"/>
      <c r="AW324" s="304"/>
      <c r="AX324" s="304">
        <f t="shared" si="109"/>
        <v>0</v>
      </c>
      <c r="AY324" s="304"/>
      <c r="AZ324" s="304"/>
      <c r="BA324" s="304"/>
      <c r="BB324" s="304"/>
      <c r="BC324" s="304"/>
      <c r="BD324" s="304"/>
      <c r="BE324" s="305"/>
      <c r="BF324" s="238" t="s">
        <v>53</v>
      </c>
      <c r="BG324" s="263" t="s">
        <v>520</v>
      </c>
      <c r="BH324" s="306"/>
    </row>
    <row r="325" s="270" customFormat="1" ht="15" hidden="1" spans="1:60">
      <c r="A325" s="301">
        <v>318</v>
      </c>
      <c r="B325" s="302" t="s">
        <v>19</v>
      </c>
      <c r="C325" s="302" t="s">
        <v>20</v>
      </c>
      <c r="D325" s="301">
        <v>2018</v>
      </c>
      <c r="E325" s="303" t="s">
        <v>521</v>
      </c>
      <c r="F325" s="301" t="s">
        <v>53</v>
      </c>
      <c r="G325" s="238" t="s">
        <v>56</v>
      </c>
      <c r="H325" s="304">
        <f t="shared" si="98"/>
        <v>3858700</v>
      </c>
      <c r="I325" s="304">
        <f t="shared" si="99"/>
        <v>3858700</v>
      </c>
      <c r="J325" s="304">
        <f t="shared" si="100"/>
        <v>0</v>
      </c>
      <c r="K325" s="304"/>
      <c r="L325" s="304"/>
      <c r="M325" s="304"/>
      <c r="N325" s="304"/>
      <c r="O325" s="304">
        <f t="shared" si="101"/>
        <v>3858700</v>
      </c>
      <c r="P325" s="304">
        <v>3858700</v>
      </c>
      <c r="Q325" s="304"/>
      <c r="R325" s="304"/>
      <c r="S325" s="304"/>
      <c r="T325" s="304">
        <f t="shared" si="102"/>
        <v>0</v>
      </c>
      <c r="U325" s="304"/>
      <c r="V325" s="304"/>
      <c r="W325" s="304"/>
      <c r="X325" s="304"/>
      <c r="Y325" s="304">
        <f t="shared" si="103"/>
        <v>0</v>
      </c>
      <c r="Z325" s="304"/>
      <c r="AA325" s="304"/>
      <c r="AB325" s="304"/>
      <c r="AC325" s="304"/>
      <c r="AD325" s="304"/>
      <c r="AE325" s="304"/>
      <c r="AF325" s="304"/>
      <c r="AG325" s="304">
        <f t="shared" si="104"/>
        <v>3694749.94456901</v>
      </c>
      <c r="AH325" s="304">
        <f t="shared" si="105"/>
        <v>3694749.94456901</v>
      </c>
      <c r="AI325" s="304">
        <f t="shared" si="106"/>
        <v>0</v>
      </c>
      <c r="AJ325" s="304"/>
      <c r="AK325" s="304"/>
      <c r="AL325" s="304"/>
      <c r="AM325" s="304"/>
      <c r="AN325" s="304">
        <f t="shared" si="107"/>
        <v>3694749.94456901</v>
      </c>
      <c r="AO325" s="304">
        <v>3694749.94456901</v>
      </c>
      <c r="AP325" s="304"/>
      <c r="AQ325" s="304"/>
      <c r="AR325" s="304"/>
      <c r="AS325" s="304">
        <f t="shared" si="108"/>
        <v>0</v>
      </c>
      <c r="AT325" s="304"/>
      <c r="AU325" s="304"/>
      <c r="AV325" s="304"/>
      <c r="AW325" s="304"/>
      <c r="AX325" s="304">
        <f t="shared" si="109"/>
        <v>0</v>
      </c>
      <c r="AY325" s="304"/>
      <c r="AZ325" s="304"/>
      <c r="BA325" s="304"/>
      <c r="BB325" s="304"/>
      <c r="BC325" s="304"/>
      <c r="BD325" s="304"/>
      <c r="BE325" s="305"/>
      <c r="BF325" s="238" t="s">
        <v>53</v>
      </c>
      <c r="BG325" s="263" t="s">
        <v>70</v>
      </c>
      <c r="BH325" s="306"/>
    </row>
    <row r="326" s="270" customFormat="1" ht="15" hidden="1" spans="1:60">
      <c r="A326" s="301">
        <v>319</v>
      </c>
      <c r="B326" s="302" t="s">
        <v>19</v>
      </c>
      <c r="C326" s="302" t="s">
        <v>20</v>
      </c>
      <c r="D326" s="301">
        <v>2018</v>
      </c>
      <c r="E326" s="303" t="s">
        <v>522</v>
      </c>
      <c r="F326" s="301" t="s">
        <v>53</v>
      </c>
      <c r="G326" s="238" t="s">
        <v>56</v>
      </c>
      <c r="H326" s="304">
        <f t="shared" si="98"/>
        <v>2189600</v>
      </c>
      <c r="I326" s="304">
        <f t="shared" si="99"/>
        <v>2189600</v>
      </c>
      <c r="J326" s="304">
        <f t="shared" si="100"/>
        <v>0</v>
      </c>
      <c r="K326" s="304"/>
      <c r="L326" s="304"/>
      <c r="M326" s="304"/>
      <c r="N326" s="304"/>
      <c r="O326" s="304">
        <f t="shared" si="101"/>
        <v>2189600</v>
      </c>
      <c r="P326" s="304">
        <v>2189600</v>
      </c>
      <c r="Q326" s="304"/>
      <c r="R326" s="304"/>
      <c r="S326" s="304"/>
      <c r="T326" s="304">
        <f t="shared" si="102"/>
        <v>0</v>
      </c>
      <c r="U326" s="304"/>
      <c r="V326" s="304"/>
      <c r="W326" s="304"/>
      <c r="X326" s="304"/>
      <c r="Y326" s="304">
        <f t="shared" si="103"/>
        <v>0</v>
      </c>
      <c r="Z326" s="304"/>
      <c r="AA326" s="304"/>
      <c r="AB326" s="304"/>
      <c r="AC326" s="304"/>
      <c r="AD326" s="304"/>
      <c r="AE326" s="304"/>
      <c r="AF326" s="304"/>
      <c r="AG326" s="304">
        <f t="shared" si="104"/>
        <v>2109525.19597765</v>
      </c>
      <c r="AH326" s="304">
        <f t="shared" si="105"/>
        <v>2109525.19597765</v>
      </c>
      <c r="AI326" s="304">
        <f t="shared" si="106"/>
        <v>0</v>
      </c>
      <c r="AJ326" s="304"/>
      <c r="AK326" s="304"/>
      <c r="AL326" s="304"/>
      <c r="AM326" s="304"/>
      <c r="AN326" s="304">
        <f t="shared" si="107"/>
        <v>2109525.19597765</v>
      </c>
      <c r="AO326" s="304">
        <v>2109525.19597765</v>
      </c>
      <c r="AP326" s="304"/>
      <c r="AQ326" s="304"/>
      <c r="AR326" s="304"/>
      <c r="AS326" s="304">
        <f t="shared" si="108"/>
        <v>0</v>
      </c>
      <c r="AT326" s="304"/>
      <c r="AU326" s="304"/>
      <c r="AV326" s="304"/>
      <c r="AW326" s="304"/>
      <c r="AX326" s="304">
        <f t="shared" si="109"/>
        <v>0</v>
      </c>
      <c r="AY326" s="304"/>
      <c r="AZ326" s="304"/>
      <c r="BA326" s="304"/>
      <c r="BB326" s="304"/>
      <c r="BC326" s="304"/>
      <c r="BD326" s="304"/>
      <c r="BE326" s="305"/>
      <c r="BF326" s="238" t="s">
        <v>53</v>
      </c>
      <c r="BG326" s="263" t="s">
        <v>70</v>
      </c>
      <c r="BH326" s="306"/>
    </row>
    <row r="327" s="270" customFormat="1" ht="15" hidden="1" spans="1:60">
      <c r="A327" s="301">
        <v>320</v>
      </c>
      <c r="B327" s="302" t="s">
        <v>19</v>
      </c>
      <c r="C327" s="302" t="s">
        <v>20</v>
      </c>
      <c r="D327" s="301">
        <v>2018</v>
      </c>
      <c r="E327" s="303" t="s">
        <v>523</v>
      </c>
      <c r="F327" s="301" t="s">
        <v>53</v>
      </c>
      <c r="G327" s="238" t="s">
        <v>56</v>
      </c>
      <c r="H327" s="304">
        <f t="shared" si="98"/>
        <v>2750500</v>
      </c>
      <c r="I327" s="304">
        <f t="shared" si="99"/>
        <v>2750500</v>
      </c>
      <c r="J327" s="304">
        <f t="shared" si="100"/>
        <v>0</v>
      </c>
      <c r="K327" s="304"/>
      <c r="L327" s="304"/>
      <c r="M327" s="304"/>
      <c r="N327" s="304"/>
      <c r="O327" s="304">
        <f t="shared" si="101"/>
        <v>2750500</v>
      </c>
      <c r="P327" s="304">
        <v>2750500</v>
      </c>
      <c r="Q327" s="304"/>
      <c r="R327" s="304"/>
      <c r="S327" s="304"/>
      <c r="T327" s="304">
        <f t="shared" si="102"/>
        <v>0</v>
      </c>
      <c r="U327" s="304"/>
      <c r="V327" s="304"/>
      <c r="W327" s="304"/>
      <c r="X327" s="304"/>
      <c r="Y327" s="304">
        <f t="shared" si="103"/>
        <v>0</v>
      </c>
      <c r="Z327" s="304"/>
      <c r="AA327" s="304"/>
      <c r="AB327" s="304"/>
      <c r="AC327" s="304"/>
      <c r="AD327" s="304"/>
      <c r="AE327" s="304"/>
      <c r="AF327" s="304"/>
      <c r="AG327" s="304">
        <f t="shared" si="104"/>
        <v>2624807.15278975</v>
      </c>
      <c r="AH327" s="304">
        <f t="shared" si="105"/>
        <v>2624807.15278975</v>
      </c>
      <c r="AI327" s="304">
        <f t="shared" si="106"/>
        <v>0</v>
      </c>
      <c r="AJ327" s="304"/>
      <c r="AK327" s="304"/>
      <c r="AL327" s="304"/>
      <c r="AM327" s="304"/>
      <c r="AN327" s="304">
        <f t="shared" si="107"/>
        <v>2624807.15278975</v>
      </c>
      <c r="AO327" s="304">
        <v>2624807.15278975</v>
      </c>
      <c r="AP327" s="304"/>
      <c r="AQ327" s="304"/>
      <c r="AR327" s="304"/>
      <c r="AS327" s="304">
        <f t="shared" si="108"/>
        <v>0</v>
      </c>
      <c r="AT327" s="304"/>
      <c r="AU327" s="304"/>
      <c r="AV327" s="304"/>
      <c r="AW327" s="304"/>
      <c r="AX327" s="304">
        <f t="shared" si="109"/>
        <v>0</v>
      </c>
      <c r="AY327" s="304"/>
      <c r="AZ327" s="304"/>
      <c r="BA327" s="304"/>
      <c r="BB327" s="304"/>
      <c r="BC327" s="304"/>
      <c r="BD327" s="304"/>
      <c r="BE327" s="305"/>
      <c r="BF327" s="238" t="s">
        <v>53</v>
      </c>
      <c r="BG327" s="263" t="s">
        <v>70</v>
      </c>
      <c r="BH327" s="306"/>
    </row>
    <row r="328" s="270" customFormat="1" hidden="1" customHeight="1" spans="1:60">
      <c r="A328" s="301">
        <v>321</v>
      </c>
      <c r="B328" s="302" t="s">
        <v>19</v>
      </c>
      <c r="C328" s="302" t="s">
        <v>20</v>
      </c>
      <c r="D328" s="301">
        <v>2018</v>
      </c>
      <c r="E328" s="303" t="s">
        <v>524</v>
      </c>
      <c r="F328" s="301" t="s">
        <v>53</v>
      </c>
      <c r="G328" s="238" t="s">
        <v>56</v>
      </c>
      <c r="H328" s="304">
        <f t="shared" si="98"/>
        <v>3182200</v>
      </c>
      <c r="I328" s="304">
        <f t="shared" si="99"/>
        <v>3182200</v>
      </c>
      <c r="J328" s="304">
        <f t="shared" si="100"/>
        <v>0</v>
      </c>
      <c r="K328" s="304"/>
      <c r="L328" s="304"/>
      <c r="M328" s="304"/>
      <c r="N328" s="304"/>
      <c r="O328" s="304">
        <f t="shared" si="101"/>
        <v>3182200</v>
      </c>
      <c r="P328" s="304">
        <v>3182200</v>
      </c>
      <c r="Q328" s="304"/>
      <c r="R328" s="304"/>
      <c r="S328" s="304"/>
      <c r="T328" s="304">
        <f t="shared" si="102"/>
        <v>0</v>
      </c>
      <c r="U328" s="304"/>
      <c r="V328" s="304"/>
      <c r="W328" s="304"/>
      <c r="X328" s="304"/>
      <c r="Y328" s="304">
        <f t="shared" si="103"/>
        <v>0</v>
      </c>
      <c r="Z328" s="304"/>
      <c r="AA328" s="304"/>
      <c r="AB328" s="304"/>
      <c r="AC328" s="304"/>
      <c r="AD328" s="304"/>
      <c r="AE328" s="304"/>
      <c r="AF328" s="304"/>
      <c r="AG328" s="304">
        <f t="shared" si="104"/>
        <v>3027458.23</v>
      </c>
      <c r="AH328" s="304">
        <f t="shared" si="105"/>
        <v>3027458.23</v>
      </c>
      <c r="AI328" s="304">
        <f t="shared" si="106"/>
        <v>0</v>
      </c>
      <c r="AJ328" s="304"/>
      <c r="AK328" s="304"/>
      <c r="AL328" s="304"/>
      <c r="AM328" s="304"/>
      <c r="AN328" s="304">
        <f t="shared" si="107"/>
        <v>3027458.23</v>
      </c>
      <c r="AO328" s="304">
        <v>3027458.23</v>
      </c>
      <c r="AP328" s="304"/>
      <c r="AQ328" s="304"/>
      <c r="AR328" s="304"/>
      <c r="AS328" s="304">
        <f t="shared" si="108"/>
        <v>0</v>
      </c>
      <c r="AT328" s="304"/>
      <c r="AU328" s="304"/>
      <c r="AV328" s="304"/>
      <c r="AW328" s="304"/>
      <c r="AX328" s="304">
        <f t="shared" si="109"/>
        <v>0</v>
      </c>
      <c r="AY328" s="304"/>
      <c r="AZ328" s="304"/>
      <c r="BA328" s="304"/>
      <c r="BB328" s="304"/>
      <c r="BC328" s="304"/>
      <c r="BD328" s="304"/>
      <c r="BE328" s="305"/>
      <c r="BF328" s="238" t="s">
        <v>53</v>
      </c>
      <c r="BG328" s="263" t="s">
        <v>520</v>
      </c>
      <c r="BH328" s="306" t="s">
        <v>67</v>
      </c>
    </row>
    <row r="329" s="270" customFormat="1" ht="15" hidden="1" spans="1:60">
      <c r="A329" s="301">
        <v>322</v>
      </c>
      <c r="B329" s="302" t="s">
        <v>19</v>
      </c>
      <c r="C329" s="302" t="s">
        <v>20</v>
      </c>
      <c r="D329" s="301">
        <v>2018</v>
      </c>
      <c r="E329" s="303" t="s">
        <v>525</v>
      </c>
      <c r="F329" s="301" t="s">
        <v>53</v>
      </c>
      <c r="G329" s="238" t="s">
        <v>56</v>
      </c>
      <c r="H329" s="304">
        <f t="shared" si="98"/>
        <v>553800</v>
      </c>
      <c r="I329" s="304">
        <f t="shared" si="99"/>
        <v>553800</v>
      </c>
      <c r="J329" s="304">
        <f t="shared" si="100"/>
        <v>0</v>
      </c>
      <c r="K329" s="304"/>
      <c r="L329" s="304"/>
      <c r="M329" s="304"/>
      <c r="N329" s="304"/>
      <c r="O329" s="304">
        <f t="shared" si="101"/>
        <v>553800</v>
      </c>
      <c r="P329" s="304">
        <v>553800</v>
      </c>
      <c r="Q329" s="304"/>
      <c r="R329" s="304"/>
      <c r="S329" s="304"/>
      <c r="T329" s="304">
        <f t="shared" si="102"/>
        <v>0</v>
      </c>
      <c r="U329" s="304"/>
      <c r="V329" s="304"/>
      <c r="W329" s="304"/>
      <c r="X329" s="304"/>
      <c r="Y329" s="304">
        <f t="shared" si="103"/>
        <v>0</v>
      </c>
      <c r="Z329" s="304"/>
      <c r="AA329" s="304"/>
      <c r="AB329" s="304"/>
      <c r="AC329" s="304"/>
      <c r="AD329" s="304"/>
      <c r="AE329" s="304"/>
      <c r="AF329" s="304"/>
      <c r="AG329" s="304">
        <f t="shared" si="104"/>
        <v>553800</v>
      </c>
      <c r="AH329" s="304">
        <f t="shared" si="105"/>
        <v>553800</v>
      </c>
      <c r="AI329" s="304">
        <f t="shared" si="106"/>
        <v>0</v>
      </c>
      <c r="AJ329" s="304"/>
      <c r="AK329" s="304"/>
      <c r="AL329" s="304"/>
      <c r="AM329" s="304"/>
      <c r="AN329" s="304">
        <f t="shared" si="107"/>
        <v>553800</v>
      </c>
      <c r="AO329" s="304">
        <v>553800</v>
      </c>
      <c r="AP329" s="304"/>
      <c r="AQ329" s="304"/>
      <c r="AR329" s="304"/>
      <c r="AS329" s="304">
        <f t="shared" si="108"/>
        <v>0</v>
      </c>
      <c r="AT329" s="304"/>
      <c r="AU329" s="304"/>
      <c r="AV329" s="304"/>
      <c r="AW329" s="304"/>
      <c r="AX329" s="304">
        <f t="shared" si="109"/>
        <v>0</v>
      </c>
      <c r="AY329" s="304"/>
      <c r="AZ329" s="304"/>
      <c r="BA329" s="304"/>
      <c r="BB329" s="304"/>
      <c r="BC329" s="304"/>
      <c r="BD329" s="304"/>
      <c r="BE329" s="305"/>
      <c r="BF329" s="238" t="s">
        <v>53</v>
      </c>
      <c r="BG329" s="263" t="s">
        <v>54</v>
      </c>
      <c r="BH329" s="306" t="s">
        <v>67</v>
      </c>
    </row>
    <row r="330" s="270" customFormat="1" ht="15" hidden="1" spans="1:60">
      <c r="A330" s="301">
        <v>323</v>
      </c>
      <c r="B330" s="302" t="s">
        <v>19</v>
      </c>
      <c r="C330" s="302" t="s">
        <v>20</v>
      </c>
      <c r="D330" s="301">
        <v>2018</v>
      </c>
      <c r="E330" s="303" t="s">
        <v>526</v>
      </c>
      <c r="F330" s="301" t="s">
        <v>53</v>
      </c>
      <c r="G330" s="238" t="s">
        <v>56</v>
      </c>
      <c r="H330" s="304">
        <f t="shared" si="98"/>
        <v>2663900</v>
      </c>
      <c r="I330" s="304">
        <f t="shared" si="99"/>
        <v>2663900</v>
      </c>
      <c r="J330" s="304">
        <f t="shared" si="100"/>
        <v>0</v>
      </c>
      <c r="K330" s="304"/>
      <c r="L330" s="304"/>
      <c r="M330" s="304"/>
      <c r="N330" s="304"/>
      <c r="O330" s="304">
        <f t="shared" si="101"/>
        <v>2663900</v>
      </c>
      <c r="P330" s="304">
        <v>2663900</v>
      </c>
      <c r="Q330" s="304"/>
      <c r="R330" s="304"/>
      <c r="S330" s="304"/>
      <c r="T330" s="304">
        <f t="shared" si="102"/>
        <v>0</v>
      </c>
      <c r="U330" s="304"/>
      <c r="V330" s="304"/>
      <c r="W330" s="304"/>
      <c r="X330" s="304"/>
      <c r="Y330" s="304">
        <f t="shared" si="103"/>
        <v>0</v>
      </c>
      <c r="Z330" s="304"/>
      <c r="AA330" s="304"/>
      <c r="AB330" s="304"/>
      <c r="AC330" s="304"/>
      <c r="AD330" s="304"/>
      <c r="AE330" s="304"/>
      <c r="AF330" s="304"/>
      <c r="AG330" s="304">
        <f t="shared" si="104"/>
        <v>2523380.78</v>
      </c>
      <c r="AH330" s="304">
        <f t="shared" si="105"/>
        <v>2523380.78</v>
      </c>
      <c r="AI330" s="304">
        <f t="shared" si="106"/>
        <v>0</v>
      </c>
      <c r="AJ330" s="304"/>
      <c r="AK330" s="304"/>
      <c r="AL330" s="304"/>
      <c r="AM330" s="304"/>
      <c r="AN330" s="304">
        <f t="shared" si="107"/>
        <v>2523380.78</v>
      </c>
      <c r="AO330" s="304">
        <v>2523380.78</v>
      </c>
      <c r="AP330" s="304"/>
      <c r="AQ330" s="304"/>
      <c r="AR330" s="304"/>
      <c r="AS330" s="304">
        <f t="shared" si="108"/>
        <v>0</v>
      </c>
      <c r="AT330" s="304"/>
      <c r="AU330" s="304"/>
      <c r="AV330" s="304"/>
      <c r="AW330" s="304"/>
      <c r="AX330" s="304">
        <f t="shared" si="109"/>
        <v>0</v>
      </c>
      <c r="AY330" s="304"/>
      <c r="AZ330" s="304"/>
      <c r="BA330" s="304"/>
      <c r="BB330" s="304"/>
      <c r="BC330" s="304"/>
      <c r="BD330" s="304"/>
      <c r="BE330" s="305"/>
      <c r="BF330" s="238" t="s">
        <v>53</v>
      </c>
      <c r="BG330" s="263" t="s">
        <v>520</v>
      </c>
      <c r="BH330" s="306" t="s">
        <v>67</v>
      </c>
    </row>
    <row r="331" s="270" customFormat="1" ht="15" hidden="1" spans="1:60">
      <c r="A331" s="301">
        <v>324</v>
      </c>
      <c r="B331" s="302" t="s">
        <v>19</v>
      </c>
      <c r="C331" s="302" t="s">
        <v>20</v>
      </c>
      <c r="D331" s="301">
        <v>2018</v>
      </c>
      <c r="E331" s="303" t="s">
        <v>527</v>
      </c>
      <c r="F331" s="301" t="s">
        <v>53</v>
      </c>
      <c r="G331" s="238" t="s">
        <v>56</v>
      </c>
      <c r="H331" s="304">
        <f t="shared" si="98"/>
        <v>710400</v>
      </c>
      <c r="I331" s="304">
        <f t="shared" si="99"/>
        <v>710400</v>
      </c>
      <c r="J331" s="304">
        <f t="shared" si="100"/>
        <v>0</v>
      </c>
      <c r="K331" s="304"/>
      <c r="L331" s="304"/>
      <c r="M331" s="304"/>
      <c r="N331" s="304"/>
      <c r="O331" s="304">
        <f t="shared" si="101"/>
        <v>710400</v>
      </c>
      <c r="P331" s="304">
        <v>710400</v>
      </c>
      <c r="Q331" s="304"/>
      <c r="R331" s="304"/>
      <c r="S331" s="304"/>
      <c r="T331" s="304">
        <f t="shared" si="102"/>
        <v>0</v>
      </c>
      <c r="U331" s="304"/>
      <c r="V331" s="304"/>
      <c r="W331" s="304"/>
      <c r="X331" s="304"/>
      <c r="Y331" s="304">
        <f t="shared" si="103"/>
        <v>0</v>
      </c>
      <c r="Z331" s="304"/>
      <c r="AA331" s="304"/>
      <c r="AB331" s="304"/>
      <c r="AC331" s="304"/>
      <c r="AD331" s="304"/>
      <c r="AE331" s="304"/>
      <c r="AF331" s="304"/>
      <c r="AG331" s="304">
        <f t="shared" si="104"/>
        <v>710400</v>
      </c>
      <c r="AH331" s="304">
        <f t="shared" si="105"/>
        <v>710400</v>
      </c>
      <c r="AI331" s="304">
        <f t="shared" si="106"/>
        <v>0</v>
      </c>
      <c r="AJ331" s="304"/>
      <c r="AK331" s="304"/>
      <c r="AL331" s="304"/>
      <c r="AM331" s="304"/>
      <c r="AN331" s="304">
        <f t="shared" si="107"/>
        <v>710400</v>
      </c>
      <c r="AO331" s="304">
        <v>710400</v>
      </c>
      <c r="AP331" s="304"/>
      <c r="AQ331" s="304"/>
      <c r="AR331" s="304"/>
      <c r="AS331" s="304">
        <f t="shared" si="108"/>
        <v>0</v>
      </c>
      <c r="AT331" s="304"/>
      <c r="AU331" s="304"/>
      <c r="AV331" s="304"/>
      <c r="AW331" s="304"/>
      <c r="AX331" s="304">
        <f t="shared" si="109"/>
        <v>0</v>
      </c>
      <c r="AY331" s="304"/>
      <c r="AZ331" s="304"/>
      <c r="BA331" s="304"/>
      <c r="BB331" s="304"/>
      <c r="BC331" s="304"/>
      <c r="BD331" s="304"/>
      <c r="BE331" s="305"/>
      <c r="BF331" s="238" t="s">
        <v>53</v>
      </c>
      <c r="BG331" s="263" t="s">
        <v>54</v>
      </c>
      <c r="BH331" s="306" t="s">
        <v>67</v>
      </c>
    </row>
    <row r="332" s="270" customFormat="1" ht="15" hidden="1" spans="1:60">
      <c r="A332" s="301">
        <v>325</v>
      </c>
      <c r="B332" s="302" t="s">
        <v>19</v>
      </c>
      <c r="C332" s="302" t="s">
        <v>20</v>
      </c>
      <c r="D332" s="301">
        <v>2018</v>
      </c>
      <c r="E332" s="303" t="s">
        <v>528</v>
      </c>
      <c r="F332" s="301" t="s">
        <v>53</v>
      </c>
      <c r="G332" s="238" t="s">
        <v>56</v>
      </c>
      <c r="H332" s="304">
        <f t="shared" si="98"/>
        <v>2905700</v>
      </c>
      <c r="I332" s="304">
        <f t="shared" si="99"/>
        <v>2905700</v>
      </c>
      <c r="J332" s="304">
        <f t="shared" si="100"/>
        <v>0</v>
      </c>
      <c r="K332" s="304"/>
      <c r="L332" s="304"/>
      <c r="M332" s="304"/>
      <c r="N332" s="304"/>
      <c r="O332" s="304">
        <f t="shared" si="101"/>
        <v>2905700</v>
      </c>
      <c r="P332" s="304">
        <v>2905700</v>
      </c>
      <c r="Q332" s="304"/>
      <c r="R332" s="304"/>
      <c r="S332" s="304"/>
      <c r="T332" s="304">
        <f t="shared" si="102"/>
        <v>0</v>
      </c>
      <c r="U332" s="304"/>
      <c r="V332" s="304"/>
      <c r="W332" s="304"/>
      <c r="X332" s="304"/>
      <c r="Y332" s="304">
        <f t="shared" si="103"/>
        <v>0</v>
      </c>
      <c r="Z332" s="304"/>
      <c r="AA332" s="304"/>
      <c r="AB332" s="304"/>
      <c r="AC332" s="304"/>
      <c r="AD332" s="304"/>
      <c r="AE332" s="304"/>
      <c r="AF332" s="304"/>
      <c r="AG332" s="304">
        <f t="shared" si="104"/>
        <v>2770612</v>
      </c>
      <c r="AH332" s="304">
        <f t="shared" si="105"/>
        <v>2770612</v>
      </c>
      <c r="AI332" s="304">
        <f t="shared" si="106"/>
        <v>0</v>
      </c>
      <c r="AJ332" s="304"/>
      <c r="AK332" s="304"/>
      <c r="AL332" s="304"/>
      <c r="AM332" s="304"/>
      <c r="AN332" s="304">
        <f t="shared" si="107"/>
        <v>2770612</v>
      </c>
      <c r="AO332" s="304">
        <v>2770612</v>
      </c>
      <c r="AP332" s="304"/>
      <c r="AQ332" s="304"/>
      <c r="AR332" s="304"/>
      <c r="AS332" s="304">
        <f t="shared" si="108"/>
        <v>0</v>
      </c>
      <c r="AT332" s="304"/>
      <c r="AU332" s="304"/>
      <c r="AV332" s="304"/>
      <c r="AW332" s="304"/>
      <c r="AX332" s="304">
        <f t="shared" si="109"/>
        <v>0</v>
      </c>
      <c r="AY332" s="304"/>
      <c r="AZ332" s="304"/>
      <c r="BA332" s="304"/>
      <c r="BB332" s="304"/>
      <c r="BC332" s="304"/>
      <c r="BD332" s="304"/>
      <c r="BE332" s="305"/>
      <c r="BF332" s="238" t="s">
        <v>53</v>
      </c>
      <c r="BG332" s="263" t="s">
        <v>78</v>
      </c>
      <c r="BH332" s="306" t="s">
        <v>67</v>
      </c>
    </row>
    <row r="333" s="270" customFormat="1" ht="15" hidden="1" spans="1:60">
      <c r="A333" s="301">
        <v>326</v>
      </c>
      <c r="B333" s="302" t="s">
        <v>19</v>
      </c>
      <c r="C333" s="302" t="s">
        <v>20</v>
      </c>
      <c r="D333" s="301">
        <v>2018</v>
      </c>
      <c r="E333" s="303" t="s">
        <v>529</v>
      </c>
      <c r="F333" s="301" t="s">
        <v>53</v>
      </c>
      <c r="G333" s="238" t="s">
        <v>56</v>
      </c>
      <c r="H333" s="304">
        <f t="shared" si="98"/>
        <v>1717400</v>
      </c>
      <c r="I333" s="304">
        <f t="shared" si="99"/>
        <v>1717400</v>
      </c>
      <c r="J333" s="304">
        <f t="shared" si="100"/>
        <v>0</v>
      </c>
      <c r="K333" s="304"/>
      <c r="L333" s="304"/>
      <c r="M333" s="304"/>
      <c r="N333" s="304"/>
      <c r="O333" s="304">
        <f t="shared" si="101"/>
        <v>1717400</v>
      </c>
      <c r="P333" s="304">
        <v>1717400</v>
      </c>
      <c r="Q333" s="304"/>
      <c r="R333" s="304"/>
      <c r="S333" s="304"/>
      <c r="T333" s="304">
        <f t="shared" si="102"/>
        <v>0</v>
      </c>
      <c r="U333" s="304"/>
      <c r="V333" s="304"/>
      <c r="W333" s="304"/>
      <c r="X333" s="304"/>
      <c r="Y333" s="304">
        <f t="shared" si="103"/>
        <v>0</v>
      </c>
      <c r="Z333" s="304"/>
      <c r="AA333" s="304"/>
      <c r="AB333" s="304"/>
      <c r="AC333" s="304"/>
      <c r="AD333" s="304"/>
      <c r="AE333" s="304"/>
      <c r="AF333" s="304"/>
      <c r="AG333" s="304">
        <f t="shared" si="104"/>
        <v>1638512.7</v>
      </c>
      <c r="AH333" s="304">
        <f t="shared" si="105"/>
        <v>1638512.7</v>
      </c>
      <c r="AI333" s="304">
        <f t="shared" si="106"/>
        <v>0</v>
      </c>
      <c r="AJ333" s="304"/>
      <c r="AK333" s="304"/>
      <c r="AL333" s="304"/>
      <c r="AM333" s="304"/>
      <c r="AN333" s="304">
        <f t="shared" si="107"/>
        <v>1638512.7</v>
      </c>
      <c r="AO333" s="304">
        <v>1638512.7</v>
      </c>
      <c r="AP333" s="304"/>
      <c r="AQ333" s="304"/>
      <c r="AR333" s="304"/>
      <c r="AS333" s="304">
        <f t="shared" si="108"/>
        <v>0</v>
      </c>
      <c r="AT333" s="304"/>
      <c r="AU333" s="304"/>
      <c r="AV333" s="304"/>
      <c r="AW333" s="304"/>
      <c r="AX333" s="304">
        <f t="shared" si="109"/>
        <v>0</v>
      </c>
      <c r="AY333" s="304"/>
      <c r="AZ333" s="304"/>
      <c r="BA333" s="304"/>
      <c r="BB333" s="304"/>
      <c r="BC333" s="304"/>
      <c r="BD333" s="304"/>
      <c r="BE333" s="305"/>
      <c r="BF333" s="238" t="s">
        <v>53</v>
      </c>
      <c r="BG333" s="263" t="s">
        <v>54</v>
      </c>
      <c r="BH333" s="306" t="s">
        <v>67</v>
      </c>
    </row>
    <row r="334" s="78" customFormat="1" ht="15" hidden="1" spans="1:60">
      <c r="A334" s="301">
        <v>327</v>
      </c>
      <c r="B334" s="307" t="s">
        <v>19</v>
      </c>
      <c r="C334" s="307" t="s">
        <v>20</v>
      </c>
      <c r="D334" s="308">
        <v>2018</v>
      </c>
      <c r="E334" s="313" t="s">
        <v>530</v>
      </c>
      <c r="F334" s="308" t="s">
        <v>53</v>
      </c>
      <c r="G334" s="127" t="s">
        <v>56</v>
      </c>
      <c r="H334" s="310">
        <f t="shared" si="98"/>
        <v>1258000</v>
      </c>
      <c r="I334" s="310">
        <f t="shared" si="99"/>
        <v>1258000</v>
      </c>
      <c r="J334" s="310">
        <f t="shared" si="100"/>
        <v>0</v>
      </c>
      <c r="K334" s="310"/>
      <c r="L334" s="310"/>
      <c r="M334" s="310"/>
      <c r="N334" s="310"/>
      <c r="O334" s="310">
        <f t="shared" si="101"/>
        <v>1258000</v>
      </c>
      <c r="P334" s="310">
        <v>1258000</v>
      </c>
      <c r="Q334" s="310"/>
      <c r="R334" s="310"/>
      <c r="S334" s="310"/>
      <c r="T334" s="310">
        <f t="shared" si="102"/>
        <v>0</v>
      </c>
      <c r="U334" s="310"/>
      <c r="V334" s="310"/>
      <c r="W334" s="310"/>
      <c r="X334" s="310"/>
      <c r="Y334" s="310">
        <f t="shared" si="103"/>
        <v>0</v>
      </c>
      <c r="Z334" s="310"/>
      <c r="AA334" s="310"/>
      <c r="AB334" s="310"/>
      <c r="AC334" s="310"/>
      <c r="AD334" s="310"/>
      <c r="AE334" s="310"/>
      <c r="AF334" s="310"/>
      <c r="AG334" s="310">
        <f t="shared" si="104"/>
        <v>1206300</v>
      </c>
      <c r="AH334" s="310">
        <f t="shared" si="105"/>
        <v>1206300</v>
      </c>
      <c r="AI334" s="310">
        <f t="shared" si="106"/>
        <v>0</v>
      </c>
      <c r="AJ334" s="310"/>
      <c r="AK334" s="310"/>
      <c r="AL334" s="310"/>
      <c r="AM334" s="310"/>
      <c r="AN334" s="310">
        <f t="shared" si="107"/>
        <v>1206300</v>
      </c>
      <c r="AO334" s="310">
        <v>1206300</v>
      </c>
      <c r="AP334" s="310"/>
      <c r="AQ334" s="310"/>
      <c r="AR334" s="310"/>
      <c r="AS334" s="310">
        <f t="shared" si="108"/>
        <v>0</v>
      </c>
      <c r="AT334" s="310"/>
      <c r="AU334" s="310"/>
      <c r="AV334" s="310"/>
      <c r="AW334" s="310"/>
      <c r="AX334" s="310">
        <f t="shared" si="109"/>
        <v>0</v>
      </c>
      <c r="AY334" s="310"/>
      <c r="AZ334" s="310"/>
      <c r="BA334" s="310"/>
      <c r="BB334" s="310"/>
      <c r="BC334" s="310"/>
      <c r="BD334" s="310"/>
      <c r="BE334" s="312"/>
      <c r="BF334" s="134" t="s">
        <v>139</v>
      </c>
      <c r="BG334" s="315" t="s">
        <v>54</v>
      </c>
      <c r="BH334" s="137" t="s">
        <v>115</v>
      </c>
    </row>
    <row r="335" s="270" customFormat="1" ht="15" hidden="1" spans="1:60">
      <c r="A335" s="301">
        <v>328</v>
      </c>
      <c r="B335" s="302" t="s">
        <v>19</v>
      </c>
      <c r="C335" s="302" t="s">
        <v>20</v>
      </c>
      <c r="D335" s="301">
        <v>2018</v>
      </c>
      <c r="E335" s="303" t="s">
        <v>531</v>
      </c>
      <c r="F335" s="301" t="s">
        <v>53</v>
      </c>
      <c r="G335" s="238" t="s">
        <v>56</v>
      </c>
      <c r="H335" s="304">
        <f t="shared" si="98"/>
        <v>2131800</v>
      </c>
      <c r="I335" s="304">
        <f t="shared" si="99"/>
        <v>2131800</v>
      </c>
      <c r="J335" s="304">
        <f t="shared" si="100"/>
        <v>0</v>
      </c>
      <c r="K335" s="304"/>
      <c r="L335" s="304"/>
      <c r="M335" s="304"/>
      <c r="N335" s="304"/>
      <c r="O335" s="304">
        <f t="shared" si="101"/>
        <v>2131800</v>
      </c>
      <c r="P335" s="304">
        <v>2131800</v>
      </c>
      <c r="Q335" s="304"/>
      <c r="R335" s="304"/>
      <c r="S335" s="304"/>
      <c r="T335" s="304">
        <f t="shared" si="102"/>
        <v>0</v>
      </c>
      <c r="U335" s="304"/>
      <c r="V335" s="304"/>
      <c r="W335" s="304"/>
      <c r="X335" s="304"/>
      <c r="Y335" s="304">
        <f t="shared" si="103"/>
        <v>0</v>
      </c>
      <c r="Z335" s="304"/>
      <c r="AA335" s="304"/>
      <c r="AB335" s="304"/>
      <c r="AC335" s="304"/>
      <c r="AD335" s="304"/>
      <c r="AE335" s="304"/>
      <c r="AF335" s="304"/>
      <c r="AG335" s="304">
        <f t="shared" si="104"/>
        <v>1998335.71</v>
      </c>
      <c r="AH335" s="304">
        <f t="shared" si="105"/>
        <v>1998335.71</v>
      </c>
      <c r="AI335" s="304">
        <f t="shared" si="106"/>
        <v>0</v>
      </c>
      <c r="AJ335" s="304"/>
      <c r="AK335" s="304"/>
      <c r="AL335" s="304"/>
      <c r="AM335" s="304"/>
      <c r="AN335" s="304">
        <f t="shared" si="107"/>
        <v>1998335.71</v>
      </c>
      <c r="AO335" s="304">
        <v>1998335.71</v>
      </c>
      <c r="AP335" s="304"/>
      <c r="AQ335" s="304"/>
      <c r="AR335" s="304"/>
      <c r="AS335" s="304">
        <f t="shared" si="108"/>
        <v>0</v>
      </c>
      <c r="AT335" s="304"/>
      <c r="AU335" s="304"/>
      <c r="AV335" s="304"/>
      <c r="AW335" s="304"/>
      <c r="AX335" s="304">
        <f t="shared" si="109"/>
        <v>0</v>
      </c>
      <c r="AY335" s="304"/>
      <c r="AZ335" s="304"/>
      <c r="BA335" s="304"/>
      <c r="BB335" s="304"/>
      <c r="BC335" s="304"/>
      <c r="BD335" s="304"/>
      <c r="BE335" s="305"/>
      <c r="BF335" s="238" t="s">
        <v>53</v>
      </c>
      <c r="BG335" s="236" t="s">
        <v>532</v>
      </c>
      <c r="BH335" s="306"/>
    </row>
    <row r="336" s="270" customFormat="1" ht="15" hidden="1" spans="1:60">
      <c r="A336" s="301">
        <v>329</v>
      </c>
      <c r="B336" s="302" t="s">
        <v>19</v>
      </c>
      <c r="C336" s="302" t="s">
        <v>20</v>
      </c>
      <c r="D336" s="301">
        <v>2018</v>
      </c>
      <c r="E336" s="303" t="s">
        <v>533</v>
      </c>
      <c r="F336" s="301" t="s">
        <v>53</v>
      </c>
      <c r="G336" s="238" t="s">
        <v>56</v>
      </c>
      <c r="H336" s="304">
        <f t="shared" si="98"/>
        <v>1515400</v>
      </c>
      <c r="I336" s="304">
        <f t="shared" si="99"/>
        <v>1515400</v>
      </c>
      <c r="J336" s="304">
        <f t="shared" si="100"/>
        <v>0</v>
      </c>
      <c r="K336" s="304"/>
      <c r="L336" s="304"/>
      <c r="M336" s="304"/>
      <c r="N336" s="304"/>
      <c r="O336" s="304">
        <f t="shared" si="101"/>
        <v>1515400</v>
      </c>
      <c r="P336" s="304">
        <v>1515400</v>
      </c>
      <c r="Q336" s="304"/>
      <c r="R336" s="304"/>
      <c r="S336" s="304"/>
      <c r="T336" s="304">
        <f t="shared" si="102"/>
        <v>0</v>
      </c>
      <c r="U336" s="304"/>
      <c r="V336" s="304"/>
      <c r="W336" s="304"/>
      <c r="X336" s="304"/>
      <c r="Y336" s="304">
        <f t="shared" si="103"/>
        <v>0</v>
      </c>
      <c r="Z336" s="304"/>
      <c r="AA336" s="304"/>
      <c r="AB336" s="304"/>
      <c r="AC336" s="304"/>
      <c r="AD336" s="304"/>
      <c r="AE336" s="304"/>
      <c r="AF336" s="304"/>
      <c r="AG336" s="304">
        <f t="shared" si="104"/>
        <v>1440179.73912756</v>
      </c>
      <c r="AH336" s="304">
        <f t="shared" si="105"/>
        <v>1440179.73912756</v>
      </c>
      <c r="AI336" s="304">
        <f t="shared" si="106"/>
        <v>0</v>
      </c>
      <c r="AJ336" s="304"/>
      <c r="AK336" s="304"/>
      <c r="AL336" s="304"/>
      <c r="AM336" s="304"/>
      <c r="AN336" s="304">
        <f t="shared" si="107"/>
        <v>1440179.73912756</v>
      </c>
      <c r="AO336" s="304">
        <v>1440179.73912756</v>
      </c>
      <c r="AP336" s="304"/>
      <c r="AQ336" s="304"/>
      <c r="AR336" s="304"/>
      <c r="AS336" s="304">
        <f t="shared" si="108"/>
        <v>0</v>
      </c>
      <c r="AT336" s="304"/>
      <c r="AU336" s="304"/>
      <c r="AV336" s="304"/>
      <c r="AW336" s="304"/>
      <c r="AX336" s="304">
        <f t="shared" si="109"/>
        <v>0</v>
      </c>
      <c r="AY336" s="304"/>
      <c r="AZ336" s="304"/>
      <c r="BA336" s="304"/>
      <c r="BB336" s="304"/>
      <c r="BC336" s="304"/>
      <c r="BD336" s="304"/>
      <c r="BE336" s="305"/>
      <c r="BF336" s="238" t="s">
        <v>53</v>
      </c>
      <c r="BG336" s="263" t="s">
        <v>70</v>
      </c>
      <c r="BH336" s="306"/>
    </row>
    <row r="337" s="270" customFormat="1" ht="15" hidden="1" spans="1:60">
      <c r="A337" s="301">
        <v>330</v>
      </c>
      <c r="B337" s="302" t="s">
        <v>19</v>
      </c>
      <c r="C337" s="302" t="s">
        <v>20</v>
      </c>
      <c r="D337" s="301">
        <v>2018</v>
      </c>
      <c r="E337" s="303" t="s">
        <v>534</v>
      </c>
      <c r="F337" s="301" t="s">
        <v>53</v>
      </c>
      <c r="G337" s="238" t="s">
        <v>56</v>
      </c>
      <c r="H337" s="304">
        <f t="shared" si="98"/>
        <v>2486700</v>
      </c>
      <c r="I337" s="304">
        <f t="shared" si="99"/>
        <v>2486700</v>
      </c>
      <c r="J337" s="304">
        <f t="shared" si="100"/>
        <v>0</v>
      </c>
      <c r="K337" s="304"/>
      <c r="L337" s="304"/>
      <c r="M337" s="304"/>
      <c r="N337" s="304"/>
      <c r="O337" s="304">
        <f t="shared" si="101"/>
        <v>2486700</v>
      </c>
      <c r="P337" s="304">
        <v>2486700</v>
      </c>
      <c r="Q337" s="304"/>
      <c r="R337" s="304"/>
      <c r="S337" s="304"/>
      <c r="T337" s="304">
        <f t="shared" si="102"/>
        <v>0</v>
      </c>
      <c r="U337" s="304"/>
      <c r="V337" s="304"/>
      <c r="W337" s="304"/>
      <c r="X337" s="304"/>
      <c r="Y337" s="304">
        <f t="shared" si="103"/>
        <v>0</v>
      </c>
      <c r="Z337" s="304"/>
      <c r="AA337" s="304"/>
      <c r="AB337" s="304"/>
      <c r="AC337" s="304"/>
      <c r="AD337" s="304"/>
      <c r="AE337" s="304"/>
      <c r="AF337" s="304"/>
      <c r="AG337" s="304">
        <f t="shared" si="104"/>
        <v>2333894.13</v>
      </c>
      <c r="AH337" s="304">
        <f t="shared" si="105"/>
        <v>2333894.13</v>
      </c>
      <c r="AI337" s="304">
        <f t="shared" si="106"/>
        <v>0</v>
      </c>
      <c r="AJ337" s="304"/>
      <c r="AK337" s="304"/>
      <c r="AL337" s="304"/>
      <c r="AM337" s="304"/>
      <c r="AN337" s="304">
        <f t="shared" si="107"/>
        <v>2333894.13</v>
      </c>
      <c r="AO337" s="304">
        <v>2333894.13</v>
      </c>
      <c r="AP337" s="304"/>
      <c r="AQ337" s="304"/>
      <c r="AR337" s="304"/>
      <c r="AS337" s="304">
        <f t="shared" si="108"/>
        <v>0</v>
      </c>
      <c r="AT337" s="304"/>
      <c r="AU337" s="304"/>
      <c r="AV337" s="304"/>
      <c r="AW337" s="304"/>
      <c r="AX337" s="304">
        <f t="shared" si="109"/>
        <v>0</v>
      </c>
      <c r="AY337" s="304"/>
      <c r="AZ337" s="304"/>
      <c r="BA337" s="304"/>
      <c r="BB337" s="304"/>
      <c r="BC337" s="304"/>
      <c r="BD337" s="304"/>
      <c r="BE337" s="305"/>
      <c r="BF337" s="238" t="s">
        <v>53</v>
      </c>
      <c r="BG337" s="263" t="s">
        <v>78</v>
      </c>
      <c r="BH337" s="306"/>
    </row>
    <row r="338" s="270" customFormat="1" ht="15" hidden="1" spans="1:60">
      <c r="A338" s="301">
        <v>331</v>
      </c>
      <c r="B338" s="302" t="s">
        <v>19</v>
      </c>
      <c r="C338" s="302" t="s">
        <v>20</v>
      </c>
      <c r="D338" s="301">
        <v>2018</v>
      </c>
      <c r="E338" s="303" t="s">
        <v>535</v>
      </c>
      <c r="F338" s="301" t="s">
        <v>53</v>
      </c>
      <c r="G338" s="238" t="s">
        <v>56</v>
      </c>
      <c r="H338" s="304">
        <f t="shared" si="98"/>
        <v>385600</v>
      </c>
      <c r="I338" s="304">
        <f t="shared" si="99"/>
        <v>385600</v>
      </c>
      <c r="J338" s="304">
        <f t="shared" si="100"/>
        <v>0</v>
      </c>
      <c r="K338" s="304"/>
      <c r="L338" s="304"/>
      <c r="M338" s="304"/>
      <c r="N338" s="304"/>
      <c r="O338" s="304">
        <f t="shared" si="101"/>
        <v>385600</v>
      </c>
      <c r="P338" s="304">
        <v>385600</v>
      </c>
      <c r="Q338" s="304"/>
      <c r="R338" s="304"/>
      <c r="S338" s="304"/>
      <c r="T338" s="304">
        <f t="shared" si="102"/>
        <v>0</v>
      </c>
      <c r="U338" s="304"/>
      <c r="V338" s="304"/>
      <c r="W338" s="304"/>
      <c r="X338" s="304"/>
      <c r="Y338" s="304">
        <f t="shared" si="103"/>
        <v>0</v>
      </c>
      <c r="Z338" s="304"/>
      <c r="AA338" s="304"/>
      <c r="AB338" s="304"/>
      <c r="AC338" s="304"/>
      <c r="AD338" s="304"/>
      <c r="AE338" s="304"/>
      <c r="AF338" s="304"/>
      <c r="AG338" s="304">
        <f t="shared" si="104"/>
        <v>385600</v>
      </c>
      <c r="AH338" s="304">
        <f t="shared" si="105"/>
        <v>385600</v>
      </c>
      <c r="AI338" s="304">
        <f t="shared" si="106"/>
        <v>0</v>
      </c>
      <c r="AJ338" s="304"/>
      <c r="AK338" s="304"/>
      <c r="AL338" s="304"/>
      <c r="AM338" s="304"/>
      <c r="AN338" s="304">
        <f t="shared" si="107"/>
        <v>385600</v>
      </c>
      <c r="AO338" s="304">
        <v>385600</v>
      </c>
      <c r="AP338" s="304"/>
      <c r="AQ338" s="304"/>
      <c r="AR338" s="304"/>
      <c r="AS338" s="304">
        <f t="shared" si="108"/>
        <v>0</v>
      </c>
      <c r="AT338" s="304"/>
      <c r="AU338" s="304"/>
      <c r="AV338" s="304"/>
      <c r="AW338" s="304"/>
      <c r="AX338" s="304">
        <f t="shared" si="109"/>
        <v>0</v>
      </c>
      <c r="AY338" s="304"/>
      <c r="AZ338" s="304"/>
      <c r="BA338" s="304"/>
      <c r="BB338" s="304"/>
      <c r="BC338" s="304"/>
      <c r="BD338" s="304"/>
      <c r="BE338" s="305"/>
      <c r="BF338" s="238" t="s">
        <v>53</v>
      </c>
      <c r="BG338" s="263" t="s">
        <v>54</v>
      </c>
      <c r="BH338" s="306" t="s">
        <v>67</v>
      </c>
    </row>
    <row r="339" s="270" customFormat="1" ht="15" hidden="1" spans="1:60">
      <c r="A339" s="301">
        <v>332</v>
      </c>
      <c r="B339" s="302" t="s">
        <v>19</v>
      </c>
      <c r="C339" s="302" t="s">
        <v>20</v>
      </c>
      <c r="D339" s="301">
        <v>2018</v>
      </c>
      <c r="E339" s="303" t="s">
        <v>536</v>
      </c>
      <c r="F339" s="301" t="s">
        <v>53</v>
      </c>
      <c r="G339" s="238" t="s">
        <v>56</v>
      </c>
      <c r="H339" s="304">
        <f t="shared" si="98"/>
        <v>672100</v>
      </c>
      <c r="I339" s="304">
        <f t="shared" si="99"/>
        <v>672100</v>
      </c>
      <c r="J339" s="304">
        <f t="shared" si="100"/>
        <v>0</v>
      </c>
      <c r="K339" s="304"/>
      <c r="L339" s="304"/>
      <c r="M339" s="304"/>
      <c r="N339" s="304"/>
      <c r="O339" s="304">
        <f t="shared" si="101"/>
        <v>672100</v>
      </c>
      <c r="P339" s="304">
        <v>419895</v>
      </c>
      <c r="Q339" s="304"/>
      <c r="R339" s="304">
        <v>252205</v>
      </c>
      <c r="S339" s="304"/>
      <c r="T339" s="304">
        <f t="shared" si="102"/>
        <v>0</v>
      </c>
      <c r="U339" s="304"/>
      <c r="V339" s="304"/>
      <c r="W339" s="304"/>
      <c r="X339" s="304"/>
      <c r="Y339" s="304">
        <f t="shared" si="103"/>
        <v>0</v>
      </c>
      <c r="Z339" s="304"/>
      <c r="AA339" s="304"/>
      <c r="AB339" s="304"/>
      <c r="AC339" s="304"/>
      <c r="AD339" s="304"/>
      <c r="AE339" s="304"/>
      <c r="AF339" s="304"/>
      <c r="AG339" s="304">
        <f t="shared" si="104"/>
        <v>672100</v>
      </c>
      <c r="AH339" s="304">
        <f t="shared" si="105"/>
        <v>672100</v>
      </c>
      <c r="AI339" s="304">
        <f t="shared" si="106"/>
        <v>0</v>
      </c>
      <c r="AJ339" s="304"/>
      <c r="AK339" s="304"/>
      <c r="AL339" s="304"/>
      <c r="AM339" s="304"/>
      <c r="AN339" s="304">
        <f t="shared" si="107"/>
        <v>672100</v>
      </c>
      <c r="AO339" s="304">
        <v>419895</v>
      </c>
      <c r="AP339" s="304"/>
      <c r="AQ339" s="304">
        <v>252205</v>
      </c>
      <c r="AR339" s="304"/>
      <c r="AS339" s="304">
        <f t="shared" si="108"/>
        <v>0</v>
      </c>
      <c r="AT339" s="304"/>
      <c r="AU339" s="304"/>
      <c r="AV339" s="304"/>
      <c r="AW339" s="304"/>
      <c r="AX339" s="304">
        <f t="shared" si="109"/>
        <v>0</v>
      </c>
      <c r="AY339" s="304"/>
      <c r="AZ339" s="304"/>
      <c r="BA339" s="304"/>
      <c r="BB339" s="304"/>
      <c r="BC339" s="304"/>
      <c r="BD339" s="304"/>
      <c r="BE339" s="305"/>
      <c r="BF339" s="238" t="s">
        <v>53</v>
      </c>
      <c r="BG339" s="236" t="s">
        <v>537</v>
      </c>
      <c r="BH339" s="306"/>
    </row>
    <row r="340" s="78" customFormat="1" ht="15" hidden="1" spans="1:60">
      <c r="A340" s="301">
        <v>333</v>
      </c>
      <c r="B340" s="307" t="s">
        <v>19</v>
      </c>
      <c r="C340" s="307" t="s">
        <v>20</v>
      </c>
      <c r="D340" s="308">
        <v>2018</v>
      </c>
      <c r="E340" s="313" t="s">
        <v>538</v>
      </c>
      <c r="F340" s="308" t="s">
        <v>53</v>
      </c>
      <c r="G340" s="127" t="s">
        <v>56</v>
      </c>
      <c r="H340" s="310">
        <f t="shared" si="98"/>
        <v>3289000</v>
      </c>
      <c r="I340" s="310">
        <f t="shared" si="99"/>
        <v>3289000</v>
      </c>
      <c r="J340" s="310">
        <f t="shared" si="100"/>
        <v>0</v>
      </c>
      <c r="K340" s="310"/>
      <c r="L340" s="310"/>
      <c r="M340" s="310"/>
      <c r="N340" s="310"/>
      <c r="O340" s="310">
        <f t="shared" si="101"/>
        <v>3289000</v>
      </c>
      <c r="P340" s="310"/>
      <c r="Q340" s="310"/>
      <c r="R340" s="310"/>
      <c r="S340" s="310">
        <v>3289000</v>
      </c>
      <c r="T340" s="310">
        <f t="shared" si="102"/>
        <v>0</v>
      </c>
      <c r="U340" s="310"/>
      <c r="V340" s="310"/>
      <c r="W340" s="310"/>
      <c r="X340" s="310"/>
      <c r="Y340" s="310">
        <f t="shared" si="103"/>
        <v>0</v>
      </c>
      <c r="Z340" s="310"/>
      <c r="AA340" s="310"/>
      <c r="AB340" s="310"/>
      <c r="AC340" s="310"/>
      <c r="AD340" s="310"/>
      <c r="AE340" s="310"/>
      <c r="AF340" s="310"/>
      <c r="AG340" s="310">
        <f t="shared" si="104"/>
        <v>2942986.51</v>
      </c>
      <c r="AH340" s="310">
        <f t="shared" si="105"/>
        <v>2942986.51</v>
      </c>
      <c r="AI340" s="310">
        <f t="shared" si="106"/>
        <v>0</v>
      </c>
      <c r="AJ340" s="310"/>
      <c r="AK340" s="310"/>
      <c r="AL340" s="310"/>
      <c r="AM340" s="310"/>
      <c r="AN340" s="310">
        <f t="shared" si="107"/>
        <v>2942986.51</v>
      </c>
      <c r="AO340" s="310"/>
      <c r="AP340" s="310"/>
      <c r="AQ340" s="310"/>
      <c r="AR340" s="310">
        <v>2942986.51</v>
      </c>
      <c r="AS340" s="310">
        <f t="shared" si="108"/>
        <v>0</v>
      </c>
      <c r="AT340" s="310"/>
      <c r="AU340" s="310"/>
      <c r="AV340" s="310"/>
      <c r="AW340" s="310"/>
      <c r="AX340" s="310">
        <f t="shared" si="109"/>
        <v>0</v>
      </c>
      <c r="AY340" s="310"/>
      <c r="AZ340" s="310"/>
      <c r="BA340" s="310"/>
      <c r="BB340" s="310"/>
      <c r="BC340" s="310"/>
      <c r="BD340" s="310"/>
      <c r="BE340" s="312"/>
      <c r="BF340" s="134" t="s">
        <v>139</v>
      </c>
      <c r="BG340" s="315" t="s">
        <v>54</v>
      </c>
      <c r="BH340" s="137" t="s">
        <v>140</v>
      </c>
    </row>
    <row r="341" s="78" customFormat="1" ht="15" hidden="1" spans="1:60">
      <c r="A341" s="301">
        <v>334</v>
      </c>
      <c r="B341" s="307" t="s">
        <v>19</v>
      </c>
      <c r="C341" s="307" t="s">
        <v>20</v>
      </c>
      <c r="D341" s="308">
        <v>2018</v>
      </c>
      <c r="E341" s="313" t="s">
        <v>539</v>
      </c>
      <c r="F341" s="308" t="s">
        <v>53</v>
      </c>
      <c r="G341" s="127" t="s">
        <v>56</v>
      </c>
      <c r="H341" s="310">
        <f t="shared" si="98"/>
        <v>979600</v>
      </c>
      <c r="I341" s="310">
        <f t="shared" si="99"/>
        <v>979600</v>
      </c>
      <c r="J341" s="310">
        <f t="shared" si="100"/>
        <v>0</v>
      </c>
      <c r="K341" s="310"/>
      <c r="L341" s="310"/>
      <c r="M341" s="310"/>
      <c r="N341" s="310"/>
      <c r="O341" s="310">
        <f t="shared" si="101"/>
        <v>979600</v>
      </c>
      <c r="P341" s="310"/>
      <c r="Q341" s="310"/>
      <c r="R341" s="310"/>
      <c r="S341" s="310">
        <v>979600</v>
      </c>
      <c r="T341" s="310">
        <f t="shared" si="102"/>
        <v>0</v>
      </c>
      <c r="U341" s="310"/>
      <c r="V341" s="310"/>
      <c r="W341" s="310"/>
      <c r="X341" s="310"/>
      <c r="Y341" s="310">
        <f t="shared" si="103"/>
        <v>0</v>
      </c>
      <c r="Z341" s="310"/>
      <c r="AA341" s="310"/>
      <c r="AB341" s="310"/>
      <c r="AC341" s="310"/>
      <c r="AD341" s="310"/>
      <c r="AE341" s="310"/>
      <c r="AF341" s="310"/>
      <c r="AG341" s="310">
        <f t="shared" si="104"/>
        <v>979600</v>
      </c>
      <c r="AH341" s="310">
        <f t="shared" si="105"/>
        <v>979600</v>
      </c>
      <c r="AI341" s="310">
        <f t="shared" si="106"/>
        <v>0</v>
      </c>
      <c r="AJ341" s="310"/>
      <c r="AK341" s="310"/>
      <c r="AL341" s="310"/>
      <c r="AM341" s="310"/>
      <c r="AN341" s="310">
        <f t="shared" si="107"/>
        <v>979600</v>
      </c>
      <c r="AO341" s="310"/>
      <c r="AP341" s="310"/>
      <c r="AQ341" s="310"/>
      <c r="AR341" s="310">
        <v>979600</v>
      </c>
      <c r="AS341" s="310">
        <f t="shared" si="108"/>
        <v>0</v>
      </c>
      <c r="AT341" s="310"/>
      <c r="AU341" s="310"/>
      <c r="AV341" s="310"/>
      <c r="AW341" s="310"/>
      <c r="AX341" s="310">
        <f t="shared" si="109"/>
        <v>0</v>
      </c>
      <c r="AY341" s="310"/>
      <c r="AZ341" s="310"/>
      <c r="BA341" s="310"/>
      <c r="BB341" s="310"/>
      <c r="BC341" s="310"/>
      <c r="BD341" s="310"/>
      <c r="BE341" s="312"/>
      <c r="BF341" s="134" t="s">
        <v>139</v>
      </c>
      <c r="BG341" s="315" t="s">
        <v>54</v>
      </c>
      <c r="BH341" s="137" t="s">
        <v>140</v>
      </c>
    </row>
    <row r="342" s="270" customFormat="1" ht="15" hidden="1" spans="1:60">
      <c r="A342" s="301">
        <v>335</v>
      </c>
      <c r="B342" s="302" t="s">
        <v>19</v>
      </c>
      <c r="C342" s="302" t="s">
        <v>20</v>
      </c>
      <c r="D342" s="301">
        <v>2018</v>
      </c>
      <c r="E342" s="303" t="s">
        <v>540</v>
      </c>
      <c r="F342" s="301" t="s">
        <v>53</v>
      </c>
      <c r="G342" s="238" t="s">
        <v>56</v>
      </c>
      <c r="H342" s="304">
        <f t="shared" si="98"/>
        <v>2901200</v>
      </c>
      <c r="I342" s="304">
        <f t="shared" si="99"/>
        <v>2901200</v>
      </c>
      <c r="J342" s="304">
        <f t="shared" si="100"/>
        <v>0</v>
      </c>
      <c r="K342" s="304"/>
      <c r="L342" s="304"/>
      <c r="M342" s="304"/>
      <c r="N342" s="304"/>
      <c r="O342" s="304">
        <f t="shared" si="101"/>
        <v>2901200</v>
      </c>
      <c r="P342" s="304"/>
      <c r="Q342" s="304"/>
      <c r="R342" s="304"/>
      <c r="S342" s="304">
        <v>2901200</v>
      </c>
      <c r="T342" s="304">
        <f t="shared" si="102"/>
        <v>0</v>
      </c>
      <c r="U342" s="304"/>
      <c r="V342" s="304"/>
      <c r="W342" s="304"/>
      <c r="X342" s="304"/>
      <c r="Y342" s="304">
        <f t="shared" si="103"/>
        <v>0</v>
      </c>
      <c r="Z342" s="304"/>
      <c r="AA342" s="304"/>
      <c r="AB342" s="304"/>
      <c r="AC342" s="304"/>
      <c r="AD342" s="304"/>
      <c r="AE342" s="304"/>
      <c r="AF342" s="304"/>
      <c r="AG342" s="304">
        <f t="shared" si="104"/>
        <v>2801965.56</v>
      </c>
      <c r="AH342" s="304">
        <f t="shared" si="105"/>
        <v>2801965.56</v>
      </c>
      <c r="AI342" s="304">
        <f t="shared" si="106"/>
        <v>0</v>
      </c>
      <c r="AJ342" s="304"/>
      <c r="AK342" s="304"/>
      <c r="AL342" s="304"/>
      <c r="AM342" s="304"/>
      <c r="AN342" s="304">
        <f t="shared" si="107"/>
        <v>2801965.56</v>
      </c>
      <c r="AO342" s="304"/>
      <c r="AP342" s="304"/>
      <c r="AQ342" s="304"/>
      <c r="AR342" s="304">
        <v>2801965.56</v>
      </c>
      <c r="AS342" s="304">
        <f t="shared" si="108"/>
        <v>0</v>
      </c>
      <c r="AT342" s="304"/>
      <c r="AU342" s="304"/>
      <c r="AV342" s="304"/>
      <c r="AW342" s="304"/>
      <c r="AX342" s="304">
        <f t="shared" si="109"/>
        <v>0</v>
      </c>
      <c r="AY342" s="304"/>
      <c r="AZ342" s="304"/>
      <c r="BA342" s="304"/>
      <c r="BB342" s="304"/>
      <c r="BC342" s="304"/>
      <c r="BD342" s="304"/>
      <c r="BE342" s="305"/>
      <c r="BF342" s="238" t="s">
        <v>53</v>
      </c>
      <c r="BG342" s="263" t="s">
        <v>249</v>
      </c>
      <c r="BH342" s="306"/>
    </row>
    <row r="343" s="270" customFormat="1" ht="15" hidden="1" spans="1:60">
      <c r="A343" s="301">
        <v>336</v>
      </c>
      <c r="B343" s="302" t="s">
        <v>19</v>
      </c>
      <c r="C343" s="302" t="s">
        <v>20</v>
      </c>
      <c r="D343" s="301">
        <v>2018</v>
      </c>
      <c r="E343" s="303" t="s">
        <v>541</v>
      </c>
      <c r="F343" s="301" t="s">
        <v>53</v>
      </c>
      <c r="G343" s="238" t="s">
        <v>56</v>
      </c>
      <c r="H343" s="304">
        <f t="shared" si="98"/>
        <v>3330400</v>
      </c>
      <c r="I343" s="304">
        <f t="shared" si="99"/>
        <v>3330400</v>
      </c>
      <c r="J343" s="304">
        <f t="shared" si="100"/>
        <v>0</v>
      </c>
      <c r="K343" s="304"/>
      <c r="L343" s="304"/>
      <c r="M343" s="304"/>
      <c r="N343" s="304"/>
      <c r="O343" s="304">
        <f t="shared" si="101"/>
        <v>3330400</v>
      </c>
      <c r="P343" s="304"/>
      <c r="Q343" s="304"/>
      <c r="R343" s="304"/>
      <c r="S343" s="304">
        <v>3330400</v>
      </c>
      <c r="T343" s="304">
        <f t="shared" si="102"/>
        <v>0</v>
      </c>
      <c r="U343" s="304"/>
      <c r="V343" s="304"/>
      <c r="W343" s="304"/>
      <c r="X343" s="304"/>
      <c r="Y343" s="304">
        <f t="shared" si="103"/>
        <v>0</v>
      </c>
      <c r="Z343" s="304"/>
      <c r="AA343" s="304"/>
      <c r="AB343" s="304"/>
      <c r="AC343" s="304"/>
      <c r="AD343" s="304"/>
      <c r="AE343" s="304"/>
      <c r="AF343" s="304"/>
      <c r="AG343" s="304">
        <f t="shared" si="104"/>
        <v>3223664.1</v>
      </c>
      <c r="AH343" s="304">
        <f t="shared" si="105"/>
        <v>3223664.1</v>
      </c>
      <c r="AI343" s="304">
        <f t="shared" si="106"/>
        <v>0</v>
      </c>
      <c r="AJ343" s="304"/>
      <c r="AK343" s="304"/>
      <c r="AL343" s="304"/>
      <c r="AM343" s="304"/>
      <c r="AN343" s="304">
        <f t="shared" si="107"/>
        <v>3223664.1</v>
      </c>
      <c r="AO343" s="304"/>
      <c r="AP343" s="304"/>
      <c r="AQ343" s="304"/>
      <c r="AR343" s="304">
        <v>3223664.1</v>
      </c>
      <c r="AS343" s="304">
        <f t="shared" si="108"/>
        <v>0</v>
      </c>
      <c r="AT343" s="304"/>
      <c r="AU343" s="304"/>
      <c r="AV343" s="304"/>
      <c r="AW343" s="304"/>
      <c r="AX343" s="304">
        <f t="shared" si="109"/>
        <v>0</v>
      </c>
      <c r="AY343" s="304"/>
      <c r="AZ343" s="304"/>
      <c r="BA343" s="304"/>
      <c r="BB343" s="304"/>
      <c r="BC343" s="304"/>
      <c r="BD343" s="304"/>
      <c r="BE343" s="305"/>
      <c r="BF343" s="238" t="s">
        <v>53</v>
      </c>
      <c r="BG343" s="263" t="s">
        <v>249</v>
      </c>
      <c r="BH343" s="306"/>
    </row>
    <row r="344" s="270" customFormat="1" ht="15" hidden="1" spans="1:60">
      <c r="A344" s="301">
        <v>337</v>
      </c>
      <c r="B344" s="302" t="s">
        <v>19</v>
      </c>
      <c r="C344" s="302" t="s">
        <v>20</v>
      </c>
      <c r="D344" s="301">
        <v>2018</v>
      </c>
      <c r="E344" s="303" t="s">
        <v>542</v>
      </c>
      <c r="F344" s="301" t="s">
        <v>53</v>
      </c>
      <c r="G344" s="238" t="s">
        <v>56</v>
      </c>
      <c r="H344" s="304">
        <f t="shared" si="98"/>
        <v>2304900</v>
      </c>
      <c r="I344" s="304">
        <f t="shared" si="99"/>
        <v>2305900</v>
      </c>
      <c r="J344" s="304">
        <f t="shared" si="100"/>
        <v>0</v>
      </c>
      <c r="K344" s="304"/>
      <c r="L344" s="304"/>
      <c r="M344" s="304"/>
      <c r="N344" s="304"/>
      <c r="O344" s="304">
        <f t="shared" si="101"/>
        <v>2305900</v>
      </c>
      <c r="P344" s="304"/>
      <c r="Q344" s="304"/>
      <c r="R344" s="304">
        <v>76700</v>
      </c>
      <c r="S344" s="304">
        <v>2229200</v>
      </c>
      <c r="T344" s="304">
        <f t="shared" si="102"/>
        <v>0</v>
      </c>
      <c r="U344" s="304"/>
      <c r="V344" s="304"/>
      <c r="W344" s="304"/>
      <c r="X344" s="304"/>
      <c r="Y344" s="304">
        <f t="shared" si="103"/>
        <v>0</v>
      </c>
      <c r="Z344" s="304"/>
      <c r="AA344" s="304"/>
      <c r="AB344" s="304"/>
      <c r="AC344" s="304"/>
      <c r="AD344" s="304"/>
      <c r="AE344" s="304"/>
      <c r="AF344" s="304">
        <v>-1000</v>
      </c>
      <c r="AG344" s="304">
        <f t="shared" si="104"/>
        <v>2175440.1</v>
      </c>
      <c r="AH344" s="304">
        <f t="shared" si="105"/>
        <v>2175440.1</v>
      </c>
      <c r="AI344" s="304">
        <f t="shared" si="106"/>
        <v>0</v>
      </c>
      <c r="AJ344" s="304"/>
      <c r="AK344" s="304"/>
      <c r="AL344" s="304"/>
      <c r="AM344" s="304"/>
      <c r="AN344" s="304">
        <f t="shared" si="107"/>
        <v>2175440.1</v>
      </c>
      <c r="AO344" s="304"/>
      <c r="AP344" s="304"/>
      <c r="AQ344" s="304">
        <v>76700</v>
      </c>
      <c r="AR344" s="304">
        <v>2098740.1</v>
      </c>
      <c r="AS344" s="304">
        <f t="shared" si="108"/>
        <v>0</v>
      </c>
      <c r="AT344" s="304"/>
      <c r="AU344" s="304"/>
      <c r="AV344" s="304"/>
      <c r="AW344" s="304"/>
      <c r="AX344" s="304">
        <f t="shared" si="109"/>
        <v>0</v>
      </c>
      <c r="AY344" s="304"/>
      <c r="AZ344" s="304"/>
      <c r="BA344" s="304"/>
      <c r="BB344" s="304"/>
      <c r="BC344" s="304"/>
      <c r="BD344" s="304"/>
      <c r="BE344" s="305"/>
      <c r="BF344" s="238" t="s">
        <v>53</v>
      </c>
      <c r="BG344" s="263" t="s">
        <v>249</v>
      </c>
      <c r="BH344" s="306"/>
    </row>
    <row r="345" s="270" customFormat="1" ht="15" hidden="1" spans="1:60">
      <c r="A345" s="301">
        <v>338</v>
      </c>
      <c r="B345" s="302" t="s">
        <v>19</v>
      </c>
      <c r="C345" s="302" t="s">
        <v>20</v>
      </c>
      <c r="D345" s="301">
        <v>2018</v>
      </c>
      <c r="E345" s="303" t="s">
        <v>543</v>
      </c>
      <c r="F345" s="301" t="s">
        <v>53</v>
      </c>
      <c r="G345" s="238" t="s">
        <v>56</v>
      </c>
      <c r="H345" s="304">
        <f t="shared" si="98"/>
        <v>4922000</v>
      </c>
      <c r="I345" s="304">
        <f t="shared" si="99"/>
        <v>4922000</v>
      </c>
      <c r="J345" s="304">
        <f t="shared" si="100"/>
        <v>0</v>
      </c>
      <c r="K345" s="304"/>
      <c r="L345" s="304"/>
      <c r="M345" s="304"/>
      <c r="N345" s="304"/>
      <c r="O345" s="304">
        <f t="shared" si="101"/>
        <v>4922000</v>
      </c>
      <c r="P345" s="304"/>
      <c r="Q345" s="304"/>
      <c r="R345" s="304">
        <v>4922000</v>
      </c>
      <c r="S345" s="304"/>
      <c r="T345" s="304">
        <f t="shared" si="102"/>
        <v>0</v>
      </c>
      <c r="U345" s="304"/>
      <c r="V345" s="304"/>
      <c r="W345" s="304"/>
      <c r="X345" s="304"/>
      <c r="Y345" s="304">
        <f t="shared" si="103"/>
        <v>0</v>
      </c>
      <c r="Z345" s="304"/>
      <c r="AA345" s="304"/>
      <c r="AB345" s="304"/>
      <c r="AC345" s="304"/>
      <c r="AD345" s="304"/>
      <c r="AE345" s="304"/>
      <c r="AF345" s="304"/>
      <c r="AG345" s="304">
        <f t="shared" si="104"/>
        <v>4744931.89</v>
      </c>
      <c r="AH345" s="304">
        <f t="shared" si="105"/>
        <v>4744931.89</v>
      </c>
      <c r="AI345" s="304">
        <f t="shared" si="106"/>
        <v>0</v>
      </c>
      <c r="AJ345" s="304"/>
      <c r="AK345" s="304"/>
      <c r="AL345" s="304"/>
      <c r="AM345" s="304"/>
      <c r="AN345" s="304">
        <f t="shared" si="107"/>
        <v>4744931.89</v>
      </c>
      <c r="AO345" s="304"/>
      <c r="AP345" s="304"/>
      <c r="AQ345" s="304">
        <v>4744931.89</v>
      </c>
      <c r="AR345" s="304"/>
      <c r="AS345" s="304">
        <f t="shared" si="108"/>
        <v>0</v>
      </c>
      <c r="AT345" s="304"/>
      <c r="AU345" s="304"/>
      <c r="AV345" s="304"/>
      <c r="AW345" s="304"/>
      <c r="AX345" s="304">
        <f t="shared" si="109"/>
        <v>0</v>
      </c>
      <c r="AY345" s="304"/>
      <c r="AZ345" s="304"/>
      <c r="BA345" s="304"/>
      <c r="BB345" s="304"/>
      <c r="BC345" s="304"/>
      <c r="BD345" s="304"/>
      <c r="BE345" s="305"/>
      <c r="BF345" s="238" t="s">
        <v>53</v>
      </c>
      <c r="BG345" s="263" t="s">
        <v>249</v>
      </c>
      <c r="BH345" s="306" t="s">
        <v>140</v>
      </c>
    </row>
    <row r="346" s="270" customFormat="1" ht="15" hidden="1" spans="1:60">
      <c r="A346" s="301">
        <v>339</v>
      </c>
      <c r="B346" s="302" t="s">
        <v>19</v>
      </c>
      <c r="C346" s="302" t="s">
        <v>20</v>
      </c>
      <c r="D346" s="301">
        <v>2018</v>
      </c>
      <c r="E346" s="303" t="s">
        <v>544</v>
      </c>
      <c r="F346" s="301" t="s">
        <v>53</v>
      </c>
      <c r="G346" s="238" t="s">
        <v>56</v>
      </c>
      <c r="H346" s="304">
        <f t="shared" si="98"/>
        <v>933900</v>
      </c>
      <c r="I346" s="304">
        <f t="shared" si="99"/>
        <v>933900</v>
      </c>
      <c r="J346" s="304">
        <f t="shared" si="100"/>
        <v>0</v>
      </c>
      <c r="K346" s="304"/>
      <c r="L346" s="304"/>
      <c r="M346" s="304"/>
      <c r="N346" s="304"/>
      <c r="O346" s="304">
        <f t="shared" si="101"/>
        <v>933900</v>
      </c>
      <c r="P346" s="304">
        <v>544670</v>
      </c>
      <c r="Q346" s="304"/>
      <c r="R346" s="304"/>
      <c r="S346" s="304">
        <v>389230</v>
      </c>
      <c r="T346" s="304">
        <f t="shared" si="102"/>
        <v>0</v>
      </c>
      <c r="U346" s="304"/>
      <c r="V346" s="304"/>
      <c r="W346" s="304"/>
      <c r="X346" s="304"/>
      <c r="Y346" s="304">
        <f t="shared" si="103"/>
        <v>0</v>
      </c>
      <c r="Z346" s="304"/>
      <c r="AA346" s="304"/>
      <c r="AB346" s="304"/>
      <c r="AC346" s="304"/>
      <c r="AD346" s="304"/>
      <c r="AE346" s="304"/>
      <c r="AF346" s="304"/>
      <c r="AG346" s="304">
        <f t="shared" si="104"/>
        <v>913900</v>
      </c>
      <c r="AH346" s="304">
        <f t="shared" si="105"/>
        <v>913900</v>
      </c>
      <c r="AI346" s="304">
        <f t="shared" si="106"/>
        <v>0</v>
      </c>
      <c r="AJ346" s="304"/>
      <c r="AK346" s="304"/>
      <c r="AL346" s="304"/>
      <c r="AM346" s="304"/>
      <c r="AN346" s="304">
        <f t="shared" si="107"/>
        <v>913900</v>
      </c>
      <c r="AO346" s="304">
        <v>544670</v>
      </c>
      <c r="AP346" s="304"/>
      <c r="AQ346" s="304"/>
      <c r="AR346" s="304">
        <v>369230</v>
      </c>
      <c r="AS346" s="304">
        <f t="shared" si="108"/>
        <v>0</v>
      </c>
      <c r="AT346" s="304"/>
      <c r="AU346" s="304"/>
      <c r="AV346" s="304"/>
      <c r="AW346" s="304"/>
      <c r="AX346" s="304">
        <f t="shared" si="109"/>
        <v>0</v>
      </c>
      <c r="AY346" s="304"/>
      <c r="AZ346" s="304"/>
      <c r="BA346" s="304"/>
      <c r="BB346" s="304"/>
      <c r="BC346" s="304"/>
      <c r="BD346" s="304"/>
      <c r="BE346" s="305"/>
      <c r="BF346" s="238" t="s">
        <v>53</v>
      </c>
      <c r="BG346" s="236" t="s">
        <v>545</v>
      </c>
      <c r="BH346" s="306"/>
    </row>
    <row r="347" s="270" customFormat="1" ht="15" hidden="1" spans="1:60">
      <c r="A347" s="301">
        <v>340</v>
      </c>
      <c r="B347" s="302" t="s">
        <v>19</v>
      </c>
      <c r="C347" s="302" t="s">
        <v>20</v>
      </c>
      <c r="D347" s="301">
        <v>2018</v>
      </c>
      <c r="E347" s="303" t="s">
        <v>546</v>
      </c>
      <c r="F347" s="301" t="s">
        <v>53</v>
      </c>
      <c r="G347" s="238" t="s">
        <v>56</v>
      </c>
      <c r="H347" s="304">
        <f t="shared" si="98"/>
        <v>2337000</v>
      </c>
      <c r="I347" s="304">
        <f t="shared" si="99"/>
        <v>2337000</v>
      </c>
      <c r="J347" s="304">
        <f t="shared" si="100"/>
        <v>0</v>
      </c>
      <c r="K347" s="304"/>
      <c r="L347" s="304"/>
      <c r="M347" s="304"/>
      <c r="N347" s="304"/>
      <c r="O347" s="304">
        <f t="shared" si="101"/>
        <v>2337000</v>
      </c>
      <c r="P347" s="304">
        <v>762200</v>
      </c>
      <c r="Q347" s="304"/>
      <c r="R347" s="304">
        <v>332300</v>
      </c>
      <c r="S347" s="304">
        <v>1242500</v>
      </c>
      <c r="T347" s="304">
        <f t="shared" si="102"/>
        <v>0</v>
      </c>
      <c r="U347" s="304"/>
      <c r="V347" s="304"/>
      <c r="W347" s="304"/>
      <c r="X347" s="304"/>
      <c r="Y347" s="304">
        <f t="shared" si="103"/>
        <v>0</v>
      </c>
      <c r="Z347" s="304"/>
      <c r="AA347" s="304"/>
      <c r="AB347" s="304"/>
      <c r="AC347" s="304"/>
      <c r="AD347" s="304"/>
      <c r="AE347" s="304"/>
      <c r="AF347" s="304"/>
      <c r="AG347" s="304">
        <f t="shared" si="104"/>
        <v>2262414.75273631</v>
      </c>
      <c r="AH347" s="304">
        <f t="shared" si="105"/>
        <v>2262414.75273631</v>
      </c>
      <c r="AI347" s="304">
        <f t="shared" si="106"/>
        <v>0</v>
      </c>
      <c r="AJ347" s="304"/>
      <c r="AK347" s="304"/>
      <c r="AL347" s="304"/>
      <c r="AM347" s="304"/>
      <c r="AN347" s="304">
        <f t="shared" si="107"/>
        <v>2262414.75273631</v>
      </c>
      <c r="AO347" s="304">
        <v>762200</v>
      </c>
      <c r="AP347" s="304"/>
      <c r="AQ347" s="304">
        <v>332300</v>
      </c>
      <c r="AR347" s="304">
        <v>1167914.75273631</v>
      </c>
      <c r="AS347" s="304">
        <f t="shared" si="108"/>
        <v>0</v>
      </c>
      <c r="AT347" s="304"/>
      <c r="AU347" s="304"/>
      <c r="AV347" s="304"/>
      <c r="AW347" s="304"/>
      <c r="AX347" s="304">
        <f t="shared" si="109"/>
        <v>0</v>
      </c>
      <c r="AY347" s="304"/>
      <c r="AZ347" s="304"/>
      <c r="BA347" s="304"/>
      <c r="BB347" s="304"/>
      <c r="BC347" s="304"/>
      <c r="BD347" s="304"/>
      <c r="BE347" s="305"/>
      <c r="BF347" s="238" t="s">
        <v>53</v>
      </c>
      <c r="BG347" s="263" t="s">
        <v>70</v>
      </c>
      <c r="BH347" s="306" t="s">
        <v>67</v>
      </c>
    </row>
    <row r="348" s="270" customFormat="1" ht="15" hidden="1" spans="1:60">
      <c r="A348" s="301">
        <v>341</v>
      </c>
      <c r="B348" s="302" t="s">
        <v>19</v>
      </c>
      <c r="C348" s="302" t="s">
        <v>20</v>
      </c>
      <c r="D348" s="301">
        <v>2019</v>
      </c>
      <c r="E348" s="331" t="s">
        <v>547</v>
      </c>
      <c r="F348" s="301" t="s">
        <v>53</v>
      </c>
      <c r="G348" s="238" t="s">
        <v>56</v>
      </c>
      <c r="H348" s="304">
        <f t="shared" si="98"/>
        <v>998500</v>
      </c>
      <c r="I348" s="304">
        <f t="shared" si="99"/>
        <v>998500</v>
      </c>
      <c r="J348" s="304">
        <f t="shared" si="100"/>
        <v>0</v>
      </c>
      <c r="K348" s="304"/>
      <c r="L348" s="304"/>
      <c r="M348" s="304"/>
      <c r="N348" s="304"/>
      <c r="O348" s="304">
        <f t="shared" si="101"/>
        <v>998500</v>
      </c>
      <c r="P348" s="304">
        <v>998500</v>
      </c>
      <c r="Q348" s="304"/>
      <c r="R348" s="304"/>
      <c r="S348" s="304"/>
      <c r="T348" s="304">
        <f t="shared" si="102"/>
        <v>0</v>
      </c>
      <c r="U348" s="304"/>
      <c r="V348" s="304"/>
      <c r="W348" s="304"/>
      <c r="X348" s="304"/>
      <c r="Y348" s="304">
        <f t="shared" si="103"/>
        <v>0</v>
      </c>
      <c r="Z348" s="304"/>
      <c r="AA348" s="304"/>
      <c r="AB348" s="304"/>
      <c r="AC348" s="304"/>
      <c r="AD348" s="304"/>
      <c r="AE348" s="304"/>
      <c r="AF348" s="304"/>
      <c r="AG348" s="304">
        <f t="shared" si="104"/>
        <v>982601</v>
      </c>
      <c r="AH348" s="304">
        <f t="shared" si="105"/>
        <v>982601</v>
      </c>
      <c r="AI348" s="304">
        <f t="shared" si="106"/>
        <v>0</v>
      </c>
      <c r="AJ348" s="304"/>
      <c r="AK348" s="304"/>
      <c r="AL348" s="304"/>
      <c r="AM348" s="304"/>
      <c r="AN348" s="304">
        <f t="shared" si="107"/>
        <v>982601</v>
      </c>
      <c r="AO348" s="304">
        <v>982601</v>
      </c>
      <c r="AP348" s="304"/>
      <c r="AQ348" s="304"/>
      <c r="AR348" s="304"/>
      <c r="AS348" s="304">
        <f t="shared" si="108"/>
        <v>0</v>
      </c>
      <c r="AT348" s="304"/>
      <c r="AU348" s="304"/>
      <c r="AV348" s="304"/>
      <c r="AW348" s="304"/>
      <c r="AX348" s="304">
        <f t="shared" si="109"/>
        <v>0</v>
      </c>
      <c r="AY348" s="304"/>
      <c r="AZ348" s="304"/>
      <c r="BA348" s="304"/>
      <c r="BB348" s="304"/>
      <c r="BC348" s="304"/>
      <c r="BD348" s="304"/>
      <c r="BE348" s="305"/>
      <c r="BF348" s="238" t="s">
        <v>53</v>
      </c>
      <c r="BG348" s="263" t="s">
        <v>54</v>
      </c>
      <c r="BH348" s="306" t="s">
        <v>67</v>
      </c>
    </row>
    <row r="349" s="270" customFormat="1" ht="15" hidden="1" spans="1:60">
      <c r="A349" s="301">
        <v>342</v>
      </c>
      <c r="B349" s="302" t="s">
        <v>19</v>
      </c>
      <c r="C349" s="302" t="s">
        <v>20</v>
      </c>
      <c r="D349" s="301">
        <v>2019</v>
      </c>
      <c r="E349" s="331" t="s">
        <v>548</v>
      </c>
      <c r="F349" s="301" t="s">
        <v>53</v>
      </c>
      <c r="G349" s="238" t="s">
        <v>56</v>
      </c>
      <c r="H349" s="304">
        <f t="shared" si="98"/>
        <v>223400</v>
      </c>
      <c r="I349" s="304">
        <f t="shared" si="99"/>
        <v>223400</v>
      </c>
      <c r="J349" s="304">
        <f t="shared" si="100"/>
        <v>0</v>
      </c>
      <c r="K349" s="304"/>
      <c r="L349" s="304"/>
      <c r="M349" s="304"/>
      <c r="N349" s="304"/>
      <c r="O349" s="304">
        <f t="shared" si="101"/>
        <v>223400</v>
      </c>
      <c r="P349" s="304">
        <v>223400</v>
      </c>
      <c r="Q349" s="304"/>
      <c r="R349" s="304"/>
      <c r="S349" s="304"/>
      <c r="T349" s="304">
        <f t="shared" si="102"/>
        <v>0</v>
      </c>
      <c r="U349" s="304"/>
      <c r="V349" s="304"/>
      <c r="W349" s="304"/>
      <c r="X349" s="304"/>
      <c r="Y349" s="304">
        <f t="shared" si="103"/>
        <v>0</v>
      </c>
      <c r="Z349" s="304"/>
      <c r="AA349" s="304"/>
      <c r="AB349" s="304"/>
      <c r="AC349" s="304"/>
      <c r="AD349" s="304"/>
      <c r="AE349" s="304"/>
      <c r="AF349" s="304"/>
      <c r="AG349" s="304">
        <f t="shared" si="104"/>
        <v>223400</v>
      </c>
      <c r="AH349" s="304">
        <f t="shared" si="105"/>
        <v>223400</v>
      </c>
      <c r="AI349" s="304">
        <f t="shared" si="106"/>
        <v>0</v>
      </c>
      <c r="AJ349" s="304"/>
      <c r="AK349" s="304"/>
      <c r="AL349" s="304"/>
      <c r="AM349" s="304"/>
      <c r="AN349" s="304">
        <f t="shared" si="107"/>
        <v>223400</v>
      </c>
      <c r="AO349" s="304">
        <v>223400</v>
      </c>
      <c r="AP349" s="304"/>
      <c r="AQ349" s="304"/>
      <c r="AR349" s="304"/>
      <c r="AS349" s="304">
        <f t="shared" si="108"/>
        <v>0</v>
      </c>
      <c r="AT349" s="304"/>
      <c r="AU349" s="304"/>
      <c r="AV349" s="304"/>
      <c r="AW349" s="304"/>
      <c r="AX349" s="304">
        <f t="shared" si="109"/>
        <v>0</v>
      </c>
      <c r="AY349" s="304"/>
      <c r="AZ349" s="304"/>
      <c r="BA349" s="304"/>
      <c r="BB349" s="304"/>
      <c r="BC349" s="304"/>
      <c r="BD349" s="304"/>
      <c r="BE349" s="305"/>
      <c r="BF349" s="238" t="s">
        <v>53</v>
      </c>
      <c r="BG349" s="263" t="s">
        <v>54</v>
      </c>
      <c r="BH349" s="306" t="s">
        <v>67</v>
      </c>
    </row>
    <row r="350" s="270" customFormat="1" ht="15" hidden="1" spans="1:60">
      <c r="A350" s="301">
        <v>343</v>
      </c>
      <c r="B350" s="302" t="s">
        <v>19</v>
      </c>
      <c r="C350" s="302" t="s">
        <v>20</v>
      </c>
      <c r="D350" s="301">
        <v>2019</v>
      </c>
      <c r="E350" s="331" t="s">
        <v>549</v>
      </c>
      <c r="F350" s="301" t="s">
        <v>53</v>
      </c>
      <c r="G350" s="238" t="s">
        <v>53</v>
      </c>
      <c r="H350" s="304">
        <f t="shared" si="98"/>
        <v>506000</v>
      </c>
      <c r="I350" s="304">
        <f t="shared" si="99"/>
        <v>500000</v>
      </c>
      <c r="J350" s="304">
        <f t="shared" si="100"/>
        <v>0</v>
      </c>
      <c r="K350" s="304"/>
      <c r="L350" s="304"/>
      <c r="M350" s="304"/>
      <c r="N350" s="304"/>
      <c r="O350" s="304">
        <f t="shared" si="101"/>
        <v>500000</v>
      </c>
      <c r="P350" s="304"/>
      <c r="Q350" s="304">
        <v>500000</v>
      </c>
      <c r="R350" s="304"/>
      <c r="S350" s="304"/>
      <c r="T350" s="304">
        <f t="shared" si="102"/>
        <v>0</v>
      </c>
      <c r="U350" s="304"/>
      <c r="V350" s="304"/>
      <c r="W350" s="304"/>
      <c r="X350" s="304"/>
      <c r="Y350" s="304">
        <f t="shared" si="103"/>
        <v>0</v>
      </c>
      <c r="Z350" s="304"/>
      <c r="AA350" s="304"/>
      <c r="AB350" s="304"/>
      <c r="AC350" s="304"/>
      <c r="AD350" s="304"/>
      <c r="AE350" s="304"/>
      <c r="AF350" s="304">
        <v>6000</v>
      </c>
      <c r="AG350" s="304">
        <f t="shared" si="104"/>
        <v>506000</v>
      </c>
      <c r="AH350" s="304">
        <f t="shared" si="105"/>
        <v>500000</v>
      </c>
      <c r="AI350" s="304">
        <f t="shared" si="106"/>
        <v>0</v>
      </c>
      <c r="AJ350" s="304"/>
      <c r="AK350" s="304"/>
      <c r="AL350" s="304"/>
      <c r="AM350" s="304"/>
      <c r="AN350" s="304">
        <f t="shared" si="107"/>
        <v>500000</v>
      </c>
      <c r="AO350" s="304"/>
      <c r="AP350" s="304">
        <v>500000</v>
      </c>
      <c r="AQ350" s="304"/>
      <c r="AR350" s="304"/>
      <c r="AS350" s="304">
        <f t="shared" si="108"/>
        <v>0</v>
      </c>
      <c r="AT350" s="304"/>
      <c r="AU350" s="304"/>
      <c r="AV350" s="304"/>
      <c r="AW350" s="304"/>
      <c r="AX350" s="304">
        <f t="shared" si="109"/>
        <v>0</v>
      </c>
      <c r="AY350" s="304"/>
      <c r="AZ350" s="304"/>
      <c r="BA350" s="304"/>
      <c r="BB350" s="304"/>
      <c r="BC350" s="304"/>
      <c r="BD350" s="304"/>
      <c r="BE350" s="305">
        <v>6000</v>
      </c>
      <c r="BF350" s="238" t="s">
        <v>53</v>
      </c>
      <c r="BG350" s="263" t="s">
        <v>54</v>
      </c>
      <c r="BH350" s="306"/>
    </row>
    <row r="351" s="270" customFormat="1" ht="15" hidden="1" spans="1:60">
      <c r="A351" s="301">
        <v>344</v>
      </c>
      <c r="B351" s="302" t="s">
        <v>19</v>
      </c>
      <c r="C351" s="302" t="s">
        <v>20</v>
      </c>
      <c r="D351" s="301">
        <v>2019</v>
      </c>
      <c r="E351" s="303" t="s">
        <v>550</v>
      </c>
      <c r="F351" s="301" t="s">
        <v>53</v>
      </c>
      <c r="G351" s="238" t="s">
        <v>53</v>
      </c>
      <c r="H351" s="304">
        <f t="shared" si="98"/>
        <v>500600</v>
      </c>
      <c r="I351" s="304">
        <f t="shared" si="99"/>
        <v>500000</v>
      </c>
      <c r="J351" s="304">
        <f t="shared" si="100"/>
        <v>0</v>
      </c>
      <c r="K351" s="304"/>
      <c r="L351" s="304"/>
      <c r="M351" s="304"/>
      <c r="N351" s="304"/>
      <c r="O351" s="304">
        <f t="shared" si="101"/>
        <v>500000</v>
      </c>
      <c r="P351" s="304"/>
      <c r="Q351" s="304">
        <v>500000</v>
      </c>
      <c r="R351" s="304"/>
      <c r="S351" s="304"/>
      <c r="T351" s="304">
        <f t="shared" si="102"/>
        <v>0</v>
      </c>
      <c r="U351" s="304"/>
      <c r="V351" s="304"/>
      <c r="W351" s="304"/>
      <c r="X351" s="304"/>
      <c r="Y351" s="304">
        <f t="shared" si="103"/>
        <v>0</v>
      </c>
      <c r="Z351" s="304"/>
      <c r="AA351" s="304"/>
      <c r="AB351" s="304"/>
      <c r="AC351" s="304"/>
      <c r="AD351" s="304"/>
      <c r="AE351" s="304"/>
      <c r="AF351" s="304">
        <v>600</v>
      </c>
      <c r="AG351" s="304">
        <f t="shared" si="104"/>
        <v>500600</v>
      </c>
      <c r="AH351" s="304">
        <f t="shared" si="105"/>
        <v>500000</v>
      </c>
      <c r="AI351" s="304">
        <f t="shared" si="106"/>
        <v>0</v>
      </c>
      <c r="AJ351" s="304"/>
      <c r="AK351" s="304"/>
      <c r="AL351" s="304"/>
      <c r="AM351" s="304"/>
      <c r="AN351" s="304">
        <f t="shared" si="107"/>
        <v>500000</v>
      </c>
      <c r="AO351" s="304"/>
      <c r="AP351" s="304">
        <v>500000</v>
      </c>
      <c r="AQ351" s="304"/>
      <c r="AR351" s="304"/>
      <c r="AS351" s="304">
        <f t="shared" si="108"/>
        <v>0</v>
      </c>
      <c r="AT351" s="304"/>
      <c r="AU351" s="304"/>
      <c r="AV351" s="304"/>
      <c r="AW351" s="304"/>
      <c r="AX351" s="304">
        <f t="shared" si="109"/>
        <v>0</v>
      </c>
      <c r="AY351" s="304"/>
      <c r="AZ351" s="304"/>
      <c r="BA351" s="304"/>
      <c r="BB351" s="304"/>
      <c r="BC351" s="304"/>
      <c r="BD351" s="304"/>
      <c r="BE351" s="305">
        <v>600</v>
      </c>
      <c r="BF351" s="238" t="s">
        <v>53</v>
      </c>
      <c r="BG351" s="263" t="s">
        <v>54</v>
      </c>
      <c r="BH351" s="306"/>
    </row>
    <row r="352" s="270" customFormat="1" ht="15" hidden="1" spans="1:60">
      <c r="A352" s="301">
        <v>345</v>
      </c>
      <c r="B352" s="302" t="s">
        <v>19</v>
      </c>
      <c r="C352" s="302" t="s">
        <v>20</v>
      </c>
      <c r="D352" s="301">
        <v>2019</v>
      </c>
      <c r="E352" s="303" t="s">
        <v>551</v>
      </c>
      <c r="F352" s="301" t="s">
        <v>53</v>
      </c>
      <c r="G352" s="238" t="s">
        <v>53</v>
      </c>
      <c r="H352" s="304">
        <f t="shared" si="98"/>
        <v>761100</v>
      </c>
      <c r="I352" s="304">
        <f t="shared" si="99"/>
        <v>500000</v>
      </c>
      <c r="J352" s="304">
        <f t="shared" si="100"/>
        <v>0</v>
      </c>
      <c r="K352" s="304"/>
      <c r="L352" s="304"/>
      <c r="M352" s="304"/>
      <c r="N352" s="304"/>
      <c r="O352" s="304">
        <f t="shared" si="101"/>
        <v>500000</v>
      </c>
      <c r="P352" s="304"/>
      <c r="Q352" s="304">
        <v>500000</v>
      </c>
      <c r="R352" s="304"/>
      <c r="S352" s="304"/>
      <c r="T352" s="304">
        <f t="shared" si="102"/>
        <v>0</v>
      </c>
      <c r="U352" s="304"/>
      <c r="V352" s="304"/>
      <c r="W352" s="304"/>
      <c r="X352" s="304"/>
      <c r="Y352" s="304">
        <f t="shared" si="103"/>
        <v>0</v>
      </c>
      <c r="Z352" s="304"/>
      <c r="AA352" s="304"/>
      <c r="AB352" s="304"/>
      <c r="AC352" s="304"/>
      <c r="AD352" s="304"/>
      <c r="AE352" s="304"/>
      <c r="AF352" s="304">
        <v>261100</v>
      </c>
      <c r="AG352" s="304">
        <f t="shared" si="104"/>
        <v>761100</v>
      </c>
      <c r="AH352" s="304">
        <f t="shared" si="105"/>
        <v>500000</v>
      </c>
      <c r="AI352" s="304">
        <f t="shared" si="106"/>
        <v>0</v>
      </c>
      <c r="AJ352" s="304"/>
      <c r="AK352" s="304"/>
      <c r="AL352" s="304"/>
      <c r="AM352" s="304"/>
      <c r="AN352" s="304">
        <f t="shared" si="107"/>
        <v>500000</v>
      </c>
      <c r="AO352" s="304"/>
      <c r="AP352" s="304">
        <v>500000</v>
      </c>
      <c r="AQ352" s="304"/>
      <c r="AR352" s="304"/>
      <c r="AS352" s="304">
        <f t="shared" si="108"/>
        <v>0</v>
      </c>
      <c r="AT352" s="304"/>
      <c r="AU352" s="304"/>
      <c r="AV352" s="304"/>
      <c r="AW352" s="304"/>
      <c r="AX352" s="304">
        <f t="shared" si="109"/>
        <v>0</v>
      </c>
      <c r="AY352" s="304"/>
      <c r="AZ352" s="304"/>
      <c r="BA352" s="304"/>
      <c r="BB352" s="304"/>
      <c r="BC352" s="304"/>
      <c r="BD352" s="304"/>
      <c r="BE352" s="305">
        <v>261100</v>
      </c>
      <c r="BF352" s="238" t="s">
        <v>53</v>
      </c>
      <c r="BG352" s="263" t="s">
        <v>54</v>
      </c>
      <c r="BH352" s="306"/>
    </row>
    <row r="353" s="77" customFormat="1" ht="15" hidden="1" spans="1:60">
      <c r="A353" s="301">
        <v>346</v>
      </c>
      <c r="B353" s="307" t="s">
        <v>19</v>
      </c>
      <c r="C353" s="307" t="s">
        <v>20</v>
      </c>
      <c r="D353" s="308">
        <v>2019</v>
      </c>
      <c r="E353" s="313" t="s">
        <v>552</v>
      </c>
      <c r="F353" s="308" t="s">
        <v>53</v>
      </c>
      <c r="G353" s="127" t="s">
        <v>53</v>
      </c>
      <c r="H353" s="310">
        <f t="shared" si="98"/>
        <v>13040200</v>
      </c>
      <c r="I353" s="310">
        <f t="shared" si="99"/>
        <v>13040200</v>
      </c>
      <c r="J353" s="310">
        <f t="shared" si="100"/>
        <v>0</v>
      </c>
      <c r="K353" s="310"/>
      <c r="L353" s="310"/>
      <c r="M353" s="310"/>
      <c r="N353" s="310"/>
      <c r="O353" s="310">
        <f t="shared" si="101"/>
        <v>13040200</v>
      </c>
      <c r="P353" s="310">
        <v>13040200</v>
      </c>
      <c r="Q353" s="310"/>
      <c r="R353" s="310"/>
      <c r="S353" s="310"/>
      <c r="T353" s="310">
        <f t="shared" si="102"/>
        <v>0</v>
      </c>
      <c r="U353" s="310"/>
      <c r="V353" s="310"/>
      <c r="W353" s="310"/>
      <c r="X353" s="310"/>
      <c r="Y353" s="310">
        <f t="shared" si="103"/>
        <v>0</v>
      </c>
      <c r="Z353" s="310"/>
      <c r="AA353" s="310"/>
      <c r="AB353" s="310"/>
      <c r="AC353" s="310"/>
      <c r="AD353" s="310"/>
      <c r="AE353" s="310"/>
      <c r="AF353" s="310"/>
      <c r="AG353" s="310">
        <f t="shared" si="104"/>
        <v>11842869.78</v>
      </c>
      <c r="AH353" s="310">
        <f t="shared" si="105"/>
        <v>11842869.78</v>
      </c>
      <c r="AI353" s="310">
        <f t="shared" si="106"/>
        <v>0</v>
      </c>
      <c r="AJ353" s="310"/>
      <c r="AK353" s="310"/>
      <c r="AL353" s="310"/>
      <c r="AM353" s="310"/>
      <c r="AN353" s="310">
        <f t="shared" si="107"/>
        <v>11842869.78</v>
      </c>
      <c r="AO353" s="310">
        <v>11842869.78</v>
      </c>
      <c r="AP353" s="310"/>
      <c r="AQ353" s="310"/>
      <c r="AR353" s="310"/>
      <c r="AS353" s="310">
        <f t="shared" si="108"/>
        <v>0</v>
      </c>
      <c r="AT353" s="310"/>
      <c r="AU353" s="310"/>
      <c r="AV353" s="310"/>
      <c r="AW353" s="310"/>
      <c r="AX353" s="310">
        <f t="shared" si="109"/>
        <v>0</v>
      </c>
      <c r="AY353" s="310"/>
      <c r="AZ353" s="310"/>
      <c r="BA353" s="310"/>
      <c r="BB353" s="310"/>
      <c r="BC353" s="310"/>
      <c r="BD353" s="310"/>
      <c r="BE353" s="312"/>
      <c r="BF353" s="127" t="s">
        <v>56</v>
      </c>
      <c r="BG353" s="128" t="s">
        <v>553</v>
      </c>
      <c r="BH353" s="133" t="s">
        <v>131</v>
      </c>
    </row>
    <row r="354" s="78" customFormat="1" ht="15" hidden="1" spans="1:60">
      <c r="A354" s="301">
        <v>347</v>
      </c>
      <c r="B354" s="307" t="s">
        <v>19</v>
      </c>
      <c r="C354" s="307" t="s">
        <v>20</v>
      </c>
      <c r="D354" s="308">
        <v>2019</v>
      </c>
      <c r="E354" s="313" t="s">
        <v>554</v>
      </c>
      <c r="F354" s="308" t="s">
        <v>53</v>
      </c>
      <c r="G354" s="127" t="s">
        <v>53</v>
      </c>
      <c r="H354" s="310">
        <f t="shared" si="98"/>
        <v>2859800</v>
      </c>
      <c r="I354" s="310">
        <f t="shared" si="99"/>
        <v>2859800</v>
      </c>
      <c r="J354" s="310">
        <f t="shared" si="100"/>
        <v>0</v>
      </c>
      <c r="K354" s="310"/>
      <c r="L354" s="310"/>
      <c r="M354" s="310"/>
      <c r="N354" s="310"/>
      <c r="O354" s="310">
        <f t="shared" si="101"/>
        <v>2859800</v>
      </c>
      <c r="P354" s="310"/>
      <c r="Q354" s="310">
        <v>2859800</v>
      </c>
      <c r="R354" s="310"/>
      <c r="S354" s="310"/>
      <c r="T354" s="310">
        <f t="shared" si="102"/>
        <v>0</v>
      </c>
      <c r="U354" s="310"/>
      <c r="V354" s="310"/>
      <c r="W354" s="310"/>
      <c r="X354" s="310"/>
      <c r="Y354" s="310">
        <f t="shared" si="103"/>
        <v>0</v>
      </c>
      <c r="Z354" s="310"/>
      <c r="AA354" s="310"/>
      <c r="AB354" s="310"/>
      <c r="AC354" s="310"/>
      <c r="AD354" s="310"/>
      <c r="AE354" s="310"/>
      <c r="AF354" s="310"/>
      <c r="AG354" s="310">
        <f t="shared" si="104"/>
        <v>2798142.74</v>
      </c>
      <c r="AH354" s="310">
        <f t="shared" si="105"/>
        <v>2798142.74</v>
      </c>
      <c r="AI354" s="310">
        <f t="shared" si="106"/>
        <v>0</v>
      </c>
      <c r="AJ354" s="310"/>
      <c r="AK354" s="310"/>
      <c r="AL354" s="310"/>
      <c r="AM354" s="310"/>
      <c r="AN354" s="310">
        <f t="shared" si="107"/>
        <v>2798142.74</v>
      </c>
      <c r="AO354" s="310"/>
      <c r="AP354" s="310">
        <v>2798142.74</v>
      </c>
      <c r="AQ354" s="310"/>
      <c r="AR354" s="310"/>
      <c r="AS354" s="310">
        <f t="shared" si="108"/>
        <v>0</v>
      </c>
      <c r="AT354" s="310"/>
      <c r="AU354" s="310"/>
      <c r="AV354" s="310"/>
      <c r="AW354" s="310"/>
      <c r="AX354" s="310">
        <f t="shared" si="109"/>
        <v>0</v>
      </c>
      <c r="AY354" s="310"/>
      <c r="AZ354" s="310"/>
      <c r="BA354" s="310"/>
      <c r="BB354" s="310"/>
      <c r="BC354" s="310"/>
      <c r="BD354" s="310"/>
      <c r="BE354" s="312">
        <v>0</v>
      </c>
      <c r="BF354" s="134" t="s">
        <v>56</v>
      </c>
      <c r="BG354" s="315" t="s">
        <v>555</v>
      </c>
      <c r="BH354" s="137" t="s">
        <v>456</v>
      </c>
    </row>
    <row r="355" s="270" customFormat="1" ht="15" hidden="1" spans="1:60">
      <c r="A355" s="301">
        <v>348</v>
      </c>
      <c r="B355" s="302" t="s">
        <v>19</v>
      </c>
      <c r="C355" s="302" t="s">
        <v>20</v>
      </c>
      <c r="D355" s="301">
        <v>2019</v>
      </c>
      <c r="E355" s="331" t="s">
        <v>556</v>
      </c>
      <c r="F355" s="301" t="s">
        <v>53</v>
      </c>
      <c r="G355" s="238" t="s">
        <v>56</v>
      </c>
      <c r="H355" s="304">
        <f t="shared" si="98"/>
        <v>426200</v>
      </c>
      <c r="I355" s="304">
        <f t="shared" si="99"/>
        <v>426200</v>
      </c>
      <c r="J355" s="304">
        <f t="shared" si="100"/>
        <v>0</v>
      </c>
      <c r="K355" s="304"/>
      <c r="L355" s="304"/>
      <c r="M355" s="304"/>
      <c r="N355" s="304"/>
      <c r="O355" s="304">
        <f t="shared" si="101"/>
        <v>426200</v>
      </c>
      <c r="P355" s="304"/>
      <c r="Q355" s="304"/>
      <c r="R355" s="304">
        <v>416795</v>
      </c>
      <c r="S355" s="304">
        <v>9405</v>
      </c>
      <c r="T355" s="304">
        <f t="shared" si="102"/>
        <v>0</v>
      </c>
      <c r="U355" s="304"/>
      <c r="V355" s="304"/>
      <c r="W355" s="304"/>
      <c r="X355" s="304"/>
      <c r="Y355" s="304">
        <f t="shared" si="103"/>
        <v>0</v>
      </c>
      <c r="Z355" s="304"/>
      <c r="AA355" s="304"/>
      <c r="AB355" s="304"/>
      <c r="AC355" s="304"/>
      <c r="AD355" s="304"/>
      <c r="AE355" s="304"/>
      <c r="AF355" s="304"/>
      <c r="AG355" s="304">
        <f t="shared" si="104"/>
        <v>421071.75</v>
      </c>
      <c r="AH355" s="304">
        <f t="shared" si="105"/>
        <v>421071.75</v>
      </c>
      <c r="AI355" s="304">
        <f t="shared" si="106"/>
        <v>0</v>
      </c>
      <c r="AJ355" s="304"/>
      <c r="AK355" s="304"/>
      <c r="AL355" s="304"/>
      <c r="AM355" s="304"/>
      <c r="AN355" s="304">
        <f t="shared" si="107"/>
        <v>421071.75</v>
      </c>
      <c r="AO355" s="304"/>
      <c r="AP355" s="304"/>
      <c r="AQ355" s="304">
        <v>416795</v>
      </c>
      <c r="AR355" s="304">
        <v>4276.75</v>
      </c>
      <c r="AS355" s="304">
        <f t="shared" si="108"/>
        <v>0</v>
      </c>
      <c r="AT355" s="304"/>
      <c r="AU355" s="304"/>
      <c r="AV355" s="304"/>
      <c r="AW355" s="304"/>
      <c r="AX355" s="304">
        <f t="shared" si="109"/>
        <v>0</v>
      </c>
      <c r="AY355" s="304"/>
      <c r="AZ355" s="304"/>
      <c r="BA355" s="304"/>
      <c r="BB355" s="304"/>
      <c r="BC355" s="304"/>
      <c r="BD355" s="304"/>
      <c r="BE355" s="305"/>
      <c r="BF355" s="238" t="s">
        <v>53</v>
      </c>
      <c r="BG355" s="263" t="s">
        <v>54</v>
      </c>
      <c r="BH355" s="306" t="s">
        <v>67</v>
      </c>
    </row>
    <row r="356" s="270" customFormat="1" ht="15" hidden="1" spans="1:60">
      <c r="A356" s="301">
        <v>349</v>
      </c>
      <c r="B356" s="302" t="s">
        <v>19</v>
      </c>
      <c r="C356" s="302" t="s">
        <v>20</v>
      </c>
      <c r="D356" s="301">
        <v>2019</v>
      </c>
      <c r="E356" s="303" t="s">
        <v>557</v>
      </c>
      <c r="F356" s="301" t="s">
        <v>53</v>
      </c>
      <c r="G356" s="238" t="s">
        <v>53</v>
      </c>
      <c r="H356" s="304">
        <f t="shared" si="98"/>
        <v>3060000</v>
      </c>
      <c r="I356" s="304">
        <f t="shared" si="99"/>
        <v>3060000</v>
      </c>
      <c r="J356" s="304">
        <f t="shared" si="100"/>
        <v>0</v>
      </c>
      <c r="K356" s="304"/>
      <c r="L356" s="304"/>
      <c r="M356" s="304"/>
      <c r="N356" s="304"/>
      <c r="O356" s="304">
        <f t="shared" si="101"/>
        <v>1500000</v>
      </c>
      <c r="P356" s="304">
        <v>1500000</v>
      </c>
      <c r="Q356" s="304"/>
      <c r="R356" s="304"/>
      <c r="S356" s="304"/>
      <c r="T356" s="304">
        <f t="shared" si="102"/>
        <v>0</v>
      </c>
      <c r="U356" s="304"/>
      <c r="V356" s="304"/>
      <c r="W356" s="304"/>
      <c r="X356" s="304"/>
      <c r="Y356" s="304">
        <f t="shared" si="103"/>
        <v>1560000</v>
      </c>
      <c r="Z356" s="304"/>
      <c r="AA356" s="304">
        <v>1560000</v>
      </c>
      <c r="AB356" s="304"/>
      <c r="AC356" s="304"/>
      <c r="AD356" s="304"/>
      <c r="AE356" s="304"/>
      <c r="AF356" s="304"/>
      <c r="AG356" s="304">
        <f t="shared" si="104"/>
        <v>2953339.46</v>
      </c>
      <c r="AH356" s="304">
        <f t="shared" si="105"/>
        <v>2953339.46</v>
      </c>
      <c r="AI356" s="304">
        <f t="shared" si="106"/>
        <v>0</v>
      </c>
      <c r="AJ356" s="304"/>
      <c r="AK356" s="304"/>
      <c r="AL356" s="304"/>
      <c r="AM356" s="304"/>
      <c r="AN356" s="304">
        <f t="shared" si="107"/>
        <v>1500000</v>
      </c>
      <c r="AO356" s="304">
        <v>1500000</v>
      </c>
      <c r="AP356" s="304"/>
      <c r="AQ356" s="304"/>
      <c r="AR356" s="304"/>
      <c r="AS356" s="304">
        <f t="shared" si="108"/>
        <v>0</v>
      </c>
      <c r="AT356" s="304"/>
      <c r="AU356" s="304"/>
      <c r="AV356" s="304"/>
      <c r="AW356" s="304"/>
      <c r="AX356" s="304">
        <f t="shared" si="109"/>
        <v>1453339.46</v>
      </c>
      <c r="AY356" s="304"/>
      <c r="AZ356" s="304">
        <v>1453339.46</v>
      </c>
      <c r="BA356" s="304"/>
      <c r="BB356" s="304"/>
      <c r="BC356" s="304"/>
      <c r="BD356" s="304"/>
      <c r="BE356" s="305">
        <v>0</v>
      </c>
      <c r="BF356" s="238" t="s">
        <v>53</v>
      </c>
      <c r="BG356" s="263" t="s">
        <v>54</v>
      </c>
      <c r="BH356" s="306"/>
    </row>
    <row r="357" s="79" customFormat="1" ht="15" hidden="1" spans="1:60">
      <c r="A357" s="301">
        <v>350</v>
      </c>
      <c r="B357" s="334" t="s">
        <v>19</v>
      </c>
      <c r="C357" s="334" t="s">
        <v>20</v>
      </c>
      <c r="D357" s="335">
        <v>2019</v>
      </c>
      <c r="E357" s="340" t="s">
        <v>558</v>
      </c>
      <c r="F357" s="335" t="s">
        <v>53</v>
      </c>
      <c r="G357" s="146" t="s">
        <v>53</v>
      </c>
      <c r="H357" s="337">
        <f t="shared" si="98"/>
        <v>2530800</v>
      </c>
      <c r="I357" s="337">
        <f t="shared" si="99"/>
        <v>100000</v>
      </c>
      <c r="J357" s="337">
        <f t="shared" si="100"/>
        <v>0</v>
      </c>
      <c r="K357" s="337"/>
      <c r="L357" s="337"/>
      <c r="M357" s="337"/>
      <c r="N357" s="337"/>
      <c r="O357" s="337">
        <f t="shared" si="101"/>
        <v>100000</v>
      </c>
      <c r="P357" s="337"/>
      <c r="Q357" s="337"/>
      <c r="R357" s="337"/>
      <c r="S357" s="337">
        <v>100000</v>
      </c>
      <c r="T357" s="337">
        <f t="shared" si="102"/>
        <v>0</v>
      </c>
      <c r="U357" s="337"/>
      <c r="V357" s="337"/>
      <c r="W357" s="337"/>
      <c r="X357" s="337"/>
      <c r="Y357" s="337">
        <f t="shared" si="103"/>
        <v>0</v>
      </c>
      <c r="Z357" s="337"/>
      <c r="AA357" s="337"/>
      <c r="AB357" s="337"/>
      <c r="AC357" s="337"/>
      <c r="AD357" s="337"/>
      <c r="AE357" s="337"/>
      <c r="AF357" s="337">
        <v>2430800</v>
      </c>
      <c r="AG357" s="337">
        <f t="shared" si="104"/>
        <v>2530800</v>
      </c>
      <c r="AH357" s="337">
        <f t="shared" si="105"/>
        <v>100000</v>
      </c>
      <c r="AI357" s="337">
        <f t="shared" si="106"/>
        <v>0</v>
      </c>
      <c r="AJ357" s="337"/>
      <c r="AK357" s="337"/>
      <c r="AL357" s="337"/>
      <c r="AM357" s="337"/>
      <c r="AN357" s="337">
        <f t="shared" si="107"/>
        <v>100000</v>
      </c>
      <c r="AO357" s="337"/>
      <c r="AP357" s="337"/>
      <c r="AQ357" s="337"/>
      <c r="AR357" s="337">
        <v>100000</v>
      </c>
      <c r="AS357" s="337">
        <f t="shared" si="108"/>
        <v>0</v>
      </c>
      <c r="AT357" s="337"/>
      <c r="AU357" s="337"/>
      <c r="AV357" s="337"/>
      <c r="AW357" s="337"/>
      <c r="AX357" s="337">
        <f t="shared" si="109"/>
        <v>0</v>
      </c>
      <c r="AY357" s="337"/>
      <c r="AZ357" s="337"/>
      <c r="BA357" s="337"/>
      <c r="BB357" s="337"/>
      <c r="BC357" s="337"/>
      <c r="BD357" s="337"/>
      <c r="BE357" s="338">
        <v>2430800</v>
      </c>
      <c r="BF357" s="139" t="s">
        <v>56</v>
      </c>
      <c r="BG357" s="339" t="s">
        <v>221</v>
      </c>
      <c r="BH357" s="147" t="s">
        <v>124</v>
      </c>
    </row>
    <row r="358" s="77" customFormat="1" ht="15" hidden="1" spans="1:60">
      <c r="A358" s="301">
        <v>351</v>
      </c>
      <c r="B358" s="307" t="s">
        <v>19</v>
      </c>
      <c r="C358" s="307" t="s">
        <v>20</v>
      </c>
      <c r="D358" s="308">
        <v>2019</v>
      </c>
      <c r="E358" s="309" t="s">
        <v>559</v>
      </c>
      <c r="F358" s="308" t="s">
        <v>53</v>
      </c>
      <c r="G358" s="127" t="s">
        <v>53</v>
      </c>
      <c r="H358" s="310">
        <f t="shared" si="98"/>
        <v>8643600</v>
      </c>
      <c r="I358" s="310">
        <f t="shared" si="99"/>
        <v>8643600</v>
      </c>
      <c r="J358" s="310">
        <f t="shared" si="100"/>
        <v>0</v>
      </c>
      <c r="K358" s="310"/>
      <c r="L358" s="310"/>
      <c r="M358" s="310"/>
      <c r="N358" s="310"/>
      <c r="O358" s="310">
        <f t="shared" si="101"/>
        <v>3643600</v>
      </c>
      <c r="P358" s="310">
        <v>3643600</v>
      </c>
      <c r="Q358" s="310"/>
      <c r="R358" s="310"/>
      <c r="S358" s="310"/>
      <c r="T358" s="310">
        <f t="shared" si="102"/>
        <v>0</v>
      </c>
      <c r="U358" s="310"/>
      <c r="V358" s="310"/>
      <c r="W358" s="310"/>
      <c r="X358" s="310"/>
      <c r="Y358" s="310">
        <f t="shared" si="103"/>
        <v>5000000</v>
      </c>
      <c r="Z358" s="310"/>
      <c r="AA358" s="310">
        <v>5000000</v>
      </c>
      <c r="AB358" s="310"/>
      <c r="AC358" s="310"/>
      <c r="AD358" s="310"/>
      <c r="AE358" s="310"/>
      <c r="AF358" s="310"/>
      <c r="AG358" s="310">
        <f t="shared" si="104"/>
        <v>8058808.16</v>
      </c>
      <c r="AH358" s="310">
        <f t="shared" si="105"/>
        <v>8058808.16</v>
      </c>
      <c r="AI358" s="310">
        <f t="shared" si="106"/>
        <v>0</v>
      </c>
      <c r="AJ358" s="310"/>
      <c r="AK358" s="310"/>
      <c r="AL358" s="310"/>
      <c r="AM358" s="310"/>
      <c r="AN358" s="310">
        <f t="shared" si="107"/>
        <v>0</v>
      </c>
      <c r="AO358" s="310"/>
      <c r="AP358" s="310"/>
      <c r="AQ358" s="310"/>
      <c r="AR358" s="310"/>
      <c r="AS358" s="310">
        <f t="shared" si="108"/>
        <v>0</v>
      </c>
      <c r="AT358" s="310"/>
      <c r="AU358" s="310"/>
      <c r="AV358" s="310"/>
      <c r="AW358" s="310"/>
      <c r="AX358" s="310">
        <f t="shared" si="109"/>
        <v>8058808.16</v>
      </c>
      <c r="AY358" s="310">
        <v>8058808.16</v>
      </c>
      <c r="AZ358" s="310"/>
      <c r="BA358" s="310"/>
      <c r="BB358" s="310"/>
      <c r="BC358" s="310"/>
      <c r="BD358" s="310"/>
      <c r="BE358" s="312">
        <v>0</v>
      </c>
      <c r="BF358" s="127" t="s">
        <v>56</v>
      </c>
      <c r="BG358" s="128" t="s">
        <v>165</v>
      </c>
      <c r="BH358" s="133" t="s">
        <v>98</v>
      </c>
    </row>
    <row r="359" s="270" customFormat="1" ht="15" hidden="1" spans="1:60">
      <c r="A359" s="301">
        <v>352</v>
      </c>
      <c r="B359" s="302" t="s">
        <v>19</v>
      </c>
      <c r="C359" s="302" t="s">
        <v>20</v>
      </c>
      <c r="D359" s="301">
        <v>2020</v>
      </c>
      <c r="E359" s="303" t="s">
        <v>560</v>
      </c>
      <c r="F359" s="301" t="s">
        <v>53</v>
      </c>
      <c r="G359" s="238" t="s">
        <v>56</v>
      </c>
      <c r="H359" s="304">
        <f t="shared" si="98"/>
        <v>600000</v>
      </c>
      <c r="I359" s="304">
        <f t="shared" si="99"/>
        <v>600000</v>
      </c>
      <c r="J359" s="304">
        <f t="shared" si="100"/>
        <v>0</v>
      </c>
      <c r="K359" s="304"/>
      <c r="L359" s="304"/>
      <c r="M359" s="304"/>
      <c r="N359" s="304"/>
      <c r="O359" s="304">
        <f t="shared" si="101"/>
        <v>600000</v>
      </c>
      <c r="P359" s="304"/>
      <c r="Q359" s="304"/>
      <c r="R359" s="304">
        <v>600000</v>
      </c>
      <c r="S359" s="304"/>
      <c r="T359" s="304">
        <f t="shared" si="102"/>
        <v>0</v>
      </c>
      <c r="U359" s="304"/>
      <c r="V359" s="304"/>
      <c r="W359" s="304"/>
      <c r="X359" s="304"/>
      <c r="Y359" s="304">
        <f t="shared" si="103"/>
        <v>0</v>
      </c>
      <c r="Z359" s="304"/>
      <c r="AA359" s="304"/>
      <c r="AB359" s="304"/>
      <c r="AC359" s="304"/>
      <c r="AD359" s="304"/>
      <c r="AE359" s="304"/>
      <c r="AF359" s="304"/>
      <c r="AG359" s="304">
        <f t="shared" si="104"/>
        <v>492500</v>
      </c>
      <c r="AH359" s="304">
        <f t="shared" si="105"/>
        <v>492500</v>
      </c>
      <c r="AI359" s="304">
        <f t="shared" si="106"/>
        <v>0</v>
      </c>
      <c r="AJ359" s="304"/>
      <c r="AK359" s="304"/>
      <c r="AL359" s="304"/>
      <c r="AM359" s="304"/>
      <c r="AN359" s="304">
        <f t="shared" si="107"/>
        <v>492500</v>
      </c>
      <c r="AO359" s="304"/>
      <c r="AP359" s="304"/>
      <c r="AQ359" s="304">
        <v>492500</v>
      </c>
      <c r="AR359" s="304"/>
      <c r="AS359" s="304">
        <f t="shared" si="108"/>
        <v>0</v>
      </c>
      <c r="AT359" s="304"/>
      <c r="AU359" s="304"/>
      <c r="AV359" s="304"/>
      <c r="AW359" s="304"/>
      <c r="AX359" s="304">
        <f t="shared" si="109"/>
        <v>0</v>
      </c>
      <c r="AY359" s="304"/>
      <c r="AZ359" s="304"/>
      <c r="BA359" s="304"/>
      <c r="BB359" s="304"/>
      <c r="BC359" s="304"/>
      <c r="BD359" s="304"/>
      <c r="BE359" s="305"/>
      <c r="BF359" s="238" t="s">
        <v>53</v>
      </c>
      <c r="BG359" s="263" t="s">
        <v>70</v>
      </c>
      <c r="BH359" s="306" t="s">
        <v>140</v>
      </c>
    </row>
    <row r="360" s="79" customFormat="1" ht="15" hidden="1" spans="1:60">
      <c r="A360" s="301">
        <v>353</v>
      </c>
      <c r="B360" s="334" t="s">
        <v>19</v>
      </c>
      <c r="C360" s="334" t="s">
        <v>20</v>
      </c>
      <c r="D360" s="335">
        <v>2020</v>
      </c>
      <c r="E360" s="340" t="s">
        <v>561</v>
      </c>
      <c r="F360" s="335" t="s">
        <v>53</v>
      </c>
      <c r="G360" s="146" t="s">
        <v>53</v>
      </c>
      <c r="H360" s="337">
        <f t="shared" si="98"/>
        <v>700000</v>
      </c>
      <c r="I360" s="337">
        <f t="shared" si="99"/>
        <v>590000</v>
      </c>
      <c r="J360" s="337">
        <f t="shared" si="100"/>
        <v>0</v>
      </c>
      <c r="K360" s="337"/>
      <c r="L360" s="337"/>
      <c r="M360" s="337"/>
      <c r="N360" s="337"/>
      <c r="O360" s="337">
        <f t="shared" si="101"/>
        <v>590000</v>
      </c>
      <c r="P360" s="337">
        <v>590000</v>
      </c>
      <c r="Q360" s="337"/>
      <c r="R360" s="337"/>
      <c r="S360" s="337"/>
      <c r="T360" s="337">
        <f t="shared" si="102"/>
        <v>0</v>
      </c>
      <c r="U360" s="337"/>
      <c r="V360" s="337"/>
      <c r="W360" s="337"/>
      <c r="X360" s="337"/>
      <c r="Y360" s="337">
        <f t="shared" si="103"/>
        <v>0</v>
      </c>
      <c r="Z360" s="337"/>
      <c r="AA360" s="337"/>
      <c r="AB360" s="337"/>
      <c r="AC360" s="337"/>
      <c r="AD360" s="337"/>
      <c r="AE360" s="337"/>
      <c r="AF360" s="337">
        <v>110000</v>
      </c>
      <c r="AG360" s="337">
        <f t="shared" si="104"/>
        <v>700000</v>
      </c>
      <c r="AH360" s="337">
        <f t="shared" si="105"/>
        <v>590000</v>
      </c>
      <c r="AI360" s="337">
        <f t="shared" si="106"/>
        <v>0</v>
      </c>
      <c r="AJ360" s="337"/>
      <c r="AK360" s="337"/>
      <c r="AL360" s="337"/>
      <c r="AM360" s="337"/>
      <c r="AN360" s="337">
        <f t="shared" si="107"/>
        <v>590000</v>
      </c>
      <c r="AO360" s="337">
        <v>590000</v>
      </c>
      <c r="AP360" s="337"/>
      <c r="AQ360" s="337"/>
      <c r="AR360" s="337"/>
      <c r="AS360" s="337">
        <f t="shared" si="108"/>
        <v>0</v>
      </c>
      <c r="AT360" s="337"/>
      <c r="AU360" s="337"/>
      <c r="AV360" s="337"/>
      <c r="AW360" s="337"/>
      <c r="AX360" s="337">
        <f t="shared" si="109"/>
        <v>0</v>
      </c>
      <c r="AY360" s="337"/>
      <c r="AZ360" s="337"/>
      <c r="BA360" s="337"/>
      <c r="BB360" s="337"/>
      <c r="BC360" s="337"/>
      <c r="BD360" s="337"/>
      <c r="BE360" s="338">
        <v>110000</v>
      </c>
      <c r="BF360" s="139" t="s">
        <v>56</v>
      </c>
      <c r="BG360" s="339" t="s">
        <v>209</v>
      </c>
      <c r="BH360" s="147" t="s">
        <v>104</v>
      </c>
    </row>
    <row r="361" s="270" customFormat="1" ht="15" hidden="1" spans="1:60">
      <c r="A361" s="301">
        <v>354</v>
      </c>
      <c r="B361" s="302" t="s">
        <v>19</v>
      </c>
      <c r="C361" s="302" t="s">
        <v>20</v>
      </c>
      <c r="D361" s="301">
        <v>2020</v>
      </c>
      <c r="E361" s="303" t="s">
        <v>562</v>
      </c>
      <c r="F361" s="301" t="s">
        <v>53</v>
      </c>
      <c r="G361" s="238" t="s">
        <v>53</v>
      </c>
      <c r="H361" s="304">
        <f t="shared" si="98"/>
        <v>3169900</v>
      </c>
      <c r="I361" s="304">
        <f t="shared" si="99"/>
        <v>3169900</v>
      </c>
      <c r="J361" s="304">
        <f t="shared" si="100"/>
        <v>0</v>
      </c>
      <c r="K361" s="304"/>
      <c r="L361" s="304"/>
      <c r="M361" s="304"/>
      <c r="N361" s="304"/>
      <c r="O361" s="304">
        <f t="shared" si="101"/>
        <v>1427800</v>
      </c>
      <c r="P361" s="304"/>
      <c r="Q361" s="304">
        <v>1427800</v>
      </c>
      <c r="R361" s="304"/>
      <c r="S361" s="304"/>
      <c r="T361" s="304">
        <f t="shared" si="102"/>
        <v>1742100</v>
      </c>
      <c r="U361" s="304">
        <v>1742100</v>
      </c>
      <c r="V361" s="304"/>
      <c r="W361" s="304"/>
      <c r="X361" s="304"/>
      <c r="Y361" s="304">
        <f t="shared" si="103"/>
        <v>0</v>
      </c>
      <c r="Z361" s="304"/>
      <c r="AA361" s="304"/>
      <c r="AB361" s="304"/>
      <c r="AC361" s="304"/>
      <c r="AD361" s="304"/>
      <c r="AE361" s="304"/>
      <c r="AF361" s="304"/>
      <c r="AG361" s="304">
        <f t="shared" si="104"/>
        <v>3169900</v>
      </c>
      <c r="AH361" s="304">
        <f t="shared" si="105"/>
        <v>3169900</v>
      </c>
      <c r="AI361" s="304">
        <f t="shared" si="106"/>
        <v>0</v>
      </c>
      <c r="AJ361" s="304"/>
      <c r="AK361" s="304"/>
      <c r="AL361" s="304"/>
      <c r="AM361" s="304"/>
      <c r="AN361" s="304">
        <f t="shared" si="107"/>
        <v>1427800</v>
      </c>
      <c r="AO361" s="304"/>
      <c r="AP361" s="304">
        <v>1427800</v>
      </c>
      <c r="AQ361" s="304"/>
      <c r="AR361" s="304"/>
      <c r="AS361" s="304">
        <f t="shared" si="108"/>
        <v>1742100</v>
      </c>
      <c r="AT361" s="304">
        <v>1742100</v>
      </c>
      <c r="AU361" s="304"/>
      <c r="AV361" s="304"/>
      <c r="AW361" s="304"/>
      <c r="AX361" s="304">
        <f t="shared" si="109"/>
        <v>0</v>
      </c>
      <c r="AY361" s="304"/>
      <c r="AZ361" s="304"/>
      <c r="BA361" s="304"/>
      <c r="BB361" s="304"/>
      <c r="BC361" s="304"/>
      <c r="BD361" s="304"/>
      <c r="BE361" s="305">
        <v>0</v>
      </c>
      <c r="BF361" s="238" t="s">
        <v>53</v>
      </c>
      <c r="BG361" s="263" t="s">
        <v>54</v>
      </c>
      <c r="BH361" s="306" t="s">
        <v>563</v>
      </c>
    </row>
    <row r="362" s="270" customFormat="1" ht="15" hidden="1" spans="1:60">
      <c r="A362" s="301">
        <v>355</v>
      </c>
      <c r="B362" s="302" t="s">
        <v>19</v>
      </c>
      <c r="C362" s="302" t="s">
        <v>20</v>
      </c>
      <c r="D362" s="301">
        <v>2020</v>
      </c>
      <c r="E362" s="303" t="s">
        <v>564</v>
      </c>
      <c r="F362" s="301" t="s">
        <v>53</v>
      </c>
      <c r="G362" s="238" t="s">
        <v>53</v>
      </c>
      <c r="H362" s="304">
        <f t="shared" si="98"/>
        <v>5000000</v>
      </c>
      <c r="I362" s="304">
        <f t="shared" si="99"/>
        <v>5000000</v>
      </c>
      <c r="J362" s="304">
        <f t="shared" si="100"/>
        <v>0</v>
      </c>
      <c r="K362" s="304"/>
      <c r="L362" s="304"/>
      <c r="M362" s="304"/>
      <c r="N362" s="304"/>
      <c r="O362" s="304">
        <f t="shared" si="101"/>
        <v>5000000</v>
      </c>
      <c r="P362" s="304">
        <v>5000000</v>
      </c>
      <c r="Q362" s="304"/>
      <c r="R362" s="304"/>
      <c r="S362" s="304"/>
      <c r="T362" s="304">
        <f t="shared" si="102"/>
        <v>0</v>
      </c>
      <c r="U362" s="304"/>
      <c r="V362" s="304"/>
      <c r="W362" s="304"/>
      <c r="X362" s="304"/>
      <c r="Y362" s="304">
        <f t="shared" si="103"/>
        <v>0</v>
      </c>
      <c r="Z362" s="304"/>
      <c r="AA362" s="304"/>
      <c r="AB362" s="304"/>
      <c r="AC362" s="304"/>
      <c r="AD362" s="304"/>
      <c r="AE362" s="304"/>
      <c r="AF362" s="304"/>
      <c r="AG362" s="304">
        <f t="shared" si="104"/>
        <v>4919966.35</v>
      </c>
      <c r="AH362" s="304">
        <f t="shared" si="105"/>
        <v>4919966.35</v>
      </c>
      <c r="AI362" s="304">
        <f t="shared" si="106"/>
        <v>0</v>
      </c>
      <c r="AJ362" s="304"/>
      <c r="AK362" s="304"/>
      <c r="AL362" s="304"/>
      <c r="AM362" s="304"/>
      <c r="AN362" s="304">
        <f t="shared" si="107"/>
        <v>4919966.35</v>
      </c>
      <c r="AO362" s="304">
        <v>4919966.35</v>
      </c>
      <c r="AP362" s="304"/>
      <c r="AQ362" s="304"/>
      <c r="AR362" s="304"/>
      <c r="AS362" s="304">
        <f t="shared" si="108"/>
        <v>0</v>
      </c>
      <c r="AT362" s="304"/>
      <c r="AU362" s="304"/>
      <c r="AV362" s="304"/>
      <c r="AW362" s="304"/>
      <c r="AX362" s="304">
        <f t="shared" si="109"/>
        <v>0</v>
      </c>
      <c r="AY362" s="304"/>
      <c r="AZ362" s="304"/>
      <c r="BA362" s="304"/>
      <c r="BB362" s="304"/>
      <c r="BC362" s="304"/>
      <c r="BD362" s="304"/>
      <c r="BE362" s="305">
        <v>0</v>
      </c>
      <c r="BF362" s="238" t="s">
        <v>53</v>
      </c>
      <c r="BG362" s="263" t="s">
        <v>54</v>
      </c>
      <c r="BH362" s="306"/>
    </row>
    <row r="363" s="270" customFormat="1" ht="15" hidden="1" spans="1:60">
      <c r="A363" s="301">
        <v>356</v>
      </c>
      <c r="B363" s="302" t="s">
        <v>19</v>
      </c>
      <c r="C363" s="302" t="s">
        <v>20</v>
      </c>
      <c r="D363" s="301">
        <v>2020</v>
      </c>
      <c r="E363" s="303" t="s">
        <v>565</v>
      </c>
      <c r="F363" s="301" t="s">
        <v>53</v>
      </c>
      <c r="G363" s="238" t="s">
        <v>53</v>
      </c>
      <c r="H363" s="304">
        <f t="shared" si="98"/>
        <v>1130700</v>
      </c>
      <c r="I363" s="304">
        <f t="shared" si="99"/>
        <v>1130700</v>
      </c>
      <c r="J363" s="304">
        <f t="shared" si="100"/>
        <v>0</v>
      </c>
      <c r="K363" s="304"/>
      <c r="L363" s="304"/>
      <c r="M363" s="304"/>
      <c r="N363" s="304"/>
      <c r="O363" s="304">
        <f t="shared" si="101"/>
        <v>1130700</v>
      </c>
      <c r="P363" s="304"/>
      <c r="Q363" s="304">
        <v>230700</v>
      </c>
      <c r="R363" s="304"/>
      <c r="S363" s="304">
        <v>900000</v>
      </c>
      <c r="T363" s="304">
        <f t="shared" si="102"/>
        <v>0</v>
      </c>
      <c r="U363" s="304"/>
      <c r="V363" s="304"/>
      <c r="W363" s="304"/>
      <c r="X363" s="304"/>
      <c r="Y363" s="304">
        <f t="shared" si="103"/>
        <v>0</v>
      </c>
      <c r="Z363" s="304"/>
      <c r="AA363" s="304"/>
      <c r="AB363" s="304"/>
      <c r="AC363" s="304"/>
      <c r="AD363" s="304"/>
      <c r="AE363" s="304"/>
      <c r="AF363" s="304"/>
      <c r="AG363" s="304">
        <f t="shared" si="104"/>
        <v>1043300.65</v>
      </c>
      <c r="AH363" s="304">
        <f t="shared" si="105"/>
        <v>1043300.65</v>
      </c>
      <c r="AI363" s="304">
        <f t="shared" si="106"/>
        <v>0</v>
      </c>
      <c r="AJ363" s="304"/>
      <c r="AK363" s="304"/>
      <c r="AL363" s="304"/>
      <c r="AM363" s="304"/>
      <c r="AN363" s="304">
        <f t="shared" si="107"/>
        <v>1043300.65</v>
      </c>
      <c r="AO363" s="304"/>
      <c r="AP363" s="304">
        <v>230700</v>
      </c>
      <c r="AQ363" s="304"/>
      <c r="AR363" s="304">
        <v>812600.65</v>
      </c>
      <c r="AS363" s="304">
        <f t="shared" si="108"/>
        <v>0</v>
      </c>
      <c r="AT363" s="304"/>
      <c r="AU363" s="304"/>
      <c r="AV363" s="304"/>
      <c r="AW363" s="304"/>
      <c r="AX363" s="304">
        <f t="shared" si="109"/>
        <v>0</v>
      </c>
      <c r="AY363" s="304"/>
      <c r="AZ363" s="304"/>
      <c r="BA363" s="304"/>
      <c r="BB363" s="304"/>
      <c r="BC363" s="304"/>
      <c r="BD363" s="304"/>
      <c r="BE363" s="305">
        <v>0</v>
      </c>
      <c r="BF363" s="238" t="s">
        <v>53</v>
      </c>
      <c r="BG363" s="263" t="s">
        <v>70</v>
      </c>
      <c r="BH363" s="306"/>
    </row>
    <row r="364" s="270" customFormat="1" ht="15" hidden="1" spans="1:60">
      <c r="A364" s="301">
        <v>357</v>
      </c>
      <c r="B364" s="302" t="s">
        <v>19</v>
      </c>
      <c r="C364" s="302" t="s">
        <v>20</v>
      </c>
      <c r="D364" s="301">
        <v>2020</v>
      </c>
      <c r="E364" s="303" t="s">
        <v>566</v>
      </c>
      <c r="F364" s="301" t="s">
        <v>53</v>
      </c>
      <c r="G364" s="238" t="s">
        <v>53</v>
      </c>
      <c r="H364" s="304">
        <f t="shared" si="98"/>
        <v>1832400</v>
      </c>
      <c r="I364" s="304">
        <f t="shared" si="99"/>
        <v>1832400</v>
      </c>
      <c r="J364" s="304">
        <f t="shared" si="100"/>
        <v>0</v>
      </c>
      <c r="K364" s="304"/>
      <c r="L364" s="304"/>
      <c r="M364" s="304"/>
      <c r="N364" s="304"/>
      <c r="O364" s="304">
        <f t="shared" si="101"/>
        <v>1832400</v>
      </c>
      <c r="P364" s="304"/>
      <c r="Q364" s="304">
        <v>279200</v>
      </c>
      <c r="R364" s="304"/>
      <c r="S364" s="304">
        <v>1553200</v>
      </c>
      <c r="T364" s="304">
        <f t="shared" si="102"/>
        <v>0</v>
      </c>
      <c r="U364" s="304"/>
      <c r="V364" s="304"/>
      <c r="W364" s="304"/>
      <c r="X364" s="304"/>
      <c r="Y364" s="304">
        <f t="shared" si="103"/>
        <v>0</v>
      </c>
      <c r="Z364" s="304"/>
      <c r="AA364" s="304"/>
      <c r="AB364" s="304"/>
      <c r="AC364" s="304"/>
      <c r="AD364" s="304"/>
      <c r="AE364" s="304"/>
      <c r="AF364" s="304"/>
      <c r="AG364" s="304">
        <f t="shared" si="104"/>
        <v>1763802.01</v>
      </c>
      <c r="AH364" s="304">
        <f t="shared" si="105"/>
        <v>1763802.01</v>
      </c>
      <c r="AI364" s="304">
        <f t="shared" si="106"/>
        <v>0</v>
      </c>
      <c r="AJ364" s="304"/>
      <c r="AK364" s="304"/>
      <c r="AL364" s="304"/>
      <c r="AM364" s="304"/>
      <c r="AN364" s="304">
        <f t="shared" si="107"/>
        <v>1763802.01</v>
      </c>
      <c r="AO364" s="304"/>
      <c r="AP364" s="304">
        <v>279200</v>
      </c>
      <c r="AQ364" s="304"/>
      <c r="AR364" s="304">
        <v>1484602.01</v>
      </c>
      <c r="AS364" s="304">
        <f t="shared" si="108"/>
        <v>0</v>
      </c>
      <c r="AT364" s="304"/>
      <c r="AU364" s="304"/>
      <c r="AV364" s="304"/>
      <c r="AW364" s="304"/>
      <c r="AX364" s="304">
        <f t="shared" si="109"/>
        <v>0</v>
      </c>
      <c r="AY364" s="304"/>
      <c r="AZ364" s="304"/>
      <c r="BA364" s="304"/>
      <c r="BB364" s="304"/>
      <c r="BC364" s="304"/>
      <c r="BD364" s="304"/>
      <c r="BE364" s="305">
        <v>0</v>
      </c>
      <c r="BF364" s="238" t="s">
        <v>53</v>
      </c>
      <c r="BG364" s="263" t="s">
        <v>54</v>
      </c>
      <c r="BH364" s="306"/>
    </row>
    <row r="365" s="270" customFormat="1" ht="15" hidden="1" spans="1:60">
      <c r="A365" s="301">
        <v>358</v>
      </c>
      <c r="B365" s="302" t="s">
        <v>19</v>
      </c>
      <c r="C365" s="302" t="s">
        <v>20</v>
      </c>
      <c r="D365" s="301">
        <v>2021</v>
      </c>
      <c r="E365" s="303" t="s">
        <v>567</v>
      </c>
      <c r="F365" s="301" t="s">
        <v>53</v>
      </c>
      <c r="G365" s="238" t="s">
        <v>56</v>
      </c>
      <c r="H365" s="304">
        <f t="shared" si="98"/>
        <v>2350000</v>
      </c>
      <c r="I365" s="304">
        <f t="shared" si="99"/>
        <v>2350000</v>
      </c>
      <c r="J365" s="304">
        <f t="shared" si="100"/>
        <v>0</v>
      </c>
      <c r="K365" s="304"/>
      <c r="L365" s="304"/>
      <c r="M365" s="304"/>
      <c r="N365" s="304"/>
      <c r="O365" s="304">
        <f t="shared" si="101"/>
        <v>2350000</v>
      </c>
      <c r="P365" s="304"/>
      <c r="Q365" s="304"/>
      <c r="R365" s="304"/>
      <c r="S365" s="304">
        <v>2350000</v>
      </c>
      <c r="T365" s="304">
        <f t="shared" si="102"/>
        <v>0</v>
      </c>
      <c r="U365" s="304"/>
      <c r="V365" s="304"/>
      <c r="W365" s="304"/>
      <c r="X365" s="304"/>
      <c r="Y365" s="304">
        <f t="shared" si="103"/>
        <v>0</v>
      </c>
      <c r="Z365" s="304"/>
      <c r="AA365" s="304"/>
      <c r="AB365" s="304"/>
      <c r="AC365" s="304"/>
      <c r="AD365" s="304"/>
      <c r="AE365" s="304"/>
      <c r="AF365" s="304"/>
      <c r="AG365" s="304">
        <f t="shared" si="104"/>
        <v>2063473.66</v>
      </c>
      <c r="AH365" s="304">
        <f t="shared" si="105"/>
        <v>2063473.66</v>
      </c>
      <c r="AI365" s="304">
        <f t="shared" si="106"/>
        <v>0</v>
      </c>
      <c r="AJ365" s="304"/>
      <c r="AK365" s="304"/>
      <c r="AL365" s="304"/>
      <c r="AM365" s="304"/>
      <c r="AN365" s="304">
        <f t="shared" si="107"/>
        <v>2063473.66</v>
      </c>
      <c r="AO365" s="304"/>
      <c r="AP365" s="304"/>
      <c r="AQ365" s="304"/>
      <c r="AR365" s="304">
        <v>2063473.66</v>
      </c>
      <c r="AS365" s="304">
        <f t="shared" si="108"/>
        <v>0</v>
      </c>
      <c r="AT365" s="304"/>
      <c r="AU365" s="304"/>
      <c r="AV365" s="304"/>
      <c r="AW365" s="304"/>
      <c r="AX365" s="304">
        <f t="shared" si="109"/>
        <v>0</v>
      </c>
      <c r="AY365" s="304"/>
      <c r="AZ365" s="304"/>
      <c r="BA365" s="304"/>
      <c r="BB365" s="304"/>
      <c r="BC365" s="304"/>
      <c r="BD365" s="304"/>
      <c r="BE365" s="305"/>
      <c r="BF365" s="238" t="s">
        <v>53</v>
      </c>
      <c r="BG365" s="263" t="s">
        <v>54</v>
      </c>
      <c r="BH365" s="306" t="s">
        <v>67</v>
      </c>
    </row>
    <row r="366" s="78" customFormat="1" ht="15" hidden="1" spans="1:60">
      <c r="A366" s="301">
        <v>359</v>
      </c>
      <c r="B366" s="307" t="s">
        <v>19</v>
      </c>
      <c r="C366" s="307" t="s">
        <v>20</v>
      </c>
      <c r="D366" s="308">
        <v>2021</v>
      </c>
      <c r="E366" s="313" t="s">
        <v>568</v>
      </c>
      <c r="F366" s="308" t="s">
        <v>53</v>
      </c>
      <c r="G366" s="127" t="s">
        <v>56</v>
      </c>
      <c r="H366" s="310">
        <f t="shared" si="98"/>
        <v>3000000</v>
      </c>
      <c r="I366" s="310">
        <f t="shared" si="99"/>
        <v>3000000</v>
      </c>
      <c r="J366" s="310">
        <f t="shared" si="100"/>
        <v>0</v>
      </c>
      <c r="K366" s="310"/>
      <c r="L366" s="310"/>
      <c r="M366" s="310"/>
      <c r="N366" s="310"/>
      <c r="O366" s="310">
        <f t="shared" si="101"/>
        <v>0</v>
      </c>
      <c r="P366" s="310"/>
      <c r="Q366" s="310"/>
      <c r="R366" s="310"/>
      <c r="S366" s="310"/>
      <c r="T366" s="310">
        <f t="shared" si="102"/>
        <v>0</v>
      </c>
      <c r="U366" s="310"/>
      <c r="V366" s="310"/>
      <c r="W366" s="310"/>
      <c r="X366" s="310"/>
      <c r="Y366" s="310">
        <f t="shared" si="103"/>
        <v>3000000</v>
      </c>
      <c r="Z366" s="310"/>
      <c r="AA366" s="310">
        <v>3000000</v>
      </c>
      <c r="AB366" s="310"/>
      <c r="AC366" s="310"/>
      <c r="AD366" s="310"/>
      <c r="AE366" s="310"/>
      <c r="AF366" s="310"/>
      <c r="AG366" s="310">
        <f t="shared" si="104"/>
        <v>2848548.23</v>
      </c>
      <c r="AH366" s="310">
        <f t="shared" si="105"/>
        <v>2848548.23</v>
      </c>
      <c r="AI366" s="310">
        <f t="shared" si="106"/>
        <v>0</v>
      </c>
      <c r="AJ366" s="310"/>
      <c r="AK366" s="310"/>
      <c r="AL366" s="310"/>
      <c r="AM366" s="310"/>
      <c r="AN366" s="310">
        <f t="shared" si="107"/>
        <v>0</v>
      </c>
      <c r="AO366" s="310"/>
      <c r="AP366" s="310"/>
      <c r="AQ366" s="310"/>
      <c r="AR366" s="310"/>
      <c r="AS366" s="310">
        <f t="shared" si="108"/>
        <v>0</v>
      </c>
      <c r="AT366" s="310"/>
      <c r="AU366" s="310"/>
      <c r="AV366" s="310"/>
      <c r="AW366" s="310"/>
      <c r="AX366" s="310">
        <f t="shared" si="109"/>
        <v>2848548.23</v>
      </c>
      <c r="AY366" s="310"/>
      <c r="AZ366" s="310">
        <v>2848548.23</v>
      </c>
      <c r="BA366" s="310"/>
      <c r="BB366" s="310"/>
      <c r="BC366" s="310"/>
      <c r="BD366" s="310"/>
      <c r="BE366" s="312"/>
      <c r="BF366" s="134" t="s">
        <v>56</v>
      </c>
      <c r="BG366" s="315" t="s">
        <v>167</v>
      </c>
      <c r="BH366" s="137" t="s">
        <v>569</v>
      </c>
    </row>
    <row r="367" s="78" customFormat="1" ht="15" hidden="1" spans="1:60">
      <c r="A367" s="301">
        <v>360</v>
      </c>
      <c r="B367" s="307" t="s">
        <v>19</v>
      </c>
      <c r="C367" s="307" t="s">
        <v>20</v>
      </c>
      <c r="D367" s="308">
        <v>2021</v>
      </c>
      <c r="E367" s="313" t="s">
        <v>570</v>
      </c>
      <c r="F367" s="308" t="s">
        <v>53</v>
      </c>
      <c r="G367" s="127" t="s">
        <v>53</v>
      </c>
      <c r="H367" s="310">
        <f t="shared" si="98"/>
        <v>1890500</v>
      </c>
      <c r="I367" s="310">
        <f t="shared" si="99"/>
        <v>1890500</v>
      </c>
      <c r="J367" s="310">
        <f t="shared" si="100"/>
        <v>0</v>
      </c>
      <c r="K367" s="310"/>
      <c r="L367" s="310"/>
      <c r="M367" s="310"/>
      <c r="N367" s="310"/>
      <c r="O367" s="310">
        <f t="shared" si="101"/>
        <v>0</v>
      </c>
      <c r="P367" s="310"/>
      <c r="Q367" s="310"/>
      <c r="R367" s="310"/>
      <c r="S367" s="310"/>
      <c r="T367" s="310">
        <f t="shared" si="102"/>
        <v>1890500</v>
      </c>
      <c r="U367" s="310">
        <v>1250000</v>
      </c>
      <c r="V367" s="310">
        <v>640500</v>
      </c>
      <c r="W367" s="310"/>
      <c r="X367" s="310"/>
      <c r="Y367" s="310">
        <f t="shared" si="103"/>
        <v>0</v>
      </c>
      <c r="Z367" s="310"/>
      <c r="AA367" s="310"/>
      <c r="AB367" s="310"/>
      <c r="AC367" s="310"/>
      <c r="AD367" s="310"/>
      <c r="AE367" s="310"/>
      <c r="AF367" s="310"/>
      <c r="AG367" s="310">
        <f t="shared" si="104"/>
        <v>1852984.9</v>
      </c>
      <c r="AH367" s="310">
        <f t="shared" si="105"/>
        <v>1852984.9</v>
      </c>
      <c r="AI367" s="310">
        <f t="shared" si="106"/>
        <v>0</v>
      </c>
      <c r="AJ367" s="310"/>
      <c r="AK367" s="310"/>
      <c r="AL367" s="310"/>
      <c r="AM367" s="310"/>
      <c r="AN367" s="310">
        <f t="shared" si="107"/>
        <v>0</v>
      </c>
      <c r="AO367" s="310"/>
      <c r="AP367" s="310"/>
      <c r="AQ367" s="310"/>
      <c r="AR367" s="310"/>
      <c r="AS367" s="310">
        <f t="shared" si="108"/>
        <v>1852984.9</v>
      </c>
      <c r="AT367" s="310">
        <v>1250000</v>
      </c>
      <c r="AU367" s="310">
        <v>602984.9</v>
      </c>
      <c r="AV367" s="310"/>
      <c r="AW367" s="310"/>
      <c r="AX367" s="310">
        <f t="shared" si="109"/>
        <v>0</v>
      </c>
      <c r="AY367" s="310"/>
      <c r="AZ367" s="310"/>
      <c r="BA367" s="310"/>
      <c r="BB367" s="310"/>
      <c r="BC367" s="310"/>
      <c r="BD367" s="310"/>
      <c r="BE367" s="312">
        <v>0</v>
      </c>
      <c r="BF367" s="134" t="s">
        <v>56</v>
      </c>
      <c r="BG367" s="315" t="s">
        <v>314</v>
      </c>
      <c r="BH367" s="137" t="s">
        <v>157</v>
      </c>
    </row>
    <row r="368" s="78" customFormat="1" ht="15" hidden="1" spans="1:60">
      <c r="A368" s="301">
        <v>361</v>
      </c>
      <c r="B368" s="307" t="s">
        <v>19</v>
      </c>
      <c r="C368" s="307" t="s">
        <v>20</v>
      </c>
      <c r="D368" s="308">
        <v>2021</v>
      </c>
      <c r="E368" s="313" t="s">
        <v>571</v>
      </c>
      <c r="F368" s="308" t="s">
        <v>53</v>
      </c>
      <c r="G368" s="127" t="s">
        <v>56</v>
      </c>
      <c r="H368" s="310">
        <f t="shared" si="98"/>
        <v>3140000</v>
      </c>
      <c r="I368" s="311">
        <f t="shared" si="99"/>
        <v>3140000</v>
      </c>
      <c r="J368" s="310">
        <f t="shared" si="100"/>
        <v>0</v>
      </c>
      <c r="K368" s="311"/>
      <c r="L368" s="311"/>
      <c r="M368" s="311"/>
      <c r="N368" s="311"/>
      <c r="O368" s="310">
        <f t="shared" si="101"/>
        <v>0</v>
      </c>
      <c r="P368" s="311"/>
      <c r="Q368" s="311"/>
      <c r="R368" s="311"/>
      <c r="S368" s="311"/>
      <c r="T368" s="310">
        <f t="shared" si="102"/>
        <v>3140000</v>
      </c>
      <c r="U368" s="311">
        <v>1236500</v>
      </c>
      <c r="V368" s="311">
        <v>1742300</v>
      </c>
      <c r="W368" s="311"/>
      <c r="X368" s="311">
        <v>161200</v>
      </c>
      <c r="Y368" s="310">
        <f t="shared" si="103"/>
        <v>0</v>
      </c>
      <c r="Z368" s="311"/>
      <c r="AA368" s="311"/>
      <c r="AB368" s="311"/>
      <c r="AC368" s="311"/>
      <c r="AD368" s="311"/>
      <c r="AE368" s="311"/>
      <c r="AF368" s="311"/>
      <c r="AG368" s="310">
        <f t="shared" si="104"/>
        <v>3022099.63</v>
      </c>
      <c r="AH368" s="310">
        <f t="shared" si="105"/>
        <v>3022099.63</v>
      </c>
      <c r="AI368" s="310">
        <f t="shared" si="106"/>
        <v>0</v>
      </c>
      <c r="AJ368" s="310"/>
      <c r="AK368" s="310"/>
      <c r="AL368" s="310"/>
      <c r="AM368" s="310"/>
      <c r="AN368" s="310">
        <f t="shared" si="107"/>
        <v>0</v>
      </c>
      <c r="AO368" s="310"/>
      <c r="AP368" s="310"/>
      <c r="AQ368" s="310"/>
      <c r="AR368" s="310"/>
      <c r="AS368" s="310">
        <f t="shared" si="108"/>
        <v>3022099.63</v>
      </c>
      <c r="AT368" s="310">
        <v>1236500</v>
      </c>
      <c r="AU368" s="310">
        <v>1742300</v>
      </c>
      <c r="AV368" s="310"/>
      <c r="AW368" s="310">
        <v>43299.6299999999</v>
      </c>
      <c r="AX368" s="310">
        <f t="shared" si="109"/>
        <v>0</v>
      </c>
      <c r="AY368" s="310"/>
      <c r="AZ368" s="310"/>
      <c r="BA368" s="310"/>
      <c r="BB368" s="310"/>
      <c r="BC368" s="310"/>
      <c r="BD368" s="310"/>
      <c r="BE368" s="312"/>
      <c r="BF368" s="134" t="s">
        <v>56</v>
      </c>
      <c r="BG368" s="315" t="s">
        <v>162</v>
      </c>
      <c r="BH368" s="137" t="s">
        <v>82</v>
      </c>
    </row>
    <row r="369" s="78" customFormat="1" ht="15" hidden="1" spans="1:60">
      <c r="A369" s="301">
        <v>362</v>
      </c>
      <c r="B369" s="307" t="s">
        <v>19</v>
      </c>
      <c r="C369" s="307" t="s">
        <v>20</v>
      </c>
      <c r="D369" s="308">
        <v>2021</v>
      </c>
      <c r="E369" s="313" t="s">
        <v>572</v>
      </c>
      <c r="F369" s="308" t="s">
        <v>53</v>
      </c>
      <c r="G369" s="127" t="s">
        <v>56</v>
      </c>
      <c r="H369" s="310">
        <f t="shared" si="98"/>
        <v>2568800</v>
      </c>
      <c r="I369" s="311">
        <f t="shared" si="99"/>
        <v>2568800</v>
      </c>
      <c r="J369" s="310">
        <f t="shared" si="100"/>
        <v>0</v>
      </c>
      <c r="K369" s="311"/>
      <c r="L369" s="311"/>
      <c r="M369" s="311"/>
      <c r="N369" s="311"/>
      <c r="O369" s="310">
        <f t="shared" si="101"/>
        <v>0</v>
      </c>
      <c r="P369" s="311"/>
      <c r="Q369" s="311"/>
      <c r="R369" s="311"/>
      <c r="S369" s="311"/>
      <c r="T369" s="310">
        <f t="shared" si="102"/>
        <v>2568800</v>
      </c>
      <c r="U369" s="311"/>
      <c r="V369" s="311">
        <v>296000</v>
      </c>
      <c r="W369" s="311"/>
      <c r="X369" s="311">
        <v>2272800</v>
      </c>
      <c r="Y369" s="310">
        <f t="shared" si="103"/>
        <v>0</v>
      </c>
      <c r="Z369" s="311"/>
      <c r="AA369" s="311"/>
      <c r="AB369" s="311"/>
      <c r="AC369" s="311"/>
      <c r="AD369" s="311"/>
      <c r="AE369" s="311"/>
      <c r="AF369" s="311"/>
      <c r="AG369" s="310">
        <f t="shared" si="104"/>
        <v>2377717.58</v>
      </c>
      <c r="AH369" s="310">
        <f t="shared" si="105"/>
        <v>2377717.58</v>
      </c>
      <c r="AI369" s="310">
        <f t="shared" si="106"/>
        <v>0</v>
      </c>
      <c r="AJ369" s="310"/>
      <c r="AK369" s="310"/>
      <c r="AL369" s="310"/>
      <c r="AM369" s="310"/>
      <c r="AN369" s="310">
        <f t="shared" si="107"/>
        <v>0</v>
      </c>
      <c r="AO369" s="310"/>
      <c r="AP369" s="310"/>
      <c r="AQ369" s="310"/>
      <c r="AR369" s="310"/>
      <c r="AS369" s="310">
        <f t="shared" si="108"/>
        <v>2377717.58</v>
      </c>
      <c r="AT369" s="310"/>
      <c r="AU369" s="310">
        <v>296000</v>
      </c>
      <c r="AV369" s="310"/>
      <c r="AW369" s="310">
        <v>2081717.58</v>
      </c>
      <c r="AX369" s="310">
        <f t="shared" si="109"/>
        <v>0</v>
      </c>
      <c r="AY369" s="310"/>
      <c r="AZ369" s="310"/>
      <c r="BA369" s="310"/>
      <c r="BB369" s="310"/>
      <c r="BC369" s="310"/>
      <c r="BD369" s="310"/>
      <c r="BE369" s="312"/>
      <c r="BF369" s="134" t="s">
        <v>56</v>
      </c>
      <c r="BG369" s="315" t="s">
        <v>162</v>
      </c>
      <c r="BH369" s="137" t="s">
        <v>157</v>
      </c>
    </row>
    <row r="370" s="78" customFormat="1" ht="15" hidden="1" spans="1:60">
      <c r="A370" s="301">
        <v>363</v>
      </c>
      <c r="B370" s="307" t="s">
        <v>19</v>
      </c>
      <c r="C370" s="307" t="s">
        <v>20</v>
      </c>
      <c r="D370" s="308">
        <v>2021</v>
      </c>
      <c r="E370" s="313" t="s">
        <v>573</v>
      </c>
      <c r="F370" s="308" t="s">
        <v>53</v>
      </c>
      <c r="G370" s="127" t="s">
        <v>56</v>
      </c>
      <c r="H370" s="310">
        <f t="shared" si="98"/>
        <v>1104800</v>
      </c>
      <c r="I370" s="311">
        <f t="shared" si="99"/>
        <v>1104800</v>
      </c>
      <c r="J370" s="310">
        <f t="shared" si="100"/>
        <v>0</v>
      </c>
      <c r="K370" s="311"/>
      <c r="L370" s="311"/>
      <c r="M370" s="311"/>
      <c r="N370" s="311"/>
      <c r="O370" s="310">
        <f t="shared" si="101"/>
        <v>0</v>
      </c>
      <c r="P370" s="311"/>
      <c r="Q370" s="311"/>
      <c r="R370" s="311"/>
      <c r="S370" s="311"/>
      <c r="T370" s="310">
        <f t="shared" si="102"/>
        <v>1104800</v>
      </c>
      <c r="U370" s="311"/>
      <c r="V370" s="311"/>
      <c r="W370" s="311"/>
      <c r="X370" s="311">
        <v>1104800</v>
      </c>
      <c r="Y370" s="310">
        <f t="shared" si="103"/>
        <v>0</v>
      </c>
      <c r="Z370" s="311"/>
      <c r="AA370" s="311"/>
      <c r="AB370" s="311"/>
      <c r="AC370" s="311"/>
      <c r="AD370" s="311"/>
      <c r="AE370" s="311"/>
      <c r="AF370" s="311"/>
      <c r="AG370" s="310">
        <f t="shared" si="104"/>
        <v>1046931.44</v>
      </c>
      <c r="AH370" s="310">
        <f t="shared" si="105"/>
        <v>1046931.44</v>
      </c>
      <c r="AI370" s="310">
        <f t="shared" si="106"/>
        <v>0</v>
      </c>
      <c r="AJ370" s="310"/>
      <c r="AK370" s="310"/>
      <c r="AL370" s="310"/>
      <c r="AM370" s="310"/>
      <c r="AN370" s="310">
        <f t="shared" si="107"/>
        <v>0</v>
      </c>
      <c r="AO370" s="310"/>
      <c r="AP370" s="310"/>
      <c r="AQ370" s="310"/>
      <c r="AR370" s="310"/>
      <c r="AS370" s="310">
        <f t="shared" si="108"/>
        <v>1046931.44</v>
      </c>
      <c r="AT370" s="310"/>
      <c r="AU370" s="310"/>
      <c r="AV370" s="310"/>
      <c r="AW370" s="310">
        <v>1046931.44</v>
      </c>
      <c r="AX370" s="310">
        <f t="shared" si="109"/>
        <v>0</v>
      </c>
      <c r="AY370" s="310"/>
      <c r="AZ370" s="310"/>
      <c r="BA370" s="310"/>
      <c r="BB370" s="310"/>
      <c r="BC370" s="310"/>
      <c r="BD370" s="310"/>
      <c r="BE370" s="312"/>
      <c r="BF370" s="134" t="s">
        <v>56</v>
      </c>
      <c r="BG370" s="315" t="s">
        <v>162</v>
      </c>
      <c r="BH370" s="137" t="s">
        <v>90</v>
      </c>
    </row>
    <row r="371" s="78" customFormat="1" ht="15" hidden="1" spans="1:60">
      <c r="A371" s="301">
        <v>364</v>
      </c>
      <c r="B371" s="307" t="s">
        <v>19</v>
      </c>
      <c r="C371" s="307" t="s">
        <v>20</v>
      </c>
      <c r="D371" s="308">
        <v>2020</v>
      </c>
      <c r="E371" s="313" t="s">
        <v>574</v>
      </c>
      <c r="F371" s="308" t="s">
        <v>53</v>
      </c>
      <c r="G371" s="127" t="s">
        <v>56</v>
      </c>
      <c r="H371" s="310">
        <f t="shared" si="98"/>
        <v>8980000</v>
      </c>
      <c r="I371" s="310">
        <f t="shared" si="99"/>
        <v>8980000</v>
      </c>
      <c r="J371" s="310">
        <f t="shared" si="100"/>
        <v>0</v>
      </c>
      <c r="K371" s="311"/>
      <c r="L371" s="311"/>
      <c r="M371" s="311"/>
      <c r="N371" s="311"/>
      <c r="O371" s="310">
        <f t="shared" si="101"/>
        <v>0</v>
      </c>
      <c r="P371" s="311"/>
      <c r="Q371" s="311"/>
      <c r="R371" s="311"/>
      <c r="S371" s="311"/>
      <c r="T371" s="310">
        <f t="shared" si="102"/>
        <v>8980000</v>
      </c>
      <c r="U371" s="311">
        <v>4010400</v>
      </c>
      <c r="V371" s="311"/>
      <c r="W371" s="311"/>
      <c r="X371" s="311">
        <v>4969600</v>
      </c>
      <c r="Y371" s="310">
        <f t="shared" si="103"/>
        <v>0</v>
      </c>
      <c r="Z371" s="311"/>
      <c r="AA371" s="311"/>
      <c r="AB371" s="311"/>
      <c r="AC371" s="311"/>
      <c r="AD371" s="311"/>
      <c r="AE371" s="311"/>
      <c r="AF371" s="311"/>
      <c r="AG371" s="310">
        <f t="shared" si="104"/>
        <v>8751026.61</v>
      </c>
      <c r="AH371" s="310">
        <f t="shared" si="105"/>
        <v>8751026.61</v>
      </c>
      <c r="AI371" s="310">
        <f t="shared" si="106"/>
        <v>0</v>
      </c>
      <c r="AJ371" s="310"/>
      <c r="AK371" s="310"/>
      <c r="AL371" s="310"/>
      <c r="AM371" s="310"/>
      <c r="AN371" s="310">
        <f t="shared" si="107"/>
        <v>0</v>
      </c>
      <c r="AO371" s="310"/>
      <c r="AP371" s="310"/>
      <c r="AQ371" s="310"/>
      <c r="AR371" s="310"/>
      <c r="AS371" s="310">
        <f t="shared" si="108"/>
        <v>8751026.61</v>
      </c>
      <c r="AT371" s="310">
        <v>4010400</v>
      </c>
      <c r="AU371" s="310"/>
      <c r="AV371" s="310"/>
      <c r="AW371" s="310">
        <v>4740626.61</v>
      </c>
      <c r="AX371" s="310">
        <f t="shared" si="109"/>
        <v>0</v>
      </c>
      <c r="AY371" s="310"/>
      <c r="AZ371" s="310"/>
      <c r="BA371" s="310"/>
      <c r="BB371" s="310"/>
      <c r="BC371" s="310"/>
      <c r="BD371" s="310"/>
      <c r="BE371" s="312"/>
      <c r="BF371" s="134" t="s">
        <v>56</v>
      </c>
      <c r="BG371" s="315" t="s">
        <v>167</v>
      </c>
      <c r="BH371" s="137" t="s">
        <v>157</v>
      </c>
    </row>
    <row r="372" s="78" customFormat="1" ht="15" hidden="1" spans="1:60">
      <c r="A372" s="301">
        <v>365</v>
      </c>
      <c r="B372" s="307" t="s">
        <v>19</v>
      </c>
      <c r="C372" s="307" t="s">
        <v>20</v>
      </c>
      <c r="D372" s="308">
        <v>2021</v>
      </c>
      <c r="E372" s="313" t="s">
        <v>575</v>
      </c>
      <c r="F372" s="308" t="s">
        <v>53</v>
      </c>
      <c r="G372" s="127" t="s">
        <v>56</v>
      </c>
      <c r="H372" s="310">
        <f t="shared" ref="H372:H435" si="110">I372+AF372</f>
        <v>4987000</v>
      </c>
      <c r="I372" s="311">
        <f t="shared" ref="I372:I435" si="111">O372+J372+T372+Y372+AE372+AC372+AD372</f>
        <v>4987000</v>
      </c>
      <c r="J372" s="310">
        <f t="shared" ref="J372:J435" si="112">N372+M372+L372+K372</f>
        <v>0</v>
      </c>
      <c r="K372" s="311"/>
      <c r="L372" s="311"/>
      <c r="M372" s="311"/>
      <c r="N372" s="311"/>
      <c r="O372" s="310">
        <f t="shared" ref="O372:O435" si="113">S372+R372+Q372+P372</f>
        <v>0</v>
      </c>
      <c r="P372" s="311"/>
      <c r="Q372" s="311"/>
      <c r="R372" s="311"/>
      <c r="S372" s="311"/>
      <c r="T372" s="310">
        <f t="shared" ref="T372:T435" si="114">U372+V372+W372+X372</f>
        <v>4987000</v>
      </c>
      <c r="U372" s="311">
        <v>2487000</v>
      </c>
      <c r="V372" s="311"/>
      <c r="W372" s="311">
        <v>2500000</v>
      </c>
      <c r="X372" s="311"/>
      <c r="Y372" s="310">
        <f t="shared" ref="Y372:Y435" si="115">AA372+Z372+AB372</f>
        <v>0</v>
      </c>
      <c r="Z372" s="311"/>
      <c r="AA372" s="311"/>
      <c r="AB372" s="311"/>
      <c r="AC372" s="311"/>
      <c r="AD372" s="311"/>
      <c r="AE372" s="311"/>
      <c r="AF372" s="311"/>
      <c r="AG372" s="310">
        <f t="shared" ref="AG372:AG435" si="116">AH372+BE372</f>
        <v>4987000</v>
      </c>
      <c r="AH372" s="310">
        <f t="shared" ref="AH372:AH435" si="117">AN372+AI372+AS372+AX372+BD372+BB372+BC372</f>
        <v>4987000</v>
      </c>
      <c r="AI372" s="310">
        <f t="shared" ref="AI372:AI435" si="118">AM372+AL372+AK372+AJ372</f>
        <v>0</v>
      </c>
      <c r="AJ372" s="310"/>
      <c r="AK372" s="310"/>
      <c r="AL372" s="310"/>
      <c r="AM372" s="310"/>
      <c r="AN372" s="310">
        <f t="shared" ref="AN372:AN435" si="119">AR372+AQ372+AP372+AO372</f>
        <v>0</v>
      </c>
      <c r="AO372" s="310"/>
      <c r="AP372" s="310"/>
      <c r="AQ372" s="310"/>
      <c r="AR372" s="310"/>
      <c r="AS372" s="310">
        <f t="shared" ref="AS372:AS435" si="120">AW372+AV372+AU372+AT372</f>
        <v>4987000</v>
      </c>
      <c r="AT372" s="310">
        <v>2487000</v>
      </c>
      <c r="AU372" s="310"/>
      <c r="AV372" s="310">
        <v>2500000</v>
      </c>
      <c r="AW372" s="310"/>
      <c r="AX372" s="310">
        <f t="shared" ref="AX372:AX435" si="121">AZ372+AY372+BA372</f>
        <v>0</v>
      </c>
      <c r="AY372" s="310"/>
      <c r="AZ372" s="310"/>
      <c r="BA372" s="310"/>
      <c r="BB372" s="310"/>
      <c r="BC372" s="310"/>
      <c r="BD372" s="310"/>
      <c r="BE372" s="312"/>
      <c r="BF372" s="134" t="s">
        <v>56</v>
      </c>
      <c r="BG372" s="315" t="s">
        <v>156</v>
      </c>
      <c r="BH372" s="137" t="s">
        <v>157</v>
      </c>
    </row>
    <row r="373" s="270" customFormat="1" ht="15" hidden="1" spans="1:60">
      <c r="A373" s="301">
        <v>366</v>
      </c>
      <c r="B373" s="302" t="s">
        <v>19</v>
      </c>
      <c r="C373" s="302" t="s">
        <v>20</v>
      </c>
      <c r="D373" s="301">
        <v>2021</v>
      </c>
      <c r="E373" s="303" t="s">
        <v>576</v>
      </c>
      <c r="F373" s="301" t="s">
        <v>53</v>
      </c>
      <c r="G373" s="238" t="s">
        <v>53</v>
      </c>
      <c r="H373" s="304">
        <f t="shared" si="110"/>
        <v>2400000</v>
      </c>
      <c r="I373" s="332">
        <f t="shared" si="111"/>
        <v>2400000</v>
      </c>
      <c r="J373" s="304">
        <f t="shared" si="112"/>
        <v>0</v>
      </c>
      <c r="K373" s="332"/>
      <c r="L373" s="332"/>
      <c r="M373" s="332"/>
      <c r="N373" s="332"/>
      <c r="O373" s="304">
        <f t="shared" si="113"/>
        <v>2400000</v>
      </c>
      <c r="P373" s="332"/>
      <c r="Q373" s="332">
        <v>2400000</v>
      </c>
      <c r="R373" s="332"/>
      <c r="S373" s="332"/>
      <c r="T373" s="304">
        <f t="shared" si="114"/>
        <v>0</v>
      </c>
      <c r="U373" s="332"/>
      <c r="V373" s="332"/>
      <c r="W373" s="332"/>
      <c r="X373" s="332"/>
      <c r="Y373" s="304">
        <f t="shared" si="115"/>
        <v>0</v>
      </c>
      <c r="Z373" s="332"/>
      <c r="AA373" s="332"/>
      <c r="AB373" s="332"/>
      <c r="AC373" s="332"/>
      <c r="AD373" s="332"/>
      <c r="AE373" s="332"/>
      <c r="AF373" s="332"/>
      <c r="AG373" s="304">
        <f t="shared" si="116"/>
        <v>2339771.56</v>
      </c>
      <c r="AH373" s="304">
        <f t="shared" si="117"/>
        <v>2339771.56</v>
      </c>
      <c r="AI373" s="304">
        <f t="shared" si="118"/>
        <v>0</v>
      </c>
      <c r="AJ373" s="304"/>
      <c r="AK373" s="304"/>
      <c r="AL373" s="304"/>
      <c r="AM373" s="304"/>
      <c r="AN373" s="304">
        <f t="shared" si="119"/>
        <v>2339771.56</v>
      </c>
      <c r="AO373" s="304"/>
      <c r="AP373" s="304">
        <v>2339771.56</v>
      </c>
      <c r="AQ373" s="304"/>
      <c r="AR373" s="304"/>
      <c r="AS373" s="304">
        <f t="shared" si="120"/>
        <v>0</v>
      </c>
      <c r="AT373" s="304"/>
      <c r="AU373" s="304"/>
      <c r="AV373" s="304"/>
      <c r="AW373" s="304"/>
      <c r="AX373" s="304">
        <f t="shared" si="121"/>
        <v>0</v>
      </c>
      <c r="AY373" s="304"/>
      <c r="AZ373" s="304"/>
      <c r="BA373" s="304"/>
      <c r="BB373" s="304"/>
      <c r="BC373" s="304"/>
      <c r="BD373" s="304"/>
      <c r="BE373" s="305">
        <v>0</v>
      </c>
      <c r="BF373" s="238" t="s">
        <v>53</v>
      </c>
      <c r="BG373" s="263" t="s">
        <v>54</v>
      </c>
      <c r="BH373" s="306"/>
    </row>
    <row r="374" s="78" customFormat="1" ht="15" hidden="1" spans="1:60">
      <c r="A374" s="301">
        <v>367</v>
      </c>
      <c r="B374" s="307" t="s">
        <v>19</v>
      </c>
      <c r="C374" s="307" t="s">
        <v>20</v>
      </c>
      <c r="D374" s="308">
        <v>2021</v>
      </c>
      <c r="E374" s="313" t="s">
        <v>577</v>
      </c>
      <c r="F374" s="308" t="s">
        <v>53</v>
      </c>
      <c r="G374" s="127" t="s">
        <v>56</v>
      </c>
      <c r="H374" s="310">
        <f t="shared" si="110"/>
        <v>982700</v>
      </c>
      <c r="I374" s="311">
        <f t="shared" si="111"/>
        <v>982700</v>
      </c>
      <c r="J374" s="310">
        <f t="shared" si="112"/>
        <v>0</v>
      </c>
      <c r="K374" s="311"/>
      <c r="L374" s="311"/>
      <c r="M374" s="311"/>
      <c r="N374" s="311"/>
      <c r="O374" s="310">
        <f t="shared" si="113"/>
        <v>0</v>
      </c>
      <c r="P374" s="311"/>
      <c r="Q374" s="311"/>
      <c r="R374" s="311"/>
      <c r="S374" s="311"/>
      <c r="T374" s="310">
        <f t="shared" si="114"/>
        <v>682700</v>
      </c>
      <c r="U374" s="311"/>
      <c r="V374" s="311"/>
      <c r="W374" s="311"/>
      <c r="X374" s="311">
        <v>682700</v>
      </c>
      <c r="Y374" s="310">
        <f t="shared" si="115"/>
        <v>300000</v>
      </c>
      <c r="Z374" s="311"/>
      <c r="AA374" s="311">
        <v>300000</v>
      </c>
      <c r="AB374" s="311"/>
      <c r="AC374" s="311"/>
      <c r="AD374" s="311"/>
      <c r="AE374" s="311"/>
      <c r="AF374" s="311"/>
      <c r="AG374" s="310">
        <f t="shared" si="116"/>
        <v>933972.81</v>
      </c>
      <c r="AH374" s="310">
        <f t="shared" si="117"/>
        <v>933972.81</v>
      </c>
      <c r="AI374" s="310">
        <f t="shared" si="118"/>
        <v>0</v>
      </c>
      <c r="AJ374" s="310"/>
      <c r="AK374" s="310"/>
      <c r="AL374" s="310"/>
      <c r="AM374" s="310"/>
      <c r="AN374" s="310">
        <f t="shared" si="119"/>
        <v>0</v>
      </c>
      <c r="AO374" s="310"/>
      <c r="AP374" s="310"/>
      <c r="AQ374" s="310"/>
      <c r="AR374" s="310"/>
      <c r="AS374" s="310">
        <f t="shared" si="120"/>
        <v>933972.81</v>
      </c>
      <c r="AT374" s="310">
        <v>933972.81</v>
      </c>
      <c r="AU374" s="310"/>
      <c r="AV374" s="310"/>
      <c r="AW374" s="310"/>
      <c r="AX374" s="310">
        <f t="shared" si="121"/>
        <v>0</v>
      </c>
      <c r="AY374" s="310"/>
      <c r="AZ374" s="310"/>
      <c r="BA374" s="310"/>
      <c r="BB374" s="310"/>
      <c r="BC374" s="310"/>
      <c r="BD374" s="310"/>
      <c r="BE374" s="312"/>
      <c r="BF374" s="134" t="s">
        <v>56</v>
      </c>
      <c r="BG374" s="315" t="s">
        <v>62</v>
      </c>
      <c r="BH374" s="137" t="s">
        <v>283</v>
      </c>
    </row>
    <row r="375" s="78" customFormat="1" ht="15" hidden="1" spans="1:60">
      <c r="A375" s="301">
        <v>368</v>
      </c>
      <c r="B375" s="307" t="s">
        <v>19</v>
      </c>
      <c r="C375" s="307" t="s">
        <v>20</v>
      </c>
      <c r="D375" s="308">
        <v>2022</v>
      </c>
      <c r="E375" s="313" t="s">
        <v>578</v>
      </c>
      <c r="F375" s="308" t="s">
        <v>53</v>
      </c>
      <c r="G375" s="127" t="s">
        <v>56</v>
      </c>
      <c r="H375" s="310">
        <f t="shared" si="110"/>
        <v>250000</v>
      </c>
      <c r="I375" s="310">
        <f t="shared" si="111"/>
        <v>250000</v>
      </c>
      <c r="J375" s="310">
        <f t="shared" si="112"/>
        <v>0</v>
      </c>
      <c r="K375" s="311"/>
      <c r="L375" s="311"/>
      <c r="M375" s="311"/>
      <c r="N375" s="311"/>
      <c r="O375" s="310">
        <f t="shared" si="113"/>
        <v>0</v>
      </c>
      <c r="P375" s="311"/>
      <c r="Q375" s="311"/>
      <c r="R375" s="311"/>
      <c r="S375" s="311"/>
      <c r="T375" s="310">
        <f t="shared" si="114"/>
        <v>250000</v>
      </c>
      <c r="U375" s="311"/>
      <c r="V375" s="311"/>
      <c r="W375" s="311"/>
      <c r="X375" s="311">
        <v>250000</v>
      </c>
      <c r="Y375" s="310">
        <f t="shared" si="115"/>
        <v>0</v>
      </c>
      <c r="Z375" s="311"/>
      <c r="AA375" s="311"/>
      <c r="AB375" s="311"/>
      <c r="AC375" s="311"/>
      <c r="AD375" s="311"/>
      <c r="AE375" s="311"/>
      <c r="AF375" s="311"/>
      <c r="AG375" s="310">
        <f t="shared" si="116"/>
        <v>250000</v>
      </c>
      <c r="AH375" s="310">
        <f t="shared" si="117"/>
        <v>250000</v>
      </c>
      <c r="AI375" s="310">
        <f t="shared" si="118"/>
        <v>0</v>
      </c>
      <c r="AJ375" s="310"/>
      <c r="AK375" s="310"/>
      <c r="AL375" s="310"/>
      <c r="AM375" s="310"/>
      <c r="AN375" s="310">
        <f t="shared" si="119"/>
        <v>0</v>
      </c>
      <c r="AO375" s="310"/>
      <c r="AP375" s="310"/>
      <c r="AQ375" s="310"/>
      <c r="AR375" s="310"/>
      <c r="AS375" s="310">
        <f t="shared" si="120"/>
        <v>250000</v>
      </c>
      <c r="AT375" s="310"/>
      <c r="AU375" s="310"/>
      <c r="AV375" s="310"/>
      <c r="AW375" s="310">
        <v>250000</v>
      </c>
      <c r="AX375" s="310">
        <f t="shared" si="121"/>
        <v>0</v>
      </c>
      <c r="AY375" s="310"/>
      <c r="AZ375" s="310"/>
      <c r="BA375" s="310"/>
      <c r="BB375" s="310"/>
      <c r="BC375" s="310"/>
      <c r="BD375" s="310"/>
      <c r="BE375" s="312"/>
      <c r="BF375" s="134" t="s">
        <v>56</v>
      </c>
      <c r="BG375" s="315" t="s">
        <v>179</v>
      </c>
      <c r="BH375" s="137" t="s">
        <v>101</v>
      </c>
    </row>
    <row r="376" s="78" customFormat="1" ht="15" hidden="1" spans="1:60">
      <c r="A376" s="301">
        <v>369</v>
      </c>
      <c r="B376" s="307" t="s">
        <v>19</v>
      </c>
      <c r="C376" s="307" t="s">
        <v>20</v>
      </c>
      <c r="D376" s="308">
        <v>2022</v>
      </c>
      <c r="E376" s="313" t="s">
        <v>579</v>
      </c>
      <c r="F376" s="308" t="s">
        <v>53</v>
      </c>
      <c r="G376" s="127" t="s">
        <v>56</v>
      </c>
      <c r="H376" s="310">
        <f t="shared" si="110"/>
        <v>683300</v>
      </c>
      <c r="I376" s="310">
        <f t="shared" si="111"/>
        <v>683300</v>
      </c>
      <c r="J376" s="310">
        <f t="shared" si="112"/>
        <v>0</v>
      </c>
      <c r="K376" s="311"/>
      <c r="L376" s="311"/>
      <c r="M376" s="311"/>
      <c r="N376" s="311"/>
      <c r="O376" s="310">
        <f t="shared" si="113"/>
        <v>0</v>
      </c>
      <c r="P376" s="311"/>
      <c r="Q376" s="311"/>
      <c r="R376" s="311"/>
      <c r="S376" s="311"/>
      <c r="T376" s="310">
        <f t="shared" si="114"/>
        <v>683300</v>
      </c>
      <c r="U376" s="311"/>
      <c r="V376" s="311"/>
      <c r="W376" s="311"/>
      <c r="X376" s="311">
        <v>683300</v>
      </c>
      <c r="Y376" s="310">
        <f t="shared" si="115"/>
        <v>0</v>
      </c>
      <c r="Z376" s="311"/>
      <c r="AA376" s="311"/>
      <c r="AB376" s="311"/>
      <c r="AC376" s="311"/>
      <c r="AD376" s="311"/>
      <c r="AE376" s="311"/>
      <c r="AF376" s="311"/>
      <c r="AG376" s="310">
        <f t="shared" si="116"/>
        <v>626828.74</v>
      </c>
      <c r="AH376" s="310">
        <f t="shared" si="117"/>
        <v>626828.74</v>
      </c>
      <c r="AI376" s="310">
        <f t="shared" si="118"/>
        <v>0</v>
      </c>
      <c r="AJ376" s="310"/>
      <c r="AK376" s="310"/>
      <c r="AL376" s="310"/>
      <c r="AM376" s="310"/>
      <c r="AN376" s="310">
        <f t="shared" si="119"/>
        <v>0</v>
      </c>
      <c r="AO376" s="310"/>
      <c r="AP376" s="310"/>
      <c r="AQ376" s="310"/>
      <c r="AR376" s="310"/>
      <c r="AS376" s="310">
        <f t="shared" si="120"/>
        <v>626828.74</v>
      </c>
      <c r="AT376" s="310"/>
      <c r="AU376" s="310"/>
      <c r="AV376" s="310"/>
      <c r="AW376" s="310">
        <v>626828.74</v>
      </c>
      <c r="AX376" s="310">
        <f t="shared" si="121"/>
        <v>0</v>
      </c>
      <c r="AY376" s="310"/>
      <c r="AZ376" s="310"/>
      <c r="BA376" s="310"/>
      <c r="BB376" s="310"/>
      <c r="BC376" s="310"/>
      <c r="BD376" s="310"/>
      <c r="BE376" s="312"/>
      <c r="BF376" s="134" t="s">
        <v>56</v>
      </c>
      <c r="BG376" s="315" t="s">
        <v>162</v>
      </c>
      <c r="BH376" s="137" t="s">
        <v>98</v>
      </c>
    </row>
    <row r="377" s="78" customFormat="1" ht="15" hidden="1" spans="1:60">
      <c r="A377" s="301">
        <v>370</v>
      </c>
      <c r="B377" s="307" t="s">
        <v>19</v>
      </c>
      <c r="C377" s="307" t="s">
        <v>20</v>
      </c>
      <c r="D377" s="308">
        <v>2022</v>
      </c>
      <c r="E377" s="313" t="s">
        <v>580</v>
      </c>
      <c r="F377" s="308" t="s">
        <v>53</v>
      </c>
      <c r="G377" s="127" t="s">
        <v>53</v>
      </c>
      <c r="H377" s="310">
        <f t="shared" si="110"/>
        <v>24500000</v>
      </c>
      <c r="I377" s="311">
        <f t="shared" si="111"/>
        <v>24500000</v>
      </c>
      <c r="J377" s="310">
        <f t="shared" si="112"/>
        <v>0</v>
      </c>
      <c r="K377" s="311"/>
      <c r="L377" s="311"/>
      <c r="M377" s="311"/>
      <c r="N377" s="311"/>
      <c r="O377" s="310">
        <f t="shared" si="113"/>
        <v>0</v>
      </c>
      <c r="P377" s="311"/>
      <c r="Q377" s="311"/>
      <c r="R377" s="311"/>
      <c r="S377" s="311"/>
      <c r="T377" s="310">
        <f t="shared" si="114"/>
        <v>24500000</v>
      </c>
      <c r="U377" s="311">
        <v>4178070</v>
      </c>
      <c r="V377" s="311">
        <v>12971930</v>
      </c>
      <c r="W377" s="311"/>
      <c r="X377" s="311">
        <v>7350000</v>
      </c>
      <c r="Y377" s="310">
        <f t="shared" si="115"/>
        <v>0</v>
      </c>
      <c r="Z377" s="311"/>
      <c r="AA377" s="311"/>
      <c r="AB377" s="311"/>
      <c r="AC377" s="311"/>
      <c r="AD377" s="311"/>
      <c r="AE377" s="311"/>
      <c r="AF377" s="311"/>
      <c r="AG377" s="310">
        <f t="shared" si="116"/>
        <v>24500000</v>
      </c>
      <c r="AH377" s="310">
        <f t="shared" si="117"/>
        <v>24500000</v>
      </c>
      <c r="AI377" s="310">
        <f t="shared" si="118"/>
        <v>0</v>
      </c>
      <c r="AJ377" s="310"/>
      <c r="AK377" s="310"/>
      <c r="AL377" s="310"/>
      <c r="AM377" s="310"/>
      <c r="AN377" s="310">
        <f t="shared" si="119"/>
        <v>0</v>
      </c>
      <c r="AO377" s="310"/>
      <c r="AP377" s="310"/>
      <c r="AQ377" s="310"/>
      <c r="AR377" s="310"/>
      <c r="AS377" s="310">
        <f t="shared" si="120"/>
        <v>24500000</v>
      </c>
      <c r="AT377" s="310">
        <v>4178070</v>
      </c>
      <c r="AU377" s="310">
        <v>12971930</v>
      </c>
      <c r="AV377" s="310"/>
      <c r="AW377" s="310">
        <v>7350000</v>
      </c>
      <c r="AX377" s="310">
        <f t="shared" si="121"/>
        <v>0</v>
      </c>
      <c r="AY377" s="310"/>
      <c r="AZ377" s="310"/>
      <c r="BA377" s="310"/>
      <c r="BB377" s="310"/>
      <c r="BC377" s="310"/>
      <c r="BD377" s="310"/>
      <c r="BE377" s="312">
        <v>0</v>
      </c>
      <c r="BF377" s="134" t="s">
        <v>56</v>
      </c>
      <c r="BG377" s="315" t="s">
        <v>581</v>
      </c>
      <c r="BH377" s="137" t="s">
        <v>157</v>
      </c>
    </row>
    <row r="378" s="78" customFormat="1" ht="15" hidden="1" spans="1:60">
      <c r="A378" s="301">
        <v>371</v>
      </c>
      <c r="B378" s="307" t="s">
        <v>19</v>
      </c>
      <c r="C378" s="307" t="s">
        <v>20</v>
      </c>
      <c r="D378" s="308">
        <v>2022</v>
      </c>
      <c r="E378" s="313" t="s">
        <v>582</v>
      </c>
      <c r="F378" s="308" t="s">
        <v>53</v>
      </c>
      <c r="G378" s="127" t="s">
        <v>53</v>
      </c>
      <c r="H378" s="310">
        <f t="shared" si="110"/>
        <v>23000000</v>
      </c>
      <c r="I378" s="311">
        <f t="shared" si="111"/>
        <v>23000000</v>
      </c>
      <c r="J378" s="310">
        <f t="shared" si="112"/>
        <v>0</v>
      </c>
      <c r="K378" s="311"/>
      <c r="L378" s="311"/>
      <c r="M378" s="311"/>
      <c r="N378" s="311"/>
      <c r="O378" s="310">
        <f t="shared" si="113"/>
        <v>0</v>
      </c>
      <c r="P378" s="311"/>
      <c r="Q378" s="311"/>
      <c r="R378" s="311"/>
      <c r="S378" s="311"/>
      <c r="T378" s="310">
        <f t="shared" si="114"/>
        <v>23000000</v>
      </c>
      <c r="U378" s="311">
        <v>16100000</v>
      </c>
      <c r="V378" s="311">
        <v>6900000</v>
      </c>
      <c r="W378" s="311"/>
      <c r="X378" s="311"/>
      <c r="Y378" s="310">
        <f t="shared" si="115"/>
        <v>0</v>
      </c>
      <c r="Z378" s="311"/>
      <c r="AA378" s="311"/>
      <c r="AB378" s="311"/>
      <c r="AC378" s="311"/>
      <c r="AD378" s="311"/>
      <c r="AE378" s="311"/>
      <c r="AF378" s="311"/>
      <c r="AG378" s="310">
        <f t="shared" si="116"/>
        <v>22140133.28</v>
      </c>
      <c r="AH378" s="310">
        <f t="shared" si="117"/>
        <v>22140133.28</v>
      </c>
      <c r="AI378" s="310">
        <f t="shared" si="118"/>
        <v>0</v>
      </c>
      <c r="AJ378" s="310"/>
      <c r="AK378" s="310"/>
      <c r="AL378" s="310"/>
      <c r="AM378" s="310"/>
      <c r="AN378" s="310">
        <f t="shared" si="119"/>
        <v>0</v>
      </c>
      <c r="AO378" s="310"/>
      <c r="AP378" s="310"/>
      <c r="AQ378" s="310"/>
      <c r="AR378" s="310"/>
      <c r="AS378" s="310">
        <f t="shared" si="120"/>
        <v>22140133.28</v>
      </c>
      <c r="AT378" s="310">
        <v>22140133.28</v>
      </c>
      <c r="AU378" s="310"/>
      <c r="AV378" s="310"/>
      <c r="AW378" s="310"/>
      <c r="AX378" s="310">
        <f t="shared" si="121"/>
        <v>0</v>
      </c>
      <c r="AY378" s="310"/>
      <c r="AZ378" s="310"/>
      <c r="BA378" s="310"/>
      <c r="BB378" s="310"/>
      <c r="BC378" s="310"/>
      <c r="BD378" s="310"/>
      <c r="BE378" s="312">
        <v>0</v>
      </c>
      <c r="BF378" s="134" t="s">
        <v>56</v>
      </c>
      <c r="BG378" s="315" t="s">
        <v>583</v>
      </c>
      <c r="BH378" s="137" t="s">
        <v>131</v>
      </c>
    </row>
    <row r="379" s="78" customFormat="1" ht="15" hidden="1" spans="1:60">
      <c r="A379" s="301">
        <v>372</v>
      </c>
      <c r="B379" s="307" t="s">
        <v>19</v>
      </c>
      <c r="C379" s="307" t="s">
        <v>20</v>
      </c>
      <c r="D379" s="308">
        <v>2022</v>
      </c>
      <c r="E379" s="313" t="s">
        <v>584</v>
      </c>
      <c r="F379" s="308" t="s">
        <v>53</v>
      </c>
      <c r="G379" s="127" t="s">
        <v>56</v>
      </c>
      <c r="H379" s="310">
        <f t="shared" si="110"/>
        <v>8000000</v>
      </c>
      <c r="I379" s="311">
        <f t="shared" si="111"/>
        <v>8000000</v>
      </c>
      <c r="J379" s="310">
        <f t="shared" si="112"/>
        <v>0</v>
      </c>
      <c r="K379" s="311"/>
      <c r="L379" s="311"/>
      <c r="M379" s="311"/>
      <c r="N379" s="311"/>
      <c r="O379" s="310">
        <f t="shared" si="113"/>
        <v>0</v>
      </c>
      <c r="P379" s="311"/>
      <c r="Q379" s="311"/>
      <c r="R379" s="311"/>
      <c r="S379" s="311"/>
      <c r="T379" s="310">
        <f t="shared" si="114"/>
        <v>8000000</v>
      </c>
      <c r="U379" s="311">
        <v>6968800</v>
      </c>
      <c r="V379" s="311"/>
      <c r="W379" s="311"/>
      <c r="X379" s="311">
        <v>1031200</v>
      </c>
      <c r="Y379" s="310">
        <f t="shared" si="115"/>
        <v>0</v>
      </c>
      <c r="Z379" s="311"/>
      <c r="AA379" s="311"/>
      <c r="AB379" s="311"/>
      <c r="AC379" s="311"/>
      <c r="AD379" s="311"/>
      <c r="AE379" s="311"/>
      <c r="AF379" s="311"/>
      <c r="AG379" s="310">
        <f t="shared" si="116"/>
        <v>7835596.76</v>
      </c>
      <c r="AH379" s="310">
        <f t="shared" si="117"/>
        <v>7835596.76</v>
      </c>
      <c r="AI379" s="310">
        <f t="shared" si="118"/>
        <v>0</v>
      </c>
      <c r="AJ379" s="310"/>
      <c r="AK379" s="310"/>
      <c r="AL379" s="310"/>
      <c r="AM379" s="310"/>
      <c r="AN379" s="310">
        <f t="shared" si="119"/>
        <v>0</v>
      </c>
      <c r="AO379" s="310"/>
      <c r="AP379" s="310"/>
      <c r="AQ379" s="310"/>
      <c r="AR379" s="310"/>
      <c r="AS379" s="310">
        <f t="shared" si="120"/>
        <v>7835596.76</v>
      </c>
      <c r="AT379" s="310">
        <v>6968800</v>
      </c>
      <c r="AU379" s="310"/>
      <c r="AV379" s="310"/>
      <c r="AW379" s="310">
        <v>866796.76</v>
      </c>
      <c r="AX379" s="310">
        <f t="shared" si="121"/>
        <v>0</v>
      </c>
      <c r="AY379" s="310"/>
      <c r="AZ379" s="310"/>
      <c r="BA379" s="310"/>
      <c r="BB379" s="310"/>
      <c r="BC379" s="310"/>
      <c r="BD379" s="310"/>
      <c r="BE379" s="312"/>
      <c r="BF379" s="134" t="s">
        <v>56</v>
      </c>
      <c r="BG379" s="315" t="s">
        <v>162</v>
      </c>
      <c r="BH379" s="137" t="s">
        <v>585</v>
      </c>
    </row>
    <row r="380" s="77" customFormat="1" ht="15" hidden="1" spans="1:60">
      <c r="A380" s="301">
        <v>373</v>
      </c>
      <c r="B380" s="307" t="s">
        <v>19</v>
      </c>
      <c r="C380" s="307" t="s">
        <v>20</v>
      </c>
      <c r="D380" s="308">
        <v>2022</v>
      </c>
      <c r="E380" s="313" t="s">
        <v>586</v>
      </c>
      <c r="F380" s="308" t="s">
        <v>53</v>
      </c>
      <c r="G380" s="127" t="s">
        <v>56</v>
      </c>
      <c r="H380" s="310">
        <f t="shared" si="110"/>
        <v>2303000</v>
      </c>
      <c r="I380" s="311">
        <f t="shared" si="111"/>
        <v>2303000</v>
      </c>
      <c r="J380" s="310">
        <f t="shared" si="112"/>
        <v>0</v>
      </c>
      <c r="K380" s="311"/>
      <c r="L380" s="311"/>
      <c r="M380" s="311"/>
      <c r="N380" s="311"/>
      <c r="O380" s="310">
        <f t="shared" si="113"/>
        <v>0</v>
      </c>
      <c r="P380" s="311"/>
      <c r="Q380" s="311"/>
      <c r="R380" s="311"/>
      <c r="S380" s="311"/>
      <c r="T380" s="310">
        <f t="shared" si="114"/>
        <v>2303000</v>
      </c>
      <c r="U380" s="311">
        <v>1709780</v>
      </c>
      <c r="V380" s="311">
        <v>593220</v>
      </c>
      <c r="W380" s="311"/>
      <c r="X380" s="311"/>
      <c r="Y380" s="310">
        <f t="shared" si="115"/>
        <v>0</v>
      </c>
      <c r="Z380" s="311"/>
      <c r="AA380" s="311"/>
      <c r="AB380" s="311"/>
      <c r="AC380" s="311"/>
      <c r="AD380" s="311"/>
      <c r="AE380" s="311"/>
      <c r="AF380" s="311"/>
      <c r="AG380" s="310">
        <f t="shared" si="116"/>
        <v>2303000</v>
      </c>
      <c r="AH380" s="310">
        <f t="shared" si="117"/>
        <v>2303000</v>
      </c>
      <c r="AI380" s="310">
        <f t="shared" si="118"/>
        <v>0</v>
      </c>
      <c r="AJ380" s="310"/>
      <c r="AK380" s="310"/>
      <c r="AL380" s="310"/>
      <c r="AM380" s="310"/>
      <c r="AN380" s="310">
        <f t="shared" si="119"/>
        <v>0</v>
      </c>
      <c r="AO380" s="310"/>
      <c r="AP380" s="310"/>
      <c r="AQ380" s="310"/>
      <c r="AR380" s="310"/>
      <c r="AS380" s="310">
        <f t="shared" si="120"/>
        <v>2303000</v>
      </c>
      <c r="AT380" s="310">
        <v>1709780</v>
      </c>
      <c r="AU380" s="310">
        <v>593220</v>
      </c>
      <c r="AV380" s="310"/>
      <c r="AW380" s="310"/>
      <c r="AX380" s="310">
        <f t="shared" si="121"/>
        <v>0</v>
      </c>
      <c r="AY380" s="310"/>
      <c r="AZ380" s="310"/>
      <c r="BA380" s="310"/>
      <c r="BB380" s="310"/>
      <c r="BC380" s="310"/>
      <c r="BD380" s="310"/>
      <c r="BE380" s="312"/>
      <c r="BF380" s="127" t="s">
        <v>56</v>
      </c>
      <c r="BG380" s="184" t="s">
        <v>587</v>
      </c>
      <c r="BH380" s="330" t="s">
        <v>157</v>
      </c>
    </row>
    <row r="381" s="78" customFormat="1" ht="15" hidden="1" spans="1:60">
      <c r="A381" s="301">
        <v>374</v>
      </c>
      <c r="B381" s="307" t="s">
        <v>19</v>
      </c>
      <c r="C381" s="307" t="s">
        <v>20</v>
      </c>
      <c r="D381" s="308">
        <v>2022</v>
      </c>
      <c r="E381" s="313" t="s">
        <v>588</v>
      </c>
      <c r="F381" s="308" t="s">
        <v>53</v>
      </c>
      <c r="G381" s="127" t="s">
        <v>56</v>
      </c>
      <c r="H381" s="310">
        <f t="shared" si="110"/>
        <v>12970000</v>
      </c>
      <c r="I381" s="311">
        <f t="shared" si="111"/>
        <v>12970000</v>
      </c>
      <c r="J381" s="310">
        <f t="shared" si="112"/>
        <v>0</v>
      </c>
      <c r="K381" s="311"/>
      <c r="L381" s="311"/>
      <c r="M381" s="311"/>
      <c r="N381" s="311"/>
      <c r="O381" s="310">
        <f t="shared" si="113"/>
        <v>0</v>
      </c>
      <c r="P381" s="311"/>
      <c r="Q381" s="311"/>
      <c r="R381" s="311"/>
      <c r="S381" s="311"/>
      <c r="T381" s="310">
        <f t="shared" si="114"/>
        <v>12970000</v>
      </c>
      <c r="U381" s="311">
        <v>11080000</v>
      </c>
      <c r="V381" s="311">
        <v>1500000</v>
      </c>
      <c r="W381" s="311"/>
      <c r="X381" s="311">
        <v>390000</v>
      </c>
      <c r="Y381" s="310">
        <f t="shared" si="115"/>
        <v>0</v>
      </c>
      <c r="Z381" s="311"/>
      <c r="AA381" s="311"/>
      <c r="AB381" s="311"/>
      <c r="AC381" s="311"/>
      <c r="AD381" s="311"/>
      <c r="AE381" s="311"/>
      <c r="AF381" s="311"/>
      <c r="AG381" s="310">
        <f t="shared" si="116"/>
        <v>12970000</v>
      </c>
      <c r="AH381" s="310">
        <f t="shared" si="117"/>
        <v>12970000</v>
      </c>
      <c r="AI381" s="310">
        <f t="shared" si="118"/>
        <v>0</v>
      </c>
      <c r="AJ381" s="310"/>
      <c r="AK381" s="310"/>
      <c r="AL381" s="310"/>
      <c r="AM381" s="310"/>
      <c r="AN381" s="310">
        <f t="shared" si="119"/>
        <v>0</v>
      </c>
      <c r="AO381" s="310"/>
      <c r="AP381" s="310"/>
      <c r="AQ381" s="310"/>
      <c r="AR381" s="310"/>
      <c r="AS381" s="310">
        <f t="shared" si="120"/>
        <v>12970000</v>
      </c>
      <c r="AT381" s="310">
        <v>11080000</v>
      </c>
      <c r="AU381" s="310">
        <v>1500000</v>
      </c>
      <c r="AV381" s="310"/>
      <c r="AW381" s="310">
        <v>390000</v>
      </c>
      <c r="AX381" s="310">
        <f t="shared" si="121"/>
        <v>0</v>
      </c>
      <c r="AY381" s="310"/>
      <c r="AZ381" s="310"/>
      <c r="BA381" s="310"/>
      <c r="BB381" s="310"/>
      <c r="BC381" s="310"/>
      <c r="BD381" s="310"/>
      <c r="BE381" s="312"/>
      <c r="BF381" s="134" t="s">
        <v>56</v>
      </c>
      <c r="BG381" s="315" t="s">
        <v>589</v>
      </c>
      <c r="BH381" s="137" t="s">
        <v>585</v>
      </c>
    </row>
    <row r="382" s="78" customFormat="1" ht="15" hidden="1" spans="1:60">
      <c r="A382" s="301">
        <v>375</v>
      </c>
      <c r="B382" s="307" t="s">
        <v>19</v>
      </c>
      <c r="C382" s="307" t="s">
        <v>20</v>
      </c>
      <c r="D382" s="308">
        <v>2022</v>
      </c>
      <c r="E382" s="313" t="s">
        <v>590</v>
      </c>
      <c r="F382" s="308" t="s">
        <v>53</v>
      </c>
      <c r="G382" s="127" t="s">
        <v>56</v>
      </c>
      <c r="H382" s="310">
        <f t="shared" si="110"/>
        <v>14270000</v>
      </c>
      <c r="I382" s="311">
        <f t="shared" si="111"/>
        <v>14270000</v>
      </c>
      <c r="J382" s="310">
        <f t="shared" si="112"/>
        <v>0</v>
      </c>
      <c r="K382" s="311"/>
      <c r="L382" s="311"/>
      <c r="M382" s="311"/>
      <c r="N382" s="311"/>
      <c r="O382" s="310">
        <f t="shared" si="113"/>
        <v>0</v>
      </c>
      <c r="P382" s="311"/>
      <c r="Q382" s="311"/>
      <c r="R382" s="311"/>
      <c r="S382" s="311"/>
      <c r="T382" s="310">
        <f t="shared" si="114"/>
        <v>14270000</v>
      </c>
      <c r="U382" s="311">
        <v>11470000</v>
      </c>
      <c r="V382" s="311">
        <v>2300000</v>
      </c>
      <c r="W382" s="311"/>
      <c r="X382" s="311">
        <v>500000</v>
      </c>
      <c r="Y382" s="310">
        <f t="shared" si="115"/>
        <v>0</v>
      </c>
      <c r="Z382" s="311"/>
      <c r="AA382" s="311"/>
      <c r="AB382" s="311"/>
      <c r="AC382" s="311"/>
      <c r="AD382" s="311"/>
      <c r="AE382" s="311"/>
      <c r="AF382" s="311"/>
      <c r="AG382" s="310">
        <f t="shared" si="116"/>
        <v>14270000</v>
      </c>
      <c r="AH382" s="310">
        <f t="shared" si="117"/>
        <v>14270000</v>
      </c>
      <c r="AI382" s="310">
        <f t="shared" si="118"/>
        <v>0</v>
      </c>
      <c r="AJ382" s="310"/>
      <c r="AK382" s="310"/>
      <c r="AL382" s="310"/>
      <c r="AM382" s="310"/>
      <c r="AN382" s="310">
        <f t="shared" si="119"/>
        <v>0</v>
      </c>
      <c r="AO382" s="310"/>
      <c r="AP382" s="310"/>
      <c r="AQ382" s="310"/>
      <c r="AR382" s="310"/>
      <c r="AS382" s="310">
        <f t="shared" si="120"/>
        <v>14270000</v>
      </c>
      <c r="AT382" s="310">
        <v>11470000</v>
      </c>
      <c r="AU382" s="310">
        <v>2300000</v>
      </c>
      <c r="AV382" s="310"/>
      <c r="AW382" s="310">
        <v>500000</v>
      </c>
      <c r="AX382" s="310">
        <f t="shared" si="121"/>
        <v>0</v>
      </c>
      <c r="AY382" s="310"/>
      <c r="AZ382" s="310"/>
      <c r="BA382" s="310"/>
      <c r="BB382" s="310"/>
      <c r="BC382" s="310"/>
      <c r="BD382" s="310"/>
      <c r="BE382" s="312"/>
      <c r="BF382" s="134" t="s">
        <v>56</v>
      </c>
      <c r="BG382" s="315" t="s">
        <v>589</v>
      </c>
      <c r="BH382" s="137" t="s">
        <v>585</v>
      </c>
    </row>
    <row r="383" s="78" customFormat="1" ht="15" hidden="1" spans="1:60">
      <c r="A383" s="301">
        <v>376</v>
      </c>
      <c r="B383" s="307" t="s">
        <v>19</v>
      </c>
      <c r="C383" s="307" t="s">
        <v>20</v>
      </c>
      <c r="D383" s="308">
        <v>2022</v>
      </c>
      <c r="E383" s="313" t="s">
        <v>591</v>
      </c>
      <c r="F383" s="308" t="s">
        <v>53</v>
      </c>
      <c r="G383" s="127" t="s">
        <v>56</v>
      </c>
      <c r="H383" s="310">
        <f t="shared" si="110"/>
        <v>17200000</v>
      </c>
      <c r="I383" s="311">
        <f t="shared" si="111"/>
        <v>17200000</v>
      </c>
      <c r="J383" s="310">
        <f t="shared" si="112"/>
        <v>0</v>
      </c>
      <c r="K383" s="311"/>
      <c r="L383" s="311"/>
      <c r="M383" s="311"/>
      <c r="N383" s="311"/>
      <c r="O383" s="310">
        <f t="shared" si="113"/>
        <v>0</v>
      </c>
      <c r="P383" s="311"/>
      <c r="Q383" s="311"/>
      <c r="R383" s="311"/>
      <c r="S383" s="311"/>
      <c r="T383" s="310">
        <f t="shared" si="114"/>
        <v>17200000</v>
      </c>
      <c r="U383" s="311">
        <v>14770000</v>
      </c>
      <c r="V383" s="311">
        <v>1900000</v>
      </c>
      <c r="W383" s="311"/>
      <c r="X383" s="311">
        <v>530000</v>
      </c>
      <c r="Y383" s="310">
        <f t="shared" si="115"/>
        <v>0</v>
      </c>
      <c r="Z383" s="311"/>
      <c r="AA383" s="311"/>
      <c r="AB383" s="311"/>
      <c r="AC383" s="311"/>
      <c r="AD383" s="311"/>
      <c r="AE383" s="311"/>
      <c r="AF383" s="311"/>
      <c r="AG383" s="310">
        <f t="shared" si="116"/>
        <v>16728982.63</v>
      </c>
      <c r="AH383" s="310">
        <f t="shared" si="117"/>
        <v>16728982.63</v>
      </c>
      <c r="AI383" s="310">
        <f t="shared" si="118"/>
        <v>0</v>
      </c>
      <c r="AJ383" s="310"/>
      <c r="AK383" s="310"/>
      <c r="AL383" s="310"/>
      <c r="AM383" s="310"/>
      <c r="AN383" s="310">
        <f t="shared" si="119"/>
        <v>0</v>
      </c>
      <c r="AO383" s="310"/>
      <c r="AP383" s="310"/>
      <c r="AQ383" s="310"/>
      <c r="AR383" s="310"/>
      <c r="AS383" s="310">
        <f t="shared" si="120"/>
        <v>16728982.63</v>
      </c>
      <c r="AT383" s="310">
        <v>14770000</v>
      </c>
      <c r="AU383" s="310">
        <v>1900000</v>
      </c>
      <c r="AV383" s="310"/>
      <c r="AW383" s="310">
        <v>58982.6300000008</v>
      </c>
      <c r="AX383" s="310">
        <f t="shared" si="121"/>
        <v>0</v>
      </c>
      <c r="AY383" s="310"/>
      <c r="AZ383" s="310"/>
      <c r="BA383" s="310"/>
      <c r="BB383" s="310"/>
      <c r="BC383" s="310"/>
      <c r="BD383" s="310"/>
      <c r="BE383" s="312"/>
      <c r="BF383" s="134" t="s">
        <v>56</v>
      </c>
      <c r="BG383" s="315" t="s">
        <v>592</v>
      </c>
      <c r="BH383" s="137" t="s">
        <v>585</v>
      </c>
    </row>
    <row r="384" s="78" customFormat="1" ht="15" hidden="1" spans="1:60">
      <c r="A384" s="301">
        <v>377</v>
      </c>
      <c r="B384" s="307" t="s">
        <v>19</v>
      </c>
      <c r="C384" s="307" t="s">
        <v>20</v>
      </c>
      <c r="D384" s="308">
        <v>2022</v>
      </c>
      <c r="E384" s="313" t="s">
        <v>593</v>
      </c>
      <c r="F384" s="308" t="s">
        <v>53</v>
      </c>
      <c r="G384" s="127" t="s">
        <v>56</v>
      </c>
      <c r="H384" s="310">
        <f t="shared" si="110"/>
        <v>21000000</v>
      </c>
      <c r="I384" s="311">
        <f t="shared" si="111"/>
        <v>21000000</v>
      </c>
      <c r="J384" s="310">
        <f t="shared" si="112"/>
        <v>0</v>
      </c>
      <c r="K384" s="311"/>
      <c r="L384" s="311"/>
      <c r="M384" s="311"/>
      <c r="N384" s="311"/>
      <c r="O384" s="310">
        <f t="shared" si="113"/>
        <v>0</v>
      </c>
      <c r="P384" s="311"/>
      <c r="Q384" s="311"/>
      <c r="R384" s="311"/>
      <c r="S384" s="311"/>
      <c r="T384" s="310">
        <f t="shared" si="114"/>
        <v>21000000</v>
      </c>
      <c r="U384" s="311">
        <v>18150000</v>
      </c>
      <c r="V384" s="311">
        <v>2400000</v>
      </c>
      <c r="W384" s="311"/>
      <c r="X384" s="311">
        <v>450000</v>
      </c>
      <c r="Y384" s="310">
        <f t="shared" si="115"/>
        <v>0</v>
      </c>
      <c r="Z384" s="311"/>
      <c r="AA384" s="311"/>
      <c r="AB384" s="311"/>
      <c r="AC384" s="311"/>
      <c r="AD384" s="311"/>
      <c r="AE384" s="311"/>
      <c r="AF384" s="311"/>
      <c r="AG384" s="310">
        <f t="shared" si="116"/>
        <v>19907908.85</v>
      </c>
      <c r="AH384" s="310">
        <f t="shared" si="117"/>
        <v>19907908.85</v>
      </c>
      <c r="AI384" s="310">
        <f t="shared" si="118"/>
        <v>0</v>
      </c>
      <c r="AJ384" s="310"/>
      <c r="AK384" s="310"/>
      <c r="AL384" s="310"/>
      <c r="AM384" s="310"/>
      <c r="AN384" s="310">
        <f t="shared" si="119"/>
        <v>0</v>
      </c>
      <c r="AO384" s="310"/>
      <c r="AP384" s="310"/>
      <c r="AQ384" s="310"/>
      <c r="AR384" s="310"/>
      <c r="AS384" s="310">
        <f t="shared" si="120"/>
        <v>19907908.85</v>
      </c>
      <c r="AT384" s="310">
        <v>19907908.85</v>
      </c>
      <c r="AU384" s="310"/>
      <c r="AV384" s="310"/>
      <c r="AW384" s="310"/>
      <c r="AX384" s="310">
        <f t="shared" si="121"/>
        <v>0</v>
      </c>
      <c r="AY384" s="310"/>
      <c r="AZ384" s="310"/>
      <c r="BA384" s="310"/>
      <c r="BB384" s="310"/>
      <c r="BC384" s="310"/>
      <c r="BD384" s="310"/>
      <c r="BE384" s="312"/>
      <c r="BF384" s="134" t="s">
        <v>56</v>
      </c>
      <c r="BG384" s="315" t="s">
        <v>341</v>
      </c>
      <c r="BH384" s="137" t="s">
        <v>585</v>
      </c>
    </row>
    <row r="385" s="77" customFormat="1" ht="15" hidden="1" spans="1:60">
      <c r="A385" s="301">
        <v>378</v>
      </c>
      <c r="B385" s="307" t="s">
        <v>19</v>
      </c>
      <c r="C385" s="307" t="s">
        <v>20</v>
      </c>
      <c r="D385" s="308">
        <v>2022</v>
      </c>
      <c r="E385" s="313" t="s">
        <v>594</v>
      </c>
      <c r="F385" s="308" t="s">
        <v>53</v>
      </c>
      <c r="G385" s="127" t="s">
        <v>56</v>
      </c>
      <c r="H385" s="310">
        <f t="shared" si="110"/>
        <v>10000000</v>
      </c>
      <c r="I385" s="311">
        <f t="shared" si="111"/>
        <v>10000000</v>
      </c>
      <c r="J385" s="310">
        <f t="shared" si="112"/>
        <v>0</v>
      </c>
      <c r="K385" s="311"/>
      <c r="L385" s="311"/>
      <c r="M385" s="311"/>
      <c r="N385" s="311"/>
      <c r="O385" s="310">
        <f t="shared" si="113"/>
        <v>0</v>
      </c>
      <c r="P385" s="311"/>
      <c r="Q385" s="311"/>
      <c r="R385" s="311"/>
      <c r="S385" s="311"/>
      <c r="T385" s="310">
        <f t="shared" si="114"/>
        <v>10000000</v>
      </c>
      <c r="U385" s="311">
        <v>5909100</v>
      </c>
      <c r="V385" s="311">
        <v>4090900</v>
      </c>
      <c r="W385" s="311"/>
      <c r="X385" s="311"/>
      <c r="Y385" s="310">
        <f t="shared" si="115"/>
        <v>0</v>
      </c>
      <c r="Z385" s="311"/>
      <c r="AA385" s="311"/>
      <c r="AB385" s="311"/>
      <c r="AC385" s="311"/>
      <c r="AD385" s="311"/>
      <c r="AE385" s="311"/>
      <c r="AF385" s="311"/>
      <c r="AG385" s="310">
        <f t="shared" si="116"/>
        <v>9625178.62</v>
      </c>
      <c r="AH385" s="310">
        <f t="shared" si="117"/>
        <v>9625178.62</v>
      </c>
      <c r="AI385" s="310">
        <f t="shared" si="118"/>
        <v>0</v>
      </c>
      <c r="AJ385" s="310"/>
      <c r="AK385" s="310"/>
      <c r="AL385" s="310"/>
      <c r="AM385" s="310"/>
      <c r="AN385" s="310">
        <f t="shared" si="119"/>
        <v>0</v>
      </c>
      <c r="AO385" s="310"/>
      <c r="AP385" s="310"/>
      <c r="AQ385" s="310"/>
      <c r="AR385" s="310"/>
      <c r="AS385" s="310">
        <f t="shared" si="120"/>
        <v>9625178.62</v>
      </c>
      <c r="AT385" s="310">
        <v>9625178.62</v>
      </c>
      <c r="AU385" s="310"/>
      <c r="AV385" s="310"/>
      <c r="AW385" s="310"/>
      <c r="AX385" s="310">
        <f t="shared" si="121"/>
        <v>0</v>
      </c>
      <c r="AY385" s="310"/>
      <c r="AZ385" s="310"/>
      <c r="BA385" s="310"/>
      <c r="BB385" s="310"/>
      <c r="BC385" s="310"/>
      <c r="BD385" s="310"/>
      <c r="BE385" s="312"/>
      <c r="BF385" s="127" t="s">
        <v>56</v>
      </c>
      <c r="BG385" s="128" t="s">
        <v>239</v>
      </c>
      <c r="BH385" s="133" t="s">
        <v>157</v>
      </c>
    </row>
    <row r="386" s="78" customFormat="1" ht="15" hidden="1" spans="1:60">
      <c r="A386" s="301">
        <v>379</v>
      </c>
      <c r="B386" s="307" t="s">
        <v>19</v>
      </c>
      <c r="C386" s="307" t="s">
        <v>20</v>
      </c>
      <c r="D386" s="308">
        <v>2022</v>
      </c>
      <c r="E386" s="313" t="s">
        <v>595</v>
      </c>
      <c r="F386" s="308" t="s">
        <v>53</v>
      </c>
      <c r="G386" s="127" t="s">
        <v>56</v>
      </c>
      <c r="H386" s="310">
        <f t="shared" si="110"/>
        <v>3030000</v>
      </c>
      <c r="I386" s="311">
        <f t="shared" si="111"/>
        <v>3030000</v>
      </c>
      <c r="J386" s="310">
        <f t="shared" si="112"/>
        <v>0</v>
      </c>
      <c r="K386" s="311"/>
      <c r="L386" s="311"/>
      <c r="M386" s="311"/>
      <c r="N386" s="311"/>
      <c r="O386" s="310">
        <f t="shared" si="113"/>
        <v>0</v>
      </c>
      <c r="P386" s="311"/>
      <c r="Q386" s="311"/>
      <c r="R386" s="311"/>
      <c r="S386" s="311"/>
      <c r="T386" s="310">
        <f t="shared" si="114"/>
        <v>3030000</v>
      </c>
      <c r="U386" s="311">
        <v>1090000</v>
      </c>
      <c r="V386" s="311">
        <v>1940000</v>
      </c>
      <c r="W386" s="311"/>
      <c r="X386" s="311"/>
      <c r="Y386" s="310">
        <f t="shared" si="115"/>
        <v>0</v>
      </c>
      <c r="Z386" s="311"/>
      <c r="AA386" s="311"/>
      <c r="AB386" s="311"/>
      <c r="AC386" s="311"/>
      <c r="AD386" s="311"/>
      <c r="AE386" s="311"/>
      <c r="AF386" s="311"/>
      <c r="AG386" s="310">
        <f t="shared" si="116"/>
        <v>2781103.37</v>
      </c>
      <c r="AH386" s="310">
        <f t="shared" si="117"/>
        <v>2781103.37</v>
      </c>
      <c r="AI386" s="310">
        <f t="shared" si="118"/>
        <v>0</v>
      </c>
      <c r="AJ386" s="310"/>
      <c r="AK386" s="310"/>
      <c r="AL386" s="310"/>
      <c r="AM386" s="310"/>
      <c r="AN386" s="310">
        <f t="shared" si="119"/>
        <v>0</v>
      </c>
      <c r="AO386" s="310"/>
      <c r="AP386" s="310"/>
      <c r="AQ386" s="310"/>
      <c r="AR386" s="310"/>
      <c r="AS386" s="310">
        <f t="shared" si="120"/>
        <v>2781103.37</v>
      </c>
      <c r="AT386" s="310">
        <v>1090000</v>
      </c>
      <c r="AU386" s="310">
        <v>1691103.37</v>
      </c>
      <c r="AV386" s="310"/>
      <c r="AW386" s="310"/>
      <c r="AX386" s="310">
        <f t="shared" si="121"/>
        <v>0</v>
      </c>
      <c r="AY386" s="310"/>
      <c r="AZ386" s="310"/>
      <c r="BA386" s="310"/>
      <c r="BB386" s="310"/>
      <c r="BC386" s="310"/>
      <c r="BD386" s="310"/>
      <c r="BE386" s="312"/>
      <c r="BF386" s="134" t="s">
        <v>56</v>
      </c>
      <c r="BG386" s="315" t="s">
        <v>162</v>
      </c>
      <c r="BH386" s="137" t="s">
        <v>157</v>
      </c>
    </row>
    <row r="387" s="77" customFormat="1" ht="15" hidden="1" spans="1:60">
      <c r="A387" s="301">
        <v>380</v>
      </c>
      <c r="B387" s="307" t="s">
        <v>19</v>
      </c>
      <c r="C387" s="307" t="s">
        <v>20</v>
      </c>
      <c r="D387" s="308">
        <v>2022</v>
      </c>
      <c r="E387" s="313" t="s">
        <v>596</v>
      </c>
      <c r="F387" s="308" t="s">
        <v>53</v>
      </c>
      <c r="G387" s="127" t="s">
        <v>56</v>
      </c>
      <c r="H387" s="310">
        <f t="shared" si="110"/>
        <v>5945400</v>
      </c>
      <c r="I387" s="311">
        <f t="shared" si="111"/>
        <v>5945400</v>
      </c>
      <c r="J387" s="310">
        <f t="shared" si="112"/>
        <v>0</v>
      </c>
      <c r="K387" s="311"/>
      <c r="L387" s="311"/>
      <c r="M387" s="311"/>
      <c r="N387" s="311"/>
      <c r="O387" s="310">
        <f t="shared" si="113"/>
        <v>0</v>
      </c>
      <c r="P387" s="311"/>
      <c r="Q387" s="311"/>
      <c r="R387" s="311"/>
      <c r="S387" s="311"/>
      <c r="T387" s="310">
        <f t="shared" si="114"/>
        <v>5945400</v>
      </c>
      <c r="U387" s="311">
        <v>5448400</v>
      </c>
      <c r="V387" s="311"/>
      <c r="W387" s="311"/>
      <c r="X387" s="311">
        <v>497000</v>
      </c>
      <c r="Y387" s="310">
        <f t="shared" si="115"/>
        <v>0</v>
      </c>
      <c r="Z387" s="311"/>
      <c r="AA387" s="311"/>
      <c r="AB387" s="311"/>
      <c r="AC387" s="311"/>
      <c r="AD387" s="311"/>
      <c r="AE387" s="311"/>
      <c r="AF387" s="311"/>
      <c r="AG387" s="310">
        <f t="shared" si="116"/>
        <v>5249170.61</v>
      </c>
      <c r="AH387" s="310">
        <f t="shared" si="117"/>
        <v>5249170.61</v>
      </c>
      <c r="AI387" s="310">
        <f t="shared" si="118"/>
        <v>0</v>
      </c>
      <c r="AJ387" s="310"/>
      <c r="AK387" s="310"/>
      <c r="AL387" s="310"/>
      <c r="AM387" s="310"/>
      <c r="AN387" s="310">
        <f t="shared" si="119"/>
        <v>0</v>
      </c>
      <c r="AO387" s="310"/>
      <c r="AP387" s="310"/>
      <c r="AQ387" s="310"/>
      <c r="AR387" s="310"/>
      <c r="AS387" s="310">
        <f t="shared" si="120"/>
        <v>5249170.61</v>
      </c>
      <c r="AT387" s="310">
        <v>5249170.61</v>
      </c>
      <c r="AU387" s="310"/>
      <c r="AV387" s="310"/>
      <c r="AW387" s="310"/>
      <c r="AX387" s="310">
        <f t="shared" si="121"/>
        <v>0</v>
      </c>
      <c r="AY387" s="310"/>
      <c r="AZ387" s="310"/>
      <c r="BA387" s="310"/>
      <c r="BB387" s="310"/>
      <c r="BC387" s="310"/>
      <c r="BD387" s="310"/>
      <c r="BE387" s="312"/>
      <c r="BF387" s="127" t="s">
        <v>56</v>
      </c>
      <c r="BG387" s="128" t="s">
        <v>239</v>
      </c>
      <c r="BH387" s="133" t="s">
        <v>157</v>
      </c>
    </row>
    <row r="388" s="78" customFormat="1" ht="15" hidden="1" spans="1:60">
      <c r="A388" s="301">
        <v>381</v>
      </c>
      <c r="B388" s="307" t="s">
        <v>19</v>
      </c>
      <c r="C388" s="307" t="s">
        <v>20</v>
      </c>
      <c r="D388" s="308">
        <v>2022</v>
      </c>
      <c r="E388" s="313" t="s">
        <v>597</v>
      </c>
      <c r="F388" s="308" t="s">
        <v>53</v>
      </c>
      <c r="G388" s="127" t="s">
        <v>56</v>
      </c>
      <c r="H388" s="310">
        <f t="shared" si="110"/>
        <v>3000000</v>
      </c>
      <c r="I388" s="311">
        <f t="shared" si="111"/>
        <v>3000000</v>
      </c>
      <c r="J388" s="310">
        <f t="shared" si="112"/>
        <v>0</v>
      </c>
      <c r="K388" s="311"/>
      <c r="L388" s="311"/>
      <c r="M388" s="311"/>
      <c r="N388" s="311"/>
      <c r="O388" s="310">
        <f t="shared" si="113"/>
        <v>0</v>
      </c>
      <c r="P388" s="311"/>
      <c r="Q388" s="311"/>
      <c r="R388" s="311"/>
      <c r="S388" s="311"/>
      <c r="T388" s="310">
        <f t="shared" si="114"/>
        <v>3000000</v>
      </c>
      <c r="U388" s="311">
        <v>974890</v>
      </c>
      <c r="V388" s="311">
        <v>2025110</v>
      </c>
      <c r="W388" s="311"/>
      <c r="X388" s="311"/>
      <c r="Y388" s="310">
        <f t="shared" si="115"/>
        <v>0</v>
      </c>
      <c r="Z388" s="311"/>
      <c r="AA388" s="311"/>
      <c r="AB388" s="311"/>
      <c r="AC388" s="311"/>
      <c r="AD388" s="311"/>
      <c r="AE388" s="311"/>
      <c r="AF388" s="311"/>
      <c r="AG388" s="310">
        <f t="shared" si="116"/>
        <v>2858836.14</v>
      </c>
      <c r="AH388" s="310">
        <f t="shared" si="117"/>
        <v>2858836.14</v>
      </c>
      <c r="AI388" s="310">
        <f t="shared" si="118"/>
        <v>0</v>
      </c>
      <c r="AJ388" s="310"/>
      <c r="AK388" s="310"/>
      <c r="AL388" s="310"/>
      <c r="AM388" s="310"/>
      <c r="AN388" s="310">
        <f t="shared" si="119"/>
        <v>0</v>
      </c>
      <c r="AO388" s="310"/>
      <c r="AP388" s="310"/>
      <c r="AQ388" s="310"/>
      <c r="AR388" s="310"/>
      <c r="AS388" s="310">
        <f t="shared" si="120"/>
        <v>2858836.14</v>
      </c>
      <c r="AT388" s="310">
        <v>974890</v>
      </c>
      <c r="AU388" s="310">
        <v>1883946.14</v>
      </c>
      <c r="AV388" s="310"/>
      <c r="AW388" s="310"/>
      <c r="AX388" s="310">
        <f t="shared" si="121"/>
        <v>0</v>
      </c>
      <c r="AY388" s="310"/>
      <c r="AZ388" s="310"/>
      <c r="BA388" s="310"/>
      <c r="BB388" s="310"/>
      <c r="BC388" s="310"/>
      <c r="BD388" s="310"/>
      <c r="BE388" s="312"/>
      <c r="BF388" s="134" t="s">
        <v>56</v>
      </c>
      <c r="BG388" s="315" t="s">
        <v>167</v>
      </c>
      <c r="BH388" s="137" t="s">
        <v>157</v>
      </c>
    </row>
    <row r="389" s="77" customFormat="1" ht="15" hidden="1" spans="1:60">
      <c r="A389" s="301">
        <v>382</v>
      </c>
      <c r="B389" s="307" t="s">
        <v>19</v>
      </c>
      <c r="C389" s="307" t="s">
        <v>20</v>
      </c>
      <c r="D389" s="308">
        <v>2022</v>
      </c>
      <c r="E389" s="313" t="s">
        <v>598</v>
      </c>
      <c r="F389" s="308" t="s">
        <v>53</v>
      </c>
      <c r="G389" s="127" t="s">
        <v>56</v>
      </c>
      <c r="H389" s="310">
        <f t="shared" si="110"/>
        <v>3163600</v>
      </c>
      <c r="I389" s="310">
        <f t="shared" si="111"/>
        <v>3163600</v>
      </c>
      <c r="J389" s="310">
        <f t="shared" si="112"/>
        <v>0</v>
      </c>
      <c r="K389" s="311"/>
      <c r="L389" s="311"/>
      <c r="M389" s="311"/>
      <c r="N389" s="311"/>
      <c r="O389" s="310">
        <f t="shared" si="113"/>
        <v>0</v>
      </c>
      <c r="P389" s="311"/>
      <c r="Q389" s="311"/>
      <c r="R389" s="311"/>
      <c r="S389" s="311"/>
      <c r="T389" s="310">
        <f t="shared" si="114"/>
        <v>3163600</v>
      </c>
      <c r="U389" s="311">
        <v>2272100</v>
      </c>
      <c r="V389" s="311"/>
      <c r="W389" s="311"/>
      <c r="X389" s="311">
        <v>891500</v>
      </c>
      <c r="Y389" s="310">
        <f t="shared" si="115"/>
        <v>0</v>
      </c>
      <c r="Z389" s="311"/>
      <c r="AA389" s="311"/>
      <c r="AB389" s="311"/>
      <c r="AC389" s="311"/>
      <c r="AD389" s="311"/>
      <c r="AE389" s="311"/>
      <c r="AF389" s="311"/>
      <c r="AG389" s="310">
        <f t="shared" si="116"/>
        <v>3062108.61</v>
      </c>
      <c r="AH389" s="310">
        <f t="shared" si="117"/>
        <v>3062108.61</v>
      </c>
      <c r="AI389" s="310">
        <f t="shared" si="118"/>
        <v>0</v>
      </c>
      <c r="AJ389" s="310"/>
      <c r="AK389" s="310"/>
      <c r="AL389" s="310"/>
      <c r="AM389" s="310"/>
      <c r="AN389" s="310">
        <f t="shared" si="119"/>
        <v>0</v>
      </c>
      <c r="AO389" s="310"/>
      <c r="AP389" s="310"/>
      <c r="AQ389" s="310"/>
      <c r="AR389" s="310"/>
      <c r="AS389" s="310">
        <f t="shared" si="120"/>
        <v>3062108.61</v>
      </c>
      <c r="AT389" s="310">
        <v>2272100</v>
      </c>
      <c r="AU389" s="310"/>
      <c r="AV389" s="310"/>
      <c r="AW389" s="310">
        <v>790008.61</v>
      </c>
      <c r="AX389" s="310">
        <f t="shared" si="121"/>
        <v>0</v>
      </c>
      <c r="AY389" s="310"/>
      <c r="AZ389" s="310"/>
      <c r="BA389" s="310"/>
      <c r="BB389" s="310"/>
      <c r="BC389" s="310"/>
      <c r="BD389" s="310"/>
      <c r="BE389" s="312"/>
      <c r="BF389" s="127" t="s">
        <v>56</v>
      </c>
      <c r="BG389" s="128" t="s">
        <v>599</v>
      </c>
      <c r="BH389" s="133" t="s">
        <v>101</v>
      </c>
    </row>
    <row r="390" s="78" customFormat="1" ht="15" hidden="1" spans="1:60">
      <c r="A390" s="301">
        <v>383</v>
      </c>
      <c r="B390" s="307" t="s">
        <v>19</v>
      </c>
      <c r="C390" s="307" t="s">
        <v>20</v>
      </c>
      <c r="D390" s="308">
        <v>2022</v>
      </c>
      <c r="E390" s="313" t="s">
        <v>600</v>
      </c>
      <c r="F390" s="308" t="s">
        <v>53</v>
      </c>
      <c r="G390" s="127" t="s">
        <v>56</v>
      </c>
      <c r="H390" s="310">
        <f t="shared" si="110"/>
        <v>26371500</v>
      </c>
      <c r="I390" s="311">
        <f t="shared" si="111"/>
        <v>26371500</v>
      </c>
      <c r="J390" s="310">
        <f t="shared" si="112"/>
        <v>0</v>
      </c>
      <c r="K390" s="311"/>
      <c r="L390" s="311"/>
      <c r="M390" s="311"/>
      <c r="N390" s="311"/>
      <c r="O390" s="310">
        <f t="shared" si="113"/>
        <v>0</v>
      </c>
      <c r="P390" s="311"/>
      <c r="Q390" s="311"/>
      <c r="R390" s="311"/>
      <c r="S390" s="311"/>
      <c r="T390" s="310">
        <f t="shared" si="114"/>
        <v>26371500</v>
      </c>
      <c r="U390" s="311">
        <v>17140330</v>
      </c>
      <c r="V390" s="311">
        <v>7303870</v>
      </c>
      <c r="W390" s="311"/>
      <c r="X390" s="311">
        <v>1927300</v>
      </c>
      <c r="Y390" s="310">
        <f t="shared" si="115"/>
        <v>0</v>
      </c>
      <c r="Z390" s="311"/>
      <c r="AA390" s="311"/>
      <c r="AB390" s="311"/>
      <c r="AC390" s="311"/>
      <c r="AD390" s="311"/>
      <c r="AE390" s="311"/>
      <c r="AF390" s="311"/>
      <c r="AG390" s="310">
        <f t="shared" si="116"/>
        <v>24615646.77</v>
      </c>
      <c r="AH390" s="310">
        <f t="shared" si="117"/>
        <v>24615646.77</v>
      </c>
      <c r="AI390" s="310">
        <f t="shared" si="118"/>
        <v>0</v>
      </c>
      <c r="AJ390" s="310"/>
      <c r="AK390" s="310"/>
      <c r="AL390" s="310"/>
      <c r="AM390" s="310"/>
      <c r="AN390" s="310">
        <f t="shared" si="119"/>
        <v>0</v>
      </c>
      <c r="AO390" s="310"/>
      <c r="AP390" s="310"/>
      <c r="AQ390" s="310"/>
      <c r="AR390" s="310"/>
      <c r="AS390" s="310">
        <f t="shared" si="120"/>
        <v>24615646.77</v>
      </c>
      <c r="AT390" s="310">
        <v>17140330</v>
      </c>
      <c r="AU390" s="310">
        <v>7303870</v>
      </c>
      <c r="AV390" s="310"/>
      <c r="AW390" s="310">
        <v>171446.77</v>
      </c>
      <c r="AX390" s="310">
        <f t="shared" si="121"/>
        <v>0</v>
      </c>
      <c r="AY390" s="310"/>
      <c r="AZ390" s="310"/>
      <c r="BA390" s="310"/>
      <c r="BB390" s="310"/>
      <c r="BC390" s="310"/>
      <c r="BD390" s="310"/>
      <c r="BE390" s="312"/>
      <c r="BF390" s="134" t="s">
        <v>56</v>
      </c>
      <c r="BG390" s="315" t="s">
        <v>314</v>
      </c>
      <c r="BH390" s="137" t="s">
        <v>378</v>
      </c>
    </row>
    <row r="391" s="78" customFormat="1" ht="15" hidden="1" spans="1:60">
      <c r="A391" s="301">
        <v>384</v>
      </c>
      <c r="B391" s="307" t="s">
        <v>19</v>
      </c>
      <c r="C391" s="307" t="s">
        <v>20</v>
      </c>
      <c r="D391" s="308">
        <v>2022</v>
      </c>
      <c r="E391" s="313" t="s">
        <v>601</v>
      </c>
      <c r="F391" s="308" t="s">
        <v>53</v>
      </c>
      <c r="G391" s="127" t="s">
        <v>53</v>
      </c>
      <c r="H391" s="310">
        <f t="shared" si="110"/>
        <v>4540000</v>
      </c>
      <c r="I391" s="310">
        <f t="shared" si="111"/>
        <v>4540000</v>
      </c>
      <c r="J391" s="310">
        <f t="shared" si="112"/>
        <v>0</v>
      </c>
      <c r="K391" s="311"/>
      <c r="L391" s="311"/>
      <c r="M391" s="311"/>
      <c r="N391" s="311"/>
      <c r="O391" s="310">
        <f t="shared" si="113"/>
        <v>0</v>
      </c>
      <c r="P391" s="311"/>
      <c r="Q391" s="311"/>
      <c r="R391" s="311"/>
      <c r="S391" s="311"/>
      <c r="T391" s="310">
        <f t="shared" si="114"/>
        <v>2540000</v>
      </c>
      <c r="U391" s="311">
        <v>2540000</v>
      </c>
      <c r="V391" s="311"/>
      <c r="W391" s="311"/>
      <c r="X391" s="311"/>
      <c r="Y391" s="310">
        <f t="shared" si="115"/>
        <v>0</v>
      </c>
      <c r="Z391" s="311"/>
      <c r="AA391" s="311"/>
      <c r="AB391" s="311"/>
      <c r="AC391" s="311">
        <v>2000000</v>
      </c>
      <c r="AD391" s="311"/>
      <c r="AE391" s="311"/>
      <c r="AF391" s="311"/>
      <c r="AG391" s="310">
        <f t="shared" si="116"/>
        <v>4540000</v>
      </c>
      <c r="AH391" s="310">
        <f t="shared" si="117"/>
        <v>4540000</v>
      </c>
      <c r="AI391" s="310">
        <f t="shared" si="118"/>
        <v>0</v>
      </c>
      <c r="AJ391" s="310"/>
      <c r="AK391" s="310"/>
      <c r="AL391" s="310"/>
      <c r="AM391" s="310"/>
      <c r="AN391" s="310">
        <f t="shared" si="119"/>
        <v>0</v>
      </c>
      <c r="AO391" s="310"/>
      <c r="AP391" s="310"/>
      <c r="AQ391" s="310"/>
      <c r="AR391" s="310"/>
      <c r="AS391" s="310">
        <f t="shared" si="120"/>
        <v>2540000</v>
      </c>
      <c r="AT391" s="310">
        <v>2540000</v>
      </c>
      <c r="AU391" s="310"/>
      <c r="AV391" s="310"/>
      <c r="AW391" s="310"/>
      <c r="AX391" s="310">
        <f t="shared" si="121"/>
        <v>0</v>
      </c>
      <c r="AY391" s="310"/>
      <c r="AZ391" s="310"/>
      <c r="BA391" s="310"/>
      <c r="BB391" s="310">
        <v>2000000</v>
      </c>
      <c r="BC391" s="310"/>
      <c r="BD391" s="310"/>
      <c r="BE391" s="312">
        <v>0</v>
      </c>
      <c r="BF391" s="134" t="s">
        <v>56</v>
      </c>
      <c r="BG391" s="315" t="s">
        <v>325</v>
      </c>
      <c r="BH391" s="137" t="s">
        <v>131</v>
      </c>
    </row>
    <row r="392" s="78" customFormat="1" ht="15" hidden="1" spans="1:60">
      <c r="A392" s="301">
        <v>385</v>
      </c>
      <c r="B392" s="307" t="s">
        <v>19</v>
      </c>
      <c r="C392" s="307" t="s">
        <v>20</v>
      </c>
      <c r="D392" s="308">
        <v>2022</v>
      </c>
      <c r="E392" s="313" t="s">
        <v>602</v>
      </c>
      <c r="F392" s="308" t="s">
        <v>53</v>
      </c>
      <c r="G392" s="127" t="s">
        <v>56</v>
      </c>
      <c r="H392" s="310">
        <f t="shared" si="110"/>
        <v>25050000</v>
      </c>
      <c r="I392" s="311">
        <f t="shared" si="111"/>
        <v>25050000</v>
      </c>
      <c r="J392" s="310">
        <f t="shared" si="112"/>
        <v>0</v>
      </c>
      <c r="K392" s="311"/>
      <c r="L392" s="311"/>
      <c r="M392" s="311"/>
      <c r="N392" s="311"/>
      <c r="O392" s="310">
        <f t="shared" si="113"/>
        <v>0</v>
      </c>
      <c r="P392" s="311"/>
      <c r="Q392" s="311"/>
      <c r="R392" s="311"/>
      <c r="S392" s="311"/>
      <c r="T392" s="310">
        <f t="shared" si="114"/>
        <v>25050000</v>
      </c>
      <c r="U392" s="311">
        <v>18535000</v>
      </c>
      <c r="V392" s="311">
        <v>5500000</v>
      </c>
      <c r="W392" s="311"/>
      <c r="X392" s="311">
        <v>1015000</v>
      </c>
      <c r="Y392" s="310">
        <f t="shared" si="115"/>
        <v>0</v>
      </c>
      <c r="Z392" s="311"/>
      <c r="AA392" s="311"/>
      <c r="AB392" s="311"/>
      <c r="AC392" s="311"/>
      <c r="AD392" s="311"/>
      <c r="AE392" s="311"/>
      <c r="AF392" s="311"/>
      <c r="AG392" s="310">
        <f t="shared" si="116"/>
        <v>23322298.44</v>
      </c>
      <c r="AH392" s="310">
        <f t="shared" si="117"/>
        <v>23322298.44</v>
      </c>
      <c r="AI392" s="310">
        <f t="shared" si="118"/>
        <v>0</v>
      </c>
      <c r="AJ392" s="310"/>
      <c r="AK392" s="310"/>
      <c r="AL392" s="310"/>
      <c r="AM392" s="310"/>
      <c r="AN392" s="310">
        <f t="shared" si="119"/>
        <v>0</v>
      </c>
      <c r="AO392" s="310"/>
      <c r="AP392" s="310"/>
      <c r="AQ392" s="310"/>
      <c r="AR392" s="310"/>
      <c r="AS392" s="310">
        <f t="shared" si="120"/>
        <v>23322298.44</v>
      </c>
      <c r="AT392" s="310">
        <v>23322298.44</v>
      </c>
      <c r="AU392" s="310"/>
      <c r="AV392" s="310"/>
      <c r="AW392" s="310"/>
      <c r="AX392" s="310">
        <f t="shared" si="121"/>
        <v>0</v>
      </c>
      <c r="AY392" s="310"/>
      <c r="AZ392" s="310"/>
      <c r="BA392" s="310"/>
      <c r="BB392" s="310"/>
      <c r="BC392" s="310"/>
      <c r="BD392" s="310"/>
      <c r="BE392" s="312"/>
      <c r="BF392" s="134" t="s">
        <v>56</v>
      </c>
      <c r="BG392" s="315" t="s">
        <v>167</v>
      </c>
      <c r="BH392" s="137" t="s">
        <v>115</v>
      </c>
    </row>
    <row r="393" s="79" customFormat="1" ht="15" hidden="1" spans="1:60">
      <c r="A393" s="301">
        <v>386</v>
      </c>
      <c r="B393" s="334" t="s">
        <v>19</v>
      </c>
      <c r="C393" s="334" t="s">
        <v>20</v>
      </c>
      <c r="D393" s="335">
        <v>2022</v>
      </c>
      <c r="E393" s="340" t="s">
        <v>603</v>
      </c>
      <c r="F393" s="335" t="s">
        <v>53</v>
      </c>
      <c r="G393" s="146" t="s">
        <v>53</v>
      </c>
      <c r="H393" s="337">
        <f t="shared" si="110"/>
        <v>5587300</v>
      </c>
      <c r="I393" s="371">
        <f t="shared" si="111"/>
        <v>5587300</v>
      </c>
      <c r="J393" s="337">
        <f t="shared" si="112"/>
        <v>0</v>
      </c>
      <c r="K393" s="371"/>
      <c r="L393" s="371"/>
      <c r="M393" s="371"/>
      <c r="N393" s="371"/>
      <c r="O393" s="337">
        <f t="shared" si="113"/>
        <v>0</v>
      </c>
      <c r="P393" s="371"/>
      <c r="Q393" s="371"/>
      <c r="R393" s="371"/>
      <c r="S393" s="371"/>
      <c r="T393" s="337">
        <f t="shared" si="114"/>
        <v>5587300</v>
      </c>
      <c r="U393" s="371">
        <v>5131300</v>
      </c>
      <c r="V393" s="371"/>
      <c r="W393" s="371"/>
      <c r="X393" s="371">
        <v>456000</v>
      </c>
      <c r="Y393" s="337">
        <f t="shared" si="115"/>
        <v>0</v>
      </c>
      <c r="Z393" s="371"/>
      <c r="AA393" s="371"/>
      <c r="AB393" s="371"/>
      <c r="AC393" s="371"/>
      <c r="AD393" s="371"/>
      <c r="AE393" s="371"/>
      <c r="AF393" s="371"/>
      <c r="AG393" s="337">
        <f t="shared" si="116"/>
        <v>5587300</v>
      </c>
      <c r="AH393" s="337">
        <f t="shared" si="117"/>
        <v>5587300</v>
      </c>
      <c r="AI393" s="337">
        <f t="shared" si="118"/>
        <v>0</v>
      </c>
      <c r="AJ393" s="337"/>
      <c r="AK393" s="337"/>
      <c r="AL393" s="337"/>
      <c r="AM393" s="337"/>
      <c r="AN393" s="337">
        <f t="shared" si="119"/>
        <v>0</v>
      </c>
      <c r="AO393" s="337"/>
      <c r="AP393" s="337"/>
      <c r="AQ393" s="337"/>
      <c r="AR393" s="337"/>
      <c r="AS393" s="337">
        <f t="shared" si="120"/>
        <v>5587300</v>
      </c>
      <c r="AT393" s="337">
        <v>5131300</v>
      </c>
      <c r="AU393" s="337"/>
      <c r="AV393" s="337"/>
      <c r="AW393" s="337">
        <v>456000</v>
      </c>
      <c r="AX393" s="337">
        <f t="shared" si="121"/>
        <v>0</v>
      </c>
      <c r="AY393" s="337"/>
      <c r="AZ393" s="337"/>
      <c r="BA393" s="337"/>
      <c r="BB393" s="337"/>
      <c r="BC393" s="337"/>
      <c r="BD393" s="337"/>
      <c r="BE393" s="338">
        <v>0</v>
      </c>
      <c r="BF393" s="139" t="s">
        <v>56</v>
      </c>
      <c r="BG393" s="339" t="s">
        <v>604</v>
      </c>
      <c r="BH393" s="147" t="s">
        <v>131</v>
      </c>
    </row>
    <row r="394" s="78" customFormat="1" ht="15" hidden="1" spans="1:60">
      <c r="A394" s="301">
        <v>387</v>
      </c>
      <c r="B394" s="307" t="s">
        <v>19</v>
      </c>
      <c r="C394" s="307" t="s">
        <v>20</v>
      </c>
      <c r="D394" s="308">
        <v>2022</v>
      </c>
      <c r="E394" s="313" t="s">
        <v>605</v>
      </c>
      <c r="F394" s="308" t="s">
        <v>53</v>
      </c>
      <c r="G394" s="127" t="s">
        <v>56</v>
      </c>
      <c r="H394" s="310">
        <f t="shared" si="110"/>
        <v>2029200</v>
      </c>
      <c r="I394" s="311">
        <f t="shared" si="111"/>
        <v>2029200</v>
      </c>
      <c r="J394" s="310">
        <f t="shared" si="112"/>
        <v>0</v>
      </c>
      <c r="K394" s="311"/>
      <c r="L394" s="311"/>
      <c r="M394" s="311"/>
      <c r="N394" s="311"/>
      <c r="O394" s="310">
        <f t="shared" si="113"/>
        <v>0</v>
      </c>
      <c r="P394" s="311"/>
      <c r="Q394" s="311"/>
      <c r="R394" s="311"/>
      <c r="S394" s="311"/>
      <c r="T394" s="310">
        <f t="shared" si="114"/>
        <v>2029200</v>
      </c>
      <c r="U394" s="311">
        <v>1500000</v>
      </c>
      <c r="V394" s="311">
        <v>400000</v>
      </c>
      <c r="W394" s="311"/>
      <c r="X394" s="311">
        <v>129200</v>
      </c>
      <c r="Y394" s="310">
        <f t="shared" si="115"/>
        <v>0</v>
      </c>
      <c r="Z394" s="311"/>
      <c r="AA394" s="311"/>
      <c r="AB394" s="311"/>
      <c r="AC394" s="311"/>
      <c r="AD394" s="311"/>
      <c r="AE394" s="311"/>
      <c r="AF394" s="311"/>
      <c r="AG394" s="310">
        <f t="shared" si="116"/>
        <v>2029200</v>
      </c>
      <c r="AH394" s="310">
        <f t="shared" si="117"/>
        <v>2029200</v>
      </c>
      <c r="AI394" s="310">
        <f t="shared" si="118"/>
        <v>0</v>
      </c>
      <c r="AJ394" s="310"/>
      <c r="AK394" s="310"/>
      <c r="AL394" s="310"/>
      <c r="AM394" s="310"/>
      <c r="AN394" s="310">
        <f t="shared" si="119"/>
        <v>0</v>
      </c>
      <c r="AO394" s="310"/>
      <c r="AP394" s="310"/>
      <c r="AQ394" s="310"/>
      <c r="AR394" s="310"/>
      <c r="AS394" s="310">
        <f t="shared" si="120"/>
        <v>2029200</v>
      </c>
      <c r="AT394" s="310">
        <v>1500000</v>
      </c>
      <c r="AU394" s="310">
        <v>400000</v>
      </c>
      <c r="AV394" s="310"/>
      <c r="AW394" s="310">
        <v>129200</v>
      </c>
      <c r="AX394" s="310">
        <f t="shared" si="121"/>
        <v>0</v>
      </c>
      <c r="AY394" s="310"/>
      <c r="AZ394" s="310"/>
      <c r="BA394" s="310"/>
      <c r="BB394" s="310"/>
      <c r="BC394" s="310"/>
      <c r="BD394" s="310"/>
      <c r="BE394" s="312"/>
      <c r="BF394" s="134" t="s">
        <v>56</v>
      </c>
      <c r="BG394" s="315" t="s">
        <v>581</v>
      </c>
      <c r="BH394" s="137" t="s">
        <v>157</v>
      </c>
    </row>
    <row r="395" s="78" customFormat="1" ht="15" hidden="1" spans="1:60">
      <c r="A395" s="301">
        <v>388</v>
      </c>
      <c r="B395" s="307" t="s">
        <v>19</v>
      </c>
      <c r="C395" s="307" t="s">
        <v>20</v>
      </c>
      <c r="D395" s="308">
        <v>2022</v>
      </c>
      <c r="E395" s="313" t="s">
        <v>606</v>
      </c>
      <c r="F395" s="308" t="s">
        <v>53</v>
      </c>
      <c r="G395" s="127" t="s">
        <v>56</v>
      </c>
      <c r="H395" s="310">
        <f t="shared" si="110"/>
        <v>6356200</v>
      </c>
      <c r="I395" s="311">
        <f t="shared" si="111"/>
        <v>6356200</v>
      </c>
      <c r="J395" s="310">
        <f t="shared" si="112"/>
        <v>0</v>
      </c>
      <c r="K395" s="311"/>
      <c r="L395" s="311"/>
      <c r="M395" s="311"/>
      <c r="N395" s="311"/>
      <c r="O395" s="310">
        <f t="shared" si="113"/>
        <v>0</v>
      </c>
      <c r="P395" s="311"/>
      <c r="Q395" s="311"/>
      <c r="R395" s="311"/>
      <c r="S395" s="311"/>
      <c r="T395" s="310">
        <f t="shared" si="114"/>
        <v>6356200</v>
      </c>
      <c r="U395" s="311">
        <v>4487800</v>
      </c>
      <c r="V395" s="311">
        <v>1000000</v>
      </c>
      <c r="W395" s="311"/>
      <c r="X395" s="311">
        <v>868400</v>
      </c>
      <c r="Y395" s="310">
        <f t="shared" si="115"/>
        <v>0</v>
      </c>
      <c r="Z395" s="311"/>
      <c r="AA395" s="311"/>
      <c r="AB395" s="311"/>
      <c r="AC395" s="311"/>
      <c r="AD395" s="311"/>
      <c r="AE395" s="311"/>
      <c r="AF395" s="311"/>
      <c r="AG395" s="310">
        <f t="shared" si="116"/>
        <v>5320369.36</v>
      </c>
      <c r="AH395" s="310">
        <f t="shared" si="117"/>
        <v>5320369.36</v>
      </c>
      <c r="AI395" s="310">
        <f t="shared" si="118"/>
        <v>0</v>
      </c>
      <c r="AJ395" s="310"/>
      <c r="AK395" s="310"/>
      <c r="AL395" s="310"/>
      <c r="AM395" s="310"/>
      <c r="AN395" s="310">
        <f t="shared" si="119"/>
        <v>0</v>
      </c>
      <c r="AO395" s="310"/>
      <c r="AP395" s="310"/>
      <c r="AQ395" s="310"/>
      <c r="AR395" s="310"/>
      <c r="AS395" s="310">
        <f t="shared" si="120"/>
        <v>5320369.36</v>
      </c>
      <c r="AT395" s="310">
        <v>4487800</v>
      </c>
      <c r="AU395" s="310">
        <v>832569.36</v>
      </c>
      <c r="AV395" s="310"/>
      <c r="AW395" s="310"/>
      <c r="AX395" s="310">
        <f t="shared" si="121"/>
        <v>0</v>
      </c>
      <c r="AY395" s="310"/>
      <c r="AZ395" s="310"/>
      <c r="BA395" s="310"/>
      <c r="BB395" s="310"/>
      <c r="BC395" s="310"/>
      <c r="BD395" s="310"/>
      <c r="BE395" s="312"/>
      <c r="BF395" s="134" t="s">
        <v>56</v>
      </c>
      <c r="BG395" s="315" t="s">
        <v>167</v>
      </c>
      <c r="BH395" s="137" t="s">
        <v>157</v>
      </c>
    </row>
    <row r="396" s="78" customFormat="1" ht="15" hidden="1" spans="1:60">
      <c r="A396" s="301">
        <v>389</v>
      </c>
      <c r="B396" s="307" t="s">
        <v>19</v>
      </c>
      <c r="C396" s="307" t="s">
        <v>20</v>
      </c>
      <c r="D396" s="308">
        <v>2022</v>
      </c>
      <c r="E396" s="313" t="s">
        <v>607</v>
      </c>
      <c r="F396" s="308" t="s">
        <v>53</v>
      </c>
      <c r="G396" s="127" t="s">
        <v>56</v>
      </c>
      <c r="H396" s="310">
        <f t="shared" si="110"/>
        <v>3575200</v>
      </c>
      <c r="I396" s="311">
        <f t="shared" si="111"/>
        <v>3575200</v>
      </c>
      <c r="J396" s="310">
        <f t="shared" si="112"/>
        <v>0</v>
      </c>
      <c r="K396" s="311"/>
      <c r="L396" s="311"/>
      <c r="M396" s="311"/>
      <c r="N396" s="311"/>
      <c r="O396" s="310">
        <f t="shared" si="113"/>
        <v>0</v>
      </c>
      <c r="P396" s="311"/>
      <c r="Q396" s="311"/>
      <c r="R396" s="311"/>
      <c r="S396" s="311"/>
      <c r="T396" s="310">
        <f t="shared" si="114"/>
        <v>3575200</v>
      </c>
      <c r="U396" s="311">
        <v>2382000</v>
      </c>
      <c r="V396" s="311">
        <v>820000</v>
      </c>
      <c r="W396" s="311"/>
      <c r="X396" s="311">
        <v>373200</v>
      </c>
      <c r="Y396" s="310">
        <f t="shared" si="115"/>
        <v>0</v>
      </c>
      <c r="Z396" s="311"/>
      <c r="AA396" s="311"/>
      <c r="AB396" s="311"/>
      <c r="AC396" s="311"/>
      <c r="AD396" s="311"/>
      <c r="AE396" s="311"/>
      <c r="AF396" s="311"/>
      <c r="AG396" s="310">
        <f t="shared" si="116"/>
        <v>3575200</v>
      </c>
      <c r="AH396" s="310">
        <f t="shared" si="117"/>
        <v>3575200</v>
      </c>
      <c r="AI396" s="310">
        <f t="shared" si="118"/>
        <v>0</v>
      </c>
      <c r="AJ396" s="310"/>
      <c r="AK396" s="310"/>
      <c r="AL396" s="310"/>
      <c r="AM396" s="310"/>
      <c r="AN396" s="310">
        <f t="shared" si="119"/>
        <v>0</v>
      </c>
      <c r="AO396" s="310"/>
      <c r="AP396" s="310"/>
      <c r="AQ396" s="310"/>
      <c r="AR396" s="310"/>
      <c r="AS396" s="310">
        <f t="shared" si="120"/>
        <v>3575200</v>
      </c>
      <c r="AT396" s="310">
        <v>2382000</v>
      </c>
      <c r="AU396" s="310">
        <v>820000</v>
      </c>
      <c r="AV396" s="310"/>
      <c r="AW396" s="310">
        <v>373200</v>
      </c>
      <c r="AX396" s="310">
        <f t="shared" si="121"/>
        <v>0</v>
      </c>
      <c r="AY396" s="310"/>
      <c r="AZ396" s="310"/>
      <c r="BA396" s="310"/>
      <c r="BB396" s="310"/>
      <c r="BC396" s="310"/>
      <c r="BD396" s="310"/>
      <c r="BE396" s="312"/>
      <c r="BF396" s="134" t="s">
        <v>56</v>
      </c>
      <c r="BG396" s="315" t="s">
        <v>608</v>
      </c>
      <c r="BH396" s="137" t="s">
        <v>157</v>
      </c>
    </row>
    <row r="397" s="78" customFormat="1" ht="15" hidden="1" spans="1:60">
      <c r="A397" s="301">
        <v>390</v>
      </c>
      <c r="B397" s="307" t="s">
        <v>19</v>
      </c>
      <c r="C397" s="307" t="s">
        <v>20</v>
      </c>
      <c r="D397" s="308">
        <v>2022</v>
      </c>
      <c r="E397" s="313" t="s">
        <v>609</v>
      </c>
      <c r="F397" s="308" t="s">
        <v>53</v>
      </c>
      <c r="G397" s="127" t="s">
        <v>56</v>
      </c>
      <c r="H397" s="310">
        <f t="shared" si="110"/>
        <v>3252700</v>
      </c>
      <c r="I397" s="311">
        <f t="shared" si="111"/>
        <v>3252700</v>
      </c>
      <c r="J397" s="310">
        <f t="shared" si="112"/>
        <v>0</v>
      </c>
      <c r="K397" s="311"/>
      <c r="L397" s="311"/>
      <c r="M397" s="311"/>
      <c r="N397" s="311"/>
      <c r="O397" s="310">
        <f t="shared" si="113"/>
        <v>0</v>
      </c>
      <c r="P397" s="311"/>
      <c r="Q397" s="311"/>
      <c r="R397" s="311"/>
      <c r="S397" s="311"/>
      <c r="T397" s="310">
        <f t="shared" si="114"/>
        <v>3252700</v>
      </c>
      <c r="U397" s="311">
        <v>2166000</v>
      </c>
      <c r="V397" s="311">
        <v>800000</v>
      </c>
      <c r="W397" s="311"/>
      <c r="X397" s="311">
        <v>286700</v>
      </c>
      <c r="Y397" s="310">
        <f t="shared" si="115"/>
        <v>0</v>
      </c>
      <c r="Z397" s="311"/>
      <c r="AA397" s="311"/>
      <c r="AB397" s="311"/>
      <c r="AC397" s="311"/>
      <c r="AD397" s="311"/>
      <c r="AE397" s="311"/>
      <c r="AF397" s="311"/>
      <c r="AG397" s="310">
        <f t="shared" si="116"/>
        <v>2626085.94</v>
      </c>
      <c r="AH397" s="310">
        <f t="shared" si="117"/>
        <v>2626085.94</v>
      </c>
      <c r="AI397" s="310">
        <f t="shared" si="118"/>
        <v>0</v>
      </c>
      <c r="AJ397" s="310"/>
      <c r="AK397" s="310"/>
      <c r="AL397" s="310"/>
      <c r="AM397" s="310"/>
      <c r="AN397" s="310">
        <f t="shared" si="119"/>
        <v>0</v>
      </c>
      <c r="AO397" s="310"/>
      <c r="AP397" s="310"/>
      <c r="AQ397" s="310"/>
      <c r="AR397" s="310"/>
      <c r="AS397" s="310">
        <f t="shared" si="120"/>
        <v>2626085.94</v>
      </c>
      <c r="AT397" s="310">
        <v>2166000</v>
      </c>
      <c r="AU397" s="310">
        <v>460085.94</v>
      </c>
      <c r="AV397" s="310"/>
      <c r="AW397" s="310"/>
      <c r="AX397" s="310">
        <f t="shared" si="121"/>
        <v>0</v>
      </c>
      <c r="AY397" s="310"/>
      <c r="AZ397" s="310"/>
      <c r="BA397" s="310"/>
      <c r="BB397" s="310"/>
      <c r="BC397" s="310"/>
      <c r="BD397" s="310"/>
      <c r="BE397" s="312"/>
      <c r="BF397" s="134" t="s">
        <v>56</v>
      </c>
      <c r="BG397" s="315" t="s">
        <v>167</v>
      </c>
      <c r="BH397" s="137" t="s">
        <v>157</v>
      </c>
    </row>
    <row r="398" s="77" customFormat="1" ht="15" hidden="1" spans="1:60">
      <c r="A398" s="301">
        <v>391</v>
      </c>
      <c r="B398" s="307" t="s">
        <v>19</v>
      </c>
      <c r="C398" s="307" t="s">
        <v>20</v>
      </c>
      <c r="D398" s="308">
        <v>2022</v>
      </c>
      <c r="E398" s="313" t="s">
        <v>610</v>
      </c>
      <c r="F398" s="308" t="s">
        <v>53</v>
      </c>
      <c r="G398" s="127" t="s">
        <v>56</v>
      </c>
      <c r="H398" s="310">
        <f t="shared" si="110"/>
        <v>3793400</v>
      </c>
      <c r="I398" s="311">
        <f t="shared" si="111"/>
        <v>3793400</v>
      </c>
      <c r="J398" s="310">
        <f t="shared" si="112"/>
        <v>0</v>
      </c>
      <c r="K398" s="311"/>
      <c r="L398" s="311"/>
      <c r="M398" s="311"/>
      <c r="N398" s="311"/>
      <c r="O398" s="310">
        <f t="shared" si="113"/>
        <v>0</v>
      </c>
      <c r="P398" s="311"/>
      <c r="Q398" s="311"/>
      <c r="R398" s="311"/>
      <c r="S398" s="311"/>
      <c r="T398" s="310">
        <f t="shared" si="114"/>
        <v>3793400</v>
      </c>
      <c r="U398" s="311">
        <v>2965700</v>
      </c>
      <c r="V398" s="311">
        <v>500000</v>
      </c>
      <c r="W398" s="311"/>
      <c r="X398" s="311">
        <v>327700</v>
      </c>
      <c r="Y398" s="310">
        <f t="shared" si="115"/>
        <v>0</v>
      </c>
      <c r="Z398" s="311"/>
      <c r="AA398" s="311"/>
      <c r="AB398" s="311"/>
      <c r="AC398" s="311"/>
      <c r="AD398" s="311"/>
      <c r="AE398" s="311"/>
      <c r="AF398" s="311"/>
      <c r="AG398" s="310">
        <f t="shared" si="116"/>
        <v>3793400</v>
      </c>
      <c r="AH398" s="310">
        <f t="shared" si="117"/>
        <v>3793400</v>
      </c>
      <c r="AI398" s="310">
        <f t="shared" si="118"/>
        <v>0</v>
      </c>
      <c r="AJ398" s="310"/>
      <c r="AK398" s="310"/>
      <c r="AL398" s="310"/>
      <c r="AM398" s="310"/>
      <c r="AN398" s="310">
        <f t="shared" si="119"/>
        <v>0</v>
      </c>
      <c r="AO398" s="310"/>
      <c r="AP398" s="310"/>
      <c r="AQ398" s="310"/>
      <c r="AR398" s="310"/>
      <c r="AS398" s="310">
        <f t="shared" si="120"/>
        <v>3793400</v>
      </c>
      <c r="AT398" s="310">
        <v>2965700</v>
      </c>
      <c r="AU398" s="310">
        <v>500000</v>
      </c>
      <c r="AV398" s="310"/>
      <c r="AW398" s="310">
        <v>327700</v>
      </c>
      <c r="AX398" s="310">
        <f t="shared" si="121"/>
        <v>0</v>
      </c>
      <c r="AY398" s="310"/>
      <c r="AZ398" s="310"/>
      <c r="BA398" s="310"/>
      <c r="BB398" s="310"/>
      <c r="BC398" s="310"/>
      <c r="BD398" s="310"/>
      <c r="BE398" s="312"/>
      <c r="BF398" s="127" t="s">
        <v>56</v>
      </c>
      <c r="BG398" s="128" t="s">
        <v>239</v>
      </c>
      <c r="BH398" s="133" t="s">
        <v>131</v>
      </c>
    </row>
    <row r="399" s="78" customFormat="1" ht="15" hidden="1" spans="1:60">
      <c r="A399" s="301">
        <v>392</v>
      </c>
      <c r="B399" s="307" t="s">
        <v>19</v>
      </c>
      <c r="C399" s="307" t="s">
        <v>20</v>
      </c>
      <c r="D399" s="308">
        <v>2022</v>
      </c>
      <c r="E399" s="313" t="s">
        <v>611</v>
      </c>
      <c r="F399" s="308" t="s">
        <v>53</v>
      </c>
      <c r="G399" s="127" t="s">
        <v>56</v>
      </c>
      <c r="H399" s="310">
        <f t="shared" si="110"/>
        <v>554200</v>
      </c>
      <c r="I399" s="311">
        <f t="shared" si="111"/>
        <v>554200</v>
      </c>
      <c r="J399" s="310">
        <f t="shared" si="112"/>
        <v>0</v>
      </c>
      <c r="K399" s="311"/>
      <c r="L399" s="311"/>
      <c r="M399" s="311"/>
      <c r="N399" s="311"/>
      <c r="O399" s="310">
        <f t="shared" si="113"/>
        <v>0</v>
      </c>
      <c r="P399" s="311"/>
      <c r="Q399" s="311"/>
      <c r="R399" s="311"/>
      <c r="S399" s="311"/>
      <c r="T399" s="310">
        <f t="shared" si="114"/>
        <v>554200</v>
      </c>
      <c r="U399" s="311">
        <v>474200</v>
      </c>
      <c r="V399" s="311">
        <v>80000</v>
      </c>
      <c r="W399" s="311"/>
      <c r="X399" s="311"/>
      <c r="Y399" s="310">
        <f t="shared" si="115"/>
        <v>0</v>
      </c>
      <c r="Z399" s="311"/>
      <c r="AA399" s="311"/>
      <c r="AB399" s="311"/>
      <c r="AC399" s="311"/>
      <c r="AD399" s="311"/>
      <c r="AE399" s="311"/>
      <c r="AF399" s="311"/>
      <c r="AG399" s="310">
        <f t="shared" si="116"/>
        <v>554200</v>
      </c>
      <c r="AH399" s="310">
        <f t="shared" si="117"/>
        <v>554200</v>
      </c>
      <c r="AI399" s="310">
        <f t="shared" si="118"/>
        <v>0</v>
      </c>
      <c r="AJ399" s="310"/>
      <c r="AK399" s="310"/>
      <c r="AL399" s="310"/>
      <c r="AM399" s="310"/>
      <c r="AN399" s="310">
        <f t="shared" si="119"/>
        <v>0</v>
      </c>
      <c r="AO399" s="310"/>
      <c r="AP399" s="310"/>
      <c r="AQ399" s="310"/>
      <c r="AR399" s="310"/>
      <c r="AS399" s="310">
        <f t="shared" si="120"/>
        <v>554200</v>
      </c>
      <c r="AT399" s="310">
        <v>474200</v>
      </c>
      <c r="AU399" s="310">
        <v>80000</v>
      </c>
      <c r="AV399" s="310"/>
      <c r="AW399" s="310"/>
      <c r="AX399" s="310">
        <f t="shared" si="121"/>
        <v>0</v>
      </c>
      <c r="AY399" s="310"/>
      <c r="AZ399" s="310"/>
      <c r="BA399" s="310"/>
      <c r="BB399" s="310"/>
      <c r="BC399" s="310"/>
      <c r="BD399" s="310"/>
      <c r="BE399" s="312"/>
      <c r="BF399" s="134" t="s">
        <v>56</v>
      </c>
      <c r="BG399" s="315" t="s">
        <v>612</v>
      </c>
      <c r="BH399" s="137" t="s">
        <v>131</v>
      </c>
    </row>
    <row r="400" s="78" customFormat="1" ht="15" hidden="1" spans="1:60">
      <c r="A400" s="301">
        <v>393</v>
      </c>
      <c r="B400" s="307" t="s">
        <v>19</v>
      </c>
      <c r="C400" s="307" t="s">
        <v>20</v>
      </c>
      <c r="D400" s="308">
        <v>2022</v>
      </c>
      <c r="E400" s="313" t="s">
        <v>613</v>
      </c>
      <c r="F400" s="308" t="s">
        <v>53</v>
      </c>
      <c r="G400" s="127" t="s">
        <v>56</v>
      </c>
      <c r="H400" s="310">
        <f t="shared" si="110"/>
        <v>9000000</v>
      </c>
      <c r="I400" s="311">
        <f t="shared" si="111"/>
        <v>9000000</v>
      </c>
      <c r="J400" s="310">
        <f t="shared" si="112"/>
        <v>0</v>
      </c>
      <c r="K400" s="311"/>
      <c r="L400" s="311"/>
      <c r="M400" s="311"/>
      <c r="N400" s="311"/>
      <c r="O400" s="310">
        <f t="shared" si="113"/>
        <v>0</v>
      </c>
      <c r="P400" s="311"/>
      <c r="Q400" s="311"/>
      <c r="R400" s="311"/>
      <c r="S400" s="311"/>
      <c r="T400" s="310">
        <f t="shared" si="114"/>
        <v>9000000</v>
      </c>
      <c r="U400" s="311">
        <v>6800000</v>
      </c>
      <c r="V400" s="311">
        <v>1900000</v>
      </c>
      <c r="W400" s="311"/>
      <c r="X400" s="311">
        <v>300000</v>
      </c>
      <c r="Y400" s="310">
        <f t="shared" si="115"/>
        <v>0</v>
      </c>
      <c r="Z400" s="311"/>
      <c r="AA400" s="311"/>
      <c r="AB400" s="311"/>
      <c r="AC400" s="311"/>
      <c r="AD400" s="311"/>
      <c r="AE400" s="311"/>
      <c r="AF400" s="311"/>
      <c r="AG400" s="310">
        <f t="shared" si="116"/>
        <v>8297240.73</v>
      </c>
      <c r="AH400" s="310">
        <f t="shared" si="117"/>
        <v>8297240.73</v>
      </c>
      <c r="AI400" s="310">
        <f t="shared" si="118"/>
        <v>0</v>
      </c>
      <c r="AJ400" s="310"/>
      <c r="AK400" s="310"/>
      <c r="AL400" s="310"/>
      <c r="AM400" s="310"/>
      <c r="AN400" s="310">
        <f t="shared" si="119"/>
        <v>0</v>
      </c>
      <c r="AO400" s="310"/>
      <c r="AP400" s="310"/>
      <c r="AQ400" s="310"/>
      <c r="AR400" s="310"/>
      <c r="AS400" s="310">
        <f t="shared" si="120"/>
        <v>8297240.73</v>
      </c>
      <c r="AT400" s="310">
        <v>6800000</v>
      </c>
      <c r="AU400" s="310">
        <v>1497240.73</v>
      </c>
      <c r="AV400" s="310"/>
      <c r="AW400" s="310"/>
      <c r="AX400" s="310">
        <f t="shared" si="121"/>
        <v>0</v>
      </c>
      <c r="AY400" s="310"/>
      <c r="AZ400" s="310"/>
      <c r="BA400" s="310"/>
      <c r="BB400" s="310"/>
      <c r="BC400" s="310"/>
      <c r="BD400" s="310"/>
      <c r="BE400" s="312"/>
      <c r="BF400" s="134" t="s">
        <v>56</v>
      </c>
      <c r="BG400" s="315" t="s">
        <v>162</v>
      </c>
      <c r="BH400" s="137" t="s">
        <v>157</v>
      </c>
    </row>
    <row r="401" s="78" customFormat="1" ht="15" hidden="1" spans="1:60">
      <c r="A401" s="301">
        <v>394</v>
      </c>
      <c r="B401" s="307" t="s">
        <v>19</v>
      </c>
      <c r="C401" s="307" t="s">
        <v>20</v>
      </c>
      <c r="D401" s="308">
        <v>2022</v>
      </c>
      <c r="E401" s="313" t="s">
        <v>614</v>
      </c>
      <c r="F401" s="308" t="s">
        <v>53</v>
      </c>
      <c r="G401" s="127" t="s">
        <v>56</v>
      </c>
      <c r="H401" s="310">
        <f t="shared" si="110"/>
        <v>3649200</v>
      </c>
      <c r="I401" s="311">
        <f t="shared" si="111"/>
        <v>3649200</v>
      </c>
      <c r="J401" s="310">
        <f t="shared" si="112"/>
        <v>0</v>
      </c>
      <c r="K401" s="311"/>
      <c r="L401" s="311"/>
      <c r="M401" s="311"/>
      <c r="N401" s="311"/>
      <c r="O401" s="310">
        <f t="shared" si="113"/>
        <v>0</v>
      </c>
      <c r="P401" s="311"/>
      <c r="Q401" s="311"/>
      <c r="R401" s="311"/>
      <c r="S401" s="311"/>
      <c r="T401" s="310">
        <f t="shared" si="114"/>
        <v>3649200</v>
      </c>
      <c r="U401" s="311">
        <v>2558000</v>
      </c>
      <c r="V401" s="311">
        <v>800000</v>
      </c>
      <c r="W401" s="311"/>
      <c r="X401" s="311">
        <v>291200</v>
      </c>
      <c r="Y401" s="310">
        <f t="shared" si="115"/>
        <v>0</v>
      </c>
      <c r="Z401" s="311"/>
      <c r="AA401" s="311"/>
      <c r="AB401" s="311"/>
      <c r="AC401" s="311"/>
      <c r="AD401" s="311"/>
      <c r="AE401" s="311"/>
      <c r="AF401" s="311"/>
      <c r="AG401" s="310">
        <f t="shared" si="116"/>
        <v>3368512.52</v>
      </c>
      <c r="AH401" s="310">
        <f t="shared" si="117"/>
        <v>3368512.52</v>
      </c>
      <c r="AI401" s="310">
        <f t="shared" si="118"/>
        <v>0</v>
      </c>
      <c r="AJ401" s="310"/>
      <c r="AK401" s="310"/>
      <c r="AL401" s="310"/>
      <c r="AM401" s="310"/>
      <c r="AN401" s="310">
        <f t="shared" si="119"/>
        <v>0</v>
      </c>
      <c r="AO401" s="310"/>
      <c r="AP401" s="310"/>
      <c r="AQ401" s="310"/>
      <c r="AR401" s="310"/>
      <c r="AS401" s="310">
        <f t="shared" si="120"/>
        <v>3368512.52</v>
      </c>
      <c r="AT401" s="310">
        <v>2558000</v>
      </c>
      <c r="AU401" s="310">
        <v>800000</v>
      </c>
      <c r="AV401" s="310"/>
      <c r="AW401" s="310">
        <v>10512.52</v>
      </c>
      <c r="AX401" s="310">
        <f t="shared" si="121"/>
        <v>0</v>
      </c>
      <c r="AY401" s="310"/>
      <c r="AZ401" s="310"/>
      <c r="BA401" s="310"/>
      <c r="BB401" s="310"/>
      <c r="BC401" s="310"/>
      <c r="BD401" s="310"/>
      <c r="BE401" s="312"/>
      <c r="BF401" s="134" t="s">
        <v>56</v>
      </c>
      <c r="BG401" s="315" t="s">
        <v>162</v>
      </c>
      <c r="BH401" s="137" t="s">
        <v>157</v>
      </c>
    </row>
    <row r="402" s="78" customFormat="1" ht="15" hidden="1" spans="1:60">
      <c r="A402" s="301">
        <v>395</v>
      </c>
      <c r="B402" s="307" t="s">
        <v>19</v>
      </c>
      <c r="C402" s="307" t="s">
        <v>20</v>
      </c>
      <c r="D402" s="308">
        <v>2022</v>
      </c>
      <c r="E402" s="313" t="s">
        <v>615</v>
      </c>
      <c r="F402" s="308" t="s">
        <v>53</v>
      </c>
      <c r="G402" s="127" t="s">
        <v>56</v>
      </c>
      <c r="H402" s="310">
        <f t="shared" si="110"/>
        <v>77817900</v>
      </c>
      <c r="I402" s="310">
        <f t="shared" si="111"/>
        <v>77817900</v>
      </c>
      <c r="J402" s="310">
        <f t="shared" si="112"/>
        <v>0</v>
      </c>
      <c r="K402" s="311"/>
      <c r="L402" s="311"/>
      <c r="M402" s="311"/>
      <c r="N402" s="311"/>
      <c r="O402" s="310">
        <f t="shared" si="113"/>
        <v>0</v>
      </c>
      <c r="P402" s="311"/>
      <c r="Q402" s="311"/>
      <c r="R402" s="311"/>
      <c r="S402" s="311"/>
      <c r="T402" s="310">
        <f t="shared" si="114"/>
        <v>77817900</v>
      </c>
      <c r="U402" s="311">
        <v>77817900</v>
      </c>
      <c r="V402" s="311"/>
      <c r="W402" s="311"/>
      <c r="X402" s="311"/>
      <c r="Y402" s="310">
        <f t="shared" si="115"/>
        <v>0</v>
      </c>
      <c r="Z402" s="311"/>
      <c r="AA402" s="311"/>
      <c r="AB402" s="311"/>
      <c r="AC402" s="311"/>
      <c r="AD402" s="311"/>
      <c r="AE402" s="311"/>
      <c r="AF402" s="311"/>
      <c r="AG402" s="310">
        <f t="shared" si="116"/>
        <v>75851339.38</v>
      </c>
      <c r="AH402" s="310">
        <f t="shared" si="117"/>
        <v>75851339.38</v>
      </c>
      <c r="AI402" s="310">
        <f t="shared" si="118"/>
        <v>0</v>
      </c>
      <c r="AJ402" s="310"/>
      <c r="AK402" s="310"/>
      <c r="AL402" s="310"/>
      <c r="AM402" s="310"/>
      <c r="AN402" s="310">
        <f t="shared" si="119"/>
        <v>0</v>
      </c>
      <c r="AO402" s="310"/>
      <c r="AP402" s="310"/>
      <c r="AQ402" s="310"/>
      <c r="AR402" s="310"/>
      <c r="AS402" s="310">
        <f t="shared" si="120"/>
        <v>75851339.38</v>
      </c>
      <c r="AT402" s="310">
        <v>75851339.38</v>
      </c>
      <c r="AU402" s="310"/>
      <c r="AV402" s="310"/>
      <c r="AW402" s="310"/>
      <c r="AX402" s="310">
        <f t="shared" si="121"/>
        <v>0</v>
      </c>
      <c r="AY402" s="310"/>
      <c r="AZ402" s="310"/>
      <c r="BA402" s="310"/>
      <c r="BB402" s="310"/>
      <c r="BC402" s="310"/>
      <c r="BD402" s="310"/>
      <c r="BE402" s="312"/>
      <c r="BF402" s="134" t="s">
        <v>56</v>
      </c>
      <c r="BG402" s="315" t="s">
        <v>592</v>
      </c>
      <c r="BH402" s="137" t="s">
        <v>323</v>
      </c>
    </row>
    <row r="403" s="78" customFormat="1" ht="15" hidden="1" spans="1:60">
      <c r="A403" s="301">
        <v>396</v>
      </c>
      <c r="B403" s="307" t="s">
        <v>19</v>
      </c>
      <c r="C403" s="307" t="s">
        <v>20</v>
      </c>
      <c r="D403" s="308">
        <v>2022</v>
      </c>
      <c r="E403" s="313" t="s">
        <v>616</v>
      </c>
      <c r="F403" s="308" t="s">
        <v>53</v>
      </c>
      <c r="G403" s="127" t="s">
        <v>56</v>
      </c>
      <c r="H403" s="310">
        <f t="shared" si="110"/>
        <v>3342600</v>
      </c>
      <c r="I403" s="311">
        <f t="shared" si="111"/>
        <v>3342600</v>
      </c>
      <c r="J403" s="310">
        <f t="shared" si="112"/>
        <v>0</v>
      </c>
      <c r="K403" s="311"/>
      <c r="L403" s="311"/>
      <c r="M403" s="311"/>
      <c r="N403" s="311"/>
      <c r="O403" s="310">
        <f t="shared" si="113"/>
        <v>0</v>
      </c>
      <c r="P403" s="311"/>
      <c r="Q403" s="311"/>
      <c r="R403" s="311"/>
      <c r="S403" s="311"/>
      <c r="T403" s="310">
        <f t="shared" si="114"/>
        <v>3342600</v>
      </c>
      <c r="U403" s="311"/>
      <c r="V403" s="311"/>
      <c r="W403" s="311">
        <v>3342600</v>
      </c>
      <c r="X403" s="311"/>
      <c r="Y403" s="310">
        <f t="shared" si="115"/>
        <v>0</v>
      </c>
      <c r="Z403" s="311"/>
      <c r="AA403" s="311"/>
      <c r="AB403" s="311"/>
      <c r="AC403" s="311"/>
      <c r="AD403" s="311"/>
      <c r="AE403" s="311"/>
      <c r="AF403" s="311"/>
      <c r="AG403" s="310">
        <f t="shared" si="116"/>
        <v>2880673.17</v>
      </c>
      <c r="AH403" s="310">
        <f t="shared" si="117"/>
        <v>2880673.17</v>
      </c>
      <c r="AI403" s="310">
        <f t="shared" si="118"/>
        <v>0</v>
      </c>
      <c r="AJ403" s="310"/>
      <c r="AK403" s="310"/>
      <c r="AL403" s="310"/>
      <c r="AM403" s="310"/>
      <c r="AN403" s="310">
        <f t="shared" si="119"/>
        <v>0</v>
      </c>
      <c r="AO403" s="310"/>
      <c r="AP403" s="310"/>
      <c r="AQ403" s="310"/>
      <c r="AR403" s="310"/>
      <c r="AS403" s="310">
        <f t="shared" si="120"/>
        <v>2880673.17</v>
      </c>
      <c r="AT403" s="310"/>
      <c r="AU403" s="310"/>
      <c r="AV403" s="310">
        <v>2880673.17</v>
      </c>
      <c r="AW403" s="310"/>
      <c r="AX403" s="310">
        <f t="shared" si="121"/>
        <v>0</v>
      </c>
      <c r="AY403" s="310"/>
      <c r="AZ403" s="310"/>
      <c r="BA403" s="310"/>
      <c r="BB403" s="310"/>
      <c r="BC403" s="310"/>
      <c r="BD403" s="310"/>
      <c r="BE403" s="312"/>
      <c r="BF403" s="134" t="s">
        <v>56</v>
      </c>
      <c r="BG403" s="315" t="s">
        <v>169</v>
      </c>
      <c r="BH403" s="137" t="s">
        <v>157</v>
      </c>
    </row>
    <row r="404" s="78" customFormat="1" ht="15" hidden="1" spans="1:60">
      <c r="A404" s="301">
        <v>397</v>
      </c>
      <c r="B404" s="307" t="s">
        <v>19</v>
      </c>
      <c r="C404" s="307" t="s">
        <v>20</v>
      </c>
      <c r="D404" s="308">
        <v>2022</v>
      </c>
      <c r="E404" s="313" t="s">
        <v>617</v>
      </c>
      <c r="F404" s="308" t="s">
        <v>53</v>
      </c>
      <c r="G404" s="127" t="s">
        <v>56</v>
      </c>
      <c r="H404" s="310">
        <f t="shared" si="110"/>
        <v>2320000</v>
      </c>
      <c r="I404" s="310">
        <f t="shared" si="111"/>
        <v>2320000</v>
      </c>
      <c r="J404" s="310">
        <f t="shared" si="112"/>
        <v>0</v>
      </c>
      <c r="K404" s="311"/>
      <c r="L404" s="311"/>
      <c r="M404" s="311"/>
      <c r="N404" s="311"/>
      <c r="O404" s="310">
        <f t="shared" si="113"/>
        <v>0</v>
      </c>
      <c r="P404" s="311"/>
      <c r="Q404" s="311"/>
      <c r="R404" s="311"/>
      <c r="S404" s="311"/>
      <c r="T404" s="310">
        <f t="shared" si="114"/>
        <v>2320000</v>
      </c>
      <c r="U404" s="311"/>
      <c r="V404" s="311"/>
      <c r="W404" s="311">
        <v>2320000</v>
      </c>
      <c r="X404" s="311"/>
      <c r="Y404" s="310">
        <f t="shared" si="115"/>
        <v>0</v>
      </c>
      <c r="Z404" s="311"/>
      <c r="AA404" s="311"/>
      <c r="AB404" s="311"/>
      <c r="AC404" s="311"/>
      <c r="AD404" s="311"/>
      <c r="AE404" s="311"/>
      <c r="AF404" s="311"/>
      <c r="AG404" s="310">
        <f t="shared" si="116"/>
        <v>1976741.49</v>
      </c>
      <c r="AH404" s="310">
        <f t="shared" si="117"/>
        <v>1976741.49</v>
      </c>
      <c r="AI404" s="310">
        <f t="shared" si="118"/>
        <v>0</v>
      </c>
      <c r="AJ404" s="310"/>
      <c r="AK404" s="310"/>
      <c r="AL404" s="310"/>
      <c r="AM404" s="310"/>
      <c r="AN404" s="310">
        <f t="shared" si="119"/>
        <v>0</v>
      </c>
      <c r="AO404" s="310"/>
      <c r="AP404" s="310"/>
      <c r="AQ404" s="310"/>
      <c r="AR404" s="310"/>
      <c r="AS404" s="310">
        <f t="shared" si="120"/>
        <v>1976741.49</v>
      </c>
      <c r="AT404" s="310"/>
      <c r="AU404" s="310"/>
      <c r="AV404" s="310">
        <v>1976741.49</v>
      </c>
      <c r="AW404" s="310"/>
      <c r="AX404" s="310">
        <f t="shared" si="121"/>
        <v>0</v>
      </c>
      <c r="AY404" s="310"/>
      <c r="AZ404" s="310"/>
      <c r="BA404" s="310"/>
      <c r="BB404" s="310"/>
      <c r="BC404" s="310"/>
      <c r="BD404" s="310"/>
      <c r="BE404" s="312"/>
      <c r="BF404" s="134" t="s">
        <v>56</v>
      </c>
      <c r="BG404" s="315" t="s">
        <v>276</v>
      </c>
      <c r="BH404" s="137" t="s">
        <v>131</v>
      </c>
    </row>
    <row r="405" s="78" customFormat="1" ht="15" hidden="1" spans="1:60">
      <c r="A405" s="301">
        <v>398</v>
      </c>
      <c r="B405" s="307" t="s">
        <v>19</v>
      </c>
      <c r="C405" s="307" t="s">
        <v>20</v>
      </c>
      <c r="D405" s="308">
        <v>2023</v>
      </c>
      <c r="E405" s="309" t="s">
        <v>618</v>
      </c>
      <c r="F405" s="308" t="s">
        <v>53</v>
      </c>
      <c r="G405" s="127" t="s">
        <v>53</v>
      </c>
      <c r="H405" s="310">
        <f t="shared" si="110"/>
        <v>2270000</v>
      </c>
      <c r="I405" s="310">
        <f t="shared" si="111"/>
        <v>2270000</v>
      </c>
      <c r="J405" s="310">
        <f t="shared" si="112"/>
        <v>0</v>
      </c>
      <c r="K405" s="311"/>
      <c r="L405" s="311"/>
      <c r="M405" s="311"/>
      <c r="N405" s="311"/>
      <c r="O405" s="310">
        <f t="shared" si="113"/>
        <v>0</v>
      </c>
      <c r="P405" s="311"/>
      <c r="Q405" s="311"/>
      <c r="R405" s="311"/>
      <c r="S405" s="311"/>
      <c r="T405" s="310">
        <f t="shared" si="114"/>
        <v>1270000</v>
      </c>
      <c r="U405" s="311"/>
      <c r="V405" s="311"/>
      <c r="W405" s="311"/>
      <c r="X405" s="311">
        <v>1270000</v>
      </c>
      <c r="Y405" s="310">
        <f t="shared" si="115"/>
        <v>0</v>
      </c>
      <c r="Z405" s="311"/>
      <c r="AA405" s="311"/>
      <c r="AB405" s="311"/>
      <c r="AC405" s="311">
        <v>1000000</v>
      </c>
      <c r="AD405" s="311"/>
      <c r="AE405" s="311"/>
      <c r="AF405" s="311"/>
      <c r="AG405" s="310">
        <f t="shared" si="116"/>
        <v>2143402.26</v>
      </c>
      <c r="AH405" s="310">
        <f t="shared" si="117"/>
        <v>2143402.26</v>
      </c>
      <c r="AI405" s="310">
        <f t="shared" si="118"/>
        <v>0</v>
      </c>
      <c r="AJ405" s="310"/>
      <c r="AK405" s="310"/>
      <c r="AL405" s="310"/>
      <c r="AM405" s="310"/>
      <c r="AN405" s="310">
        <f t="shared" si="119"/>
        <v>0</v>
      </c>
      <c r="AO405" s="310"/>
      <c r="AP405" s="310"/>
      <c r="AQ405" s="310"/>
      <c r="AR405" s="310"/>
      <c r="AS405" s="310">
        <f t="shared" si="120"/>
        <v>1143402.26</v>
      </c>
      <c r="AT405" s="310"/>
      <c r="AU405" s="310"/>
      <c r="AV405" s="310"/>
      <c r="AW405" s="310">
        <v>1143402.26</v>
      </c>
      <c r="AX405" s="310">
        <f t="shared" si="121"/>
        <v>0</v>
      </c>
      <c r="AY405" s="310"/>
      <c r="AZ405" s="310"/>
      <c r="BA405" s="310"/>
      <c r="BB405" s="310">
        <v>1000000</v>
      </c>
      <c r="BC405" s="310"/>
      <c r="BD405" s="310"/>
      <c r="BE405" s="312">
        <v>0</v>
      </c>
      <c r="BF405" s="134" t="s">
        <v>56</v>
      </c>
      <c r="BG405" s="315" t="s">
        <v>162</v>
      </c>
      <c r="BH405" s="137" t="s">
        <v>210</v>
      </c>
    </row>
    <row r="406" s="79" customFormat="1" ht="15" hidden="1" spans="1:60">
      <c r="A406" s="301">
        <v>399</v>
      </c>
      <c r="B406" s="334" t="s">
        <v>19</v>
      </c>
      <c r="C406" s="334" t="s">
        <v>20</v>
      </c>
      <c r="D406" s="335">
        <v>2023</v>
      </c>
      <c r="E406" s="340" t="s">
        <v>619</v>
      </c>
      <c r="F406" s="335" t="s">
        <v>53</v>
      </c>
      <c r="G406" s="146" t="s">
        <v>56</v>
      </c>
      <c r="H406" s="337">
        <f t="shared" si="110"/>
        <v>3800000</v>
      </c>
      <c r="I406" s="337">
        <f t="shared" si="111"/>
        <v>3800000</v>
      </c>
      <c r="J406" s="337">
        <f t="shared" si="112"/>
        <v>0</v>
      </c>
      <c r="K406" s="371"/>
      <c r="L406" s="371"/>
      <c r="M406" s="371"/>
      <c r="N406" s="371"/>
      <c r="O406" s="337">
        <f t="shared" si="113"/>
        <v>0</v>
      </c>
      <c r="P406" s="371"/>
      <c r="Q406" s="371"/>
      <c r="R406" s="371"/>
      <c r="S406" s="371"/>
      <c r="T406" s="337">
        <f t="shared" si="114"/>
        <v>0</v>
      </c>
      <c r="U406" s="371"/>
      <c r="V406" s="371"/>
      <c r="W406" s="371"/>
      <c r="X406" s="371"/>
      <c r="Y406" s="337">
        <f t="shared" si="115"/>
        <v>3800000</v>
      </c>
      <c r="Z406" s="371"/>
      <c r="AA406" s="371">
        <v>3800000</v>
      </c>
      <c r="AB406" s="371"/>
      <c r="AC406" s="371"/>
      <c r="AD406" s="371"/>
      <c r="AE406" s="371"/>
      <c r="AF406" s="371"/>
      <c r="AG406" s="337">
        <f t="shared" si="116"/>
        <v>3800000</v>
      </c>
      <c r="AH406" s="337">
        <f t="shared" si="117"/>
        <v>3800000</v>
      </c>
      <c r="AI406" s="337">
        <f t="shared" si="118"/>
        <v>0</v>
      </c>
      <c r="AJ406" s="337"/>
      <c r="AK406" s="337"/>
      <c r="AL406" s="337"/>
      <c r="AM406" s="337"/>
      <c r="AN406" s="337">
        <f t="shared" si="119"/>
        <v>0</v>
      </c>
      <c r="AO406" s="337"/>
      <c r="AP406" s="337"/>
      <c r="AQ406" s="337"/>
      <c r="AR406" s="337"/>
      <c r="AS406" s="337">
        <f t="shared" si="120"/>
        <v>0</v>
      </c>
      <c r="AT406" s="337"/>
      <c r="AU406" s="337"/>
      <c r="AV406" s="337"/>
      <c r="AW406" s="337"/>
      <c r="AX406" s="337">
        <f t="shared" si="121"/>
        <v>3800000</v>
      </c>
      <c r="AY406" s="337"/>
      <c r="AZ406" s="337">
        <v>3800000</v>
      </c>
      <c r="BA406" s="337"/>
      <c r="BB406" s="337"/>
      <c r="BC406" s="337"/>
      <c r="BD406" s="337"/>
      <c r="BE406" s="338"/>
      <c r="BF406" s="139" t="s">
        <v>56</v>
      </c>
      <c r="BG406" s="339" t="s">
        <v>221</v>
      </c>
      <c r="BH406" s="147" t="s">
        <v>620</v>
      </c>
    </row>
    <row r="407" s="78" customFormat="1" ht="15" hidden="1" spans="1:60">
      <c r="A407" s="301">
        <v>400</v>
      </c>
      <c r="B407" s="307" t="s">
        <v>19</v>
      </c>
      <c r="C407" s="307" t="s">
        <v>20</v>
      </c>
      <c r="D407" s="308">
        <v>2023</v>
      </c>
      <c r="E407" s="313" t="s">
        <v>621</v>
      </c>
      <c r="F407" s="308" t="s">
        <v>53</v>
      </c>
      <c r="G407" s="127" t="s">
        <v>53</v>
      </c>
      <c r="H407" s="310">
        <f t="shared" si="110"/>
        <v>4158800</v>
      </c>
      <c r="I407" s="311">
        <f t="shared" si="111"/>
        <v>4158800</v>
      </c>
      <c r="J407" s="310">
        <f t="shared" si="112"/>
        <v>0</v>
      </c>
      <c r="K407" s="311"/>
      <c r="L407" s="311"/>
      <c r="M407" s="311"/>
      <c r="N407" s="311"/>
      <c r="O407" s="310">
        <f t="shared" si="113"/>
        <v>0</v>
      </c>
      <c r="P407" s="311"/>
      <c r="Q407" s="311"/>
      <c r="R407" s="311"/>
      <c r="S407" s="311"/>
      <c r="T407" s="310">
        <f t="shared" si="114"/>
        <v>4158800</v>
      </c>
      <c r="U407" s="311"/>
      <c r="V407" s="311">
        <v>4158800</v>
      </c>
      <c r="W407" s="311"/>
      <c r="X407" s="311"/>
      <c r="Y407" s="310">
        <f t="shared" si="115"/>
        <v>0</v>
      </c>
      <c r="Z407" s="311"/>
      <c r="AA407" s="311"/>
      <c r="AB407" s="311"/>
      <c r="AC407" s="311"/>
      <c r="AD407" s="311"/>
      <c r="AE407" s="311"/>
      <c r="AF407" s="311"/>
      <c r="AG407" s="310">
        <f t="shared" si="116"/>
        <v>4026443.36</v>
      </c>
      <c r="AH407" s="310">
        <f t="shared" si="117"/>
        <v>4026443.36</v>
      </c>
      <c r="AI407" s="310">
        <f t="shared" si="118"/>
        <v>0</v>
      </c>
      <c r="AJ407" s="310"/>
      <c r="AK407" s="310"/>
      <c r="AL407" s="310"/>
      <c r="AM407" s="310"/>
      <c r="AN407" s="310">
        <f t="shared" si="119"/>
        <v>0</v>
      </c>
      <c r="AO407" s="310"/>
      <c r="AP407" s="310"/>
      <c r="AQ407" s="310"/>
      <c r="AR407" s="310"/>
      <c r="AS407" s="310">
        <f t="shared" si="120"/>
        <v>4026443.36</v>
      </c>
      <c r="AT407" s="310"/>
      <c r="AU407" s="310">
        <v>4026443.36</v>
      </c>
      <c r="AV407" s="310"/>
      <c r="AW407" s="310"/>
      <c r="AX407" s="310">
        <f t="shared" si="121"/>
        <v>0</v>
      </c>
      <c r="AY407" s="310"/>
      <c r="AZ407" s="310"/>
      <c r="BA407" s="310"/>
      <c r="BB407" s="310"/>
      <c r="BC407" s="310"/>
      <c r="BD407" s="310"/>
      <c r="BE407" s="312">
        <v>0</v>
      </c>
      <c r="BF407" s="134" t="s">
        <v>56</v>
      </c>
      <c r="BG407" s="315" t="s">
        <v>162</v>
      </c>
      <c r="BH407" s="137" t="s">
        <v>131</v>
      </c>
    </row>
    <row r="408" s="78" customFormat="1" ht="15" hidden="1" spans="1:60">
      <c r="A408" s="301">
        <v>401</v>
      </c>
      <c r="B408" s="307" t="s">
        <v>19</v>
      </c>
      <c r="C408" s="307" t="s">
        <v>20</v>
      </c>
      <c r="D408" s="308">
        <v>2023</v>
      </c>
      <c r="E408" s="313" t="s">
        <v>622</v>
      </c>
      <c r="F408" s="308" t="s">
        <v>53</v>
      </c>
      <c r="G408" s="127" t="s">
        <v>53</v>
      </c>
      <c r="H408" s="310">
        <f t="shared" si="110"/>
        <v>8242600</v>
      </c>
      <c r="I408" s="311">
        <f t="shared" si="111"/>
        <v>8242600</v>
      </c>
      <c r="J408" s="310">
        <f t="shared" si="112"/>
        <v>0</v>
      </c>
      <c r="K408" s="311"/>
      <c r="L408" s="311"/>
      <c r="M408" s="311"/>
      <c r="N408" s="311"/>
      <c r="O408" s="310">
        <f t="shared" si="113"/>
        <v>0</v>
      </c>
      <c r="P408" s="311"/>
      <c r="Q408" s="311"/>
      <c r="R408" s="311"/>
      <c r="S408" s="311"/>
      <c r="T408" s="310">
        <f t="shared" si="114"/>
        <v>8242600</v>
      </c>
      <c r="U408" s="311">
        <v>6570100</v>
      </c>
      <c r="V408" s="311">
        <v>1672500</v>
      </c>
      <c r="W408" s="311"/>
      <c r="X408" s="311"/>
      <c r="Y408" s="310">
        <f t="shared" si="115"/>
        <v>0</v>
      </c>
      <c r="Z408" s="311"/>
      <c r="AA408" s="311"/>
      <c r="AB408" s="311"/>
      <c r="AC408" s="311"/>
      <c r="AD408" s="311"/>
      <c r="AE408" s="311"/>
      <c r="AF408" s="311"/>
      <c r="AG408" s="310">
        <f t="shared" si="116"/>
        <v>7593847.32</v>
      </c>
      <c r="AH408" s="310">
        <f t="shared" si="117"/>
        <v>7593847.32</v>
      </c>
      <c r="AI408" s="310">
        <f t="shared" si="118"/>
        <v>0</v>
      </c>
      <c r="AJ408" s="310"/>
      <c r="AK408" s="310"/>
      <c r="AL408" s="310"/>
      <c r="AM408" s="310"/>
      <c r="AN408" s="310">
        <f t="shared" si="119"/>
        <v>0</v>
      </c>
      <c r="AO408" s="310"/>
      <c r="AP408" s="310"/>
      <c r="AQ408" s="310"/>
      <c r="AR408" s="310"/>
      <c r="AS408" s="310">
        <f t="shared" si="120"/>
        <v>7593847.32</v>
      </c>
      <c r="AT408" s="310">
        <v>6570100</v>
      </c>
      <c r="AU408" s="310">
        <v>1023747.32</v>
      </c>
      <c r="AV408" s="310"/>
      <c r="AW408" s="310"/>
      <c r="AX408" s="310">
        <f t="shared" si="121"/>
        <v>0</v>
      </c>
      <c r="AY408" s="310"/>
      <c r="AZ408" s="310"/>
      <c r="BA408" s="310"/>
      <c r="BB408" s="310"/>
      <c r="BC408" s="310"/>
      <c r="BD408" s="310"/>
      <c r="BE408" s="312">
        <v>0</v>
      </c>
      <c r="BF408" s="134" t="s">
        <v>56</v>
      </c>
      <c r="BG408" s="315" t="s">
        <v>167</v>
      </c>
      <c r="BH408" s="137" t="s">
        <v>131</v>
      </c>
    </row>
    <row r="409" s="78" customFormat="1" ht="15" hidden="1" spans="1:60">
      <c r="A409" s="301">
        <v>402</v>
      </c>
      <c r="B409" s="307" t="s">
        <v>19</v>
      </c>
      <c r="C409" s="307" t="s">
        <v>20</v>
      </c>
      <c r="D409" s="308">
        <v>2023</v>
      </c>
      <c r="E409" s="313" t="s">
        <v>623</v>
      </c>
      <c r="F409" s="308" t="s">
        <v>53</v>
      </c>
      <c r="G409" s="127" t="s">
        <v>53</v>
      </c>
      <c r="H409" s="310">
        <f t="shared" si="110"/>
        <v>7777200</v>
      </c>
      <c r="I409" s="311">
        <f t="shared" si="111"/>
        <v>7777200</v>
      </c>
      <c r="J409" s="310">
        <f t="shared" si="112"/>
        <v>0</v>
      </c>
      <c r="K409" s="311"/>
      <c r="L409" s="311"/>
      <c r="M409" s="311"/>
      <c r="N409" s="311"/>
      <c r="O409" s="310">
        <f t="shared" si="113"/>
        <v>0</v>
      </c>
      <c r="P409" s="311"/>
      <c r="Q409" s="311"/>
      <c r="R409" s="311"/>
      <c r="S409" s="311"/>
      <c r="T409" s="310">
        <f t="shared" si="114"/>
        <v>7777200</v>
      </c>
      <c r="U409" s="311">
        <v>5000000</v>
      </c>
      <c r="V409" s="311">
        <v>2310600</v>
      </c>
      <c r="W409" s="311"/>
      <c r="X409" s="311">
        <v>466600</v>
      </c>
      <c r="Y409" s="310">
        <f t="shared" si="115"/>
        <v>0</v>
      </c>
      <c r="Z409" s="311"/>
      <c r="AA409" s="311"/>
      <c r="AB409" s="311"/>
      <c r="AC409" s="311"/>
      <c r="AD409" s="311"/>
      <c r="AE409" s="311"/>
      <c r="AF409" s="311"/>
      <c r="AG409" s="310">
        <f t="shared" si="116"/>
        <v>7030558.79</v>
      </c>
      <c r="AH409" s="310">
        <f t="shared" si="117"/>
        <v>7030558.79</v>
      </c>
      <c r="AI409" s="310">
        <f t="shared" si="118"/>
        <v>0</v>
      </c>
      <c r="AJ409" s="310"/>
      <c r="AK409" s="310"/>
      <c r="AL409" s="310"/>
      <c r="AM409" s="310"/>
      <c r="AN409" s="310">
        <f t="shared" si="119"/>
        <v>0</v>
      </c>
      <c r="AO409" s="310"/>
      <c r="AP409" s="310"/>
      <c r="AQ409" s="310"/>
      <c r="AR409" s="310"/>
      <c r="AS409" s="310">
        <f t="shared" si="120"/>
        <v>7030558.79</v>
      </c>
      <c r="AT409" s="310">
        <v>5000000</v>
      </c>
      <c r="AU409" s="310">
        <v>2030558.79</v>
      </c>
      <c r="AV409" s="310"/>
      <c r="AW409" s="310"/>
      <c r="AX409" s="310">
        <f t="shared" si="121"/>
        <v>0</v>
      </c>
      <c r="AY409" s="310"/>
      <c r="AZ409" s="310"/>
      <c r="BA409" s="310"/>
      <c r="BB409" s="310"/>
      <c r="BC409" s="310"/>
      <c r="BD409" s="310"/>
      <c r="BE409" s="312">
        <v>0</v>
      </c>
      <c r="BF409" s="134" t="s">
        <v>56</v>
      </c>
      <c r="BG409" s="315" t="s">
        <v>167</v>
      </c>
      <c r="BH409" s="137" t="s">
        <v>131</v>
      </c>
    </row>
    <row r="410" s="78" customFormat="1" ht="15" hidden="1" spans="1:60">
      <c r="A410" s="301">
        <v>403</v>
      </c>
      <c r="B410" s="307" t="s">
        <v>19</v>
      </c>
      <c r="C410" s="307" t="s">
        <v>20</v>
      </c>
      <c r="D410" s="308">
        <v>2023</v>
      </c>
      <c r="E410" s="309" t="s">
        <v>624</v>
      </c>
      <c r="F410" s="308" t="s">
        <v>53</v>
      </c>
      <c r="G410" s="127" t="s">
        <v>56</v>
      </c>
      <c r="H410" s="310">
        <f t="shared" si="110"/>
        <v>1000000</v>
      </c>
      <c r="I410" s="311">
        <f t="shared" si="111"/>
        <v>1000000</v>
      </c>
      <c r="J410" s="310">
        <f t="shared" si="112"/>
        <v>0</v>
      </c>
      <c r="K410" s="311"/>
      <c r="L410" s="311"/>
      <c r="M410" s="311"/>
      <c r="N410" s="311"/>
      <c r="O410" s="310">
        <f t="shared" si="113"/>
        <v>0</v>
      </c>
      <c r="P410" s="311"/>
      <c r="Q410" s="311"/>
      <c r="R410" s="311"/>
      <c r="S410" s="311"/>
      <c r="T410" s="310">
        <f t="shared" si="114"/>
        <v>1000000</v>
      </c>
      <c r="U410" s="311">
        <v>600000</v>
      </c>
      <c r="V410" s="311">
        <v>400000</v>
      </c>
      <c r="W410" s="311"/>
      <c r="X410" s="311"/>
      <c r="Y410" s="310">
        <f t="shared" si="115"/>
        <v>0</v>
      </c>
      <c r="Z410" s="311"/>
      <c r="AA410" s="311"/>
      <c r="AB410" s="311"/>
      <c r="AC410" s="311"/>
      <c r="AD410" s="311"/>
      <c r="AE410" s="311"/>
      <c r="AF410" s="311"/>
      <c r="AG410" s="310">
        <f t="shared" si="116"/>
        <v>974309.51</v>
      </c>
      <c r="AH410" s="310">
        <f t="shared" si="117"/>
        <v>974309.51</v>
      </c>
      <c r="AI410" s="310">
        <f t="shared" si="118"/>
        <v>0</v>
      </c>
      <c r="AJ410" s="310"/>
      <c r="AK410" s="310"/>
      <c r="AL410" s="310"/>
      <c r="AM410" s="310"/>
      <c r="AN410" s="310">
        <f t="shared" si="119"/>
        <v>0</v>
      </c>
      <c r="AO410" s="310"/>
      <c r="AP410" s="310"/>
      <c r="AQ410" s="310"/>
      <c r="AR410" s="310"/>
      <c r="AS410" s="310">
        <f t="shared" si="120"/>
        <v>974309.51</v>
      </c>
      <c r="AT410" s="310">
        <v>600000</v>
      </c>
      <c r="AU410" s="310">
        <v>374309.51</v>
      </c>
      <c r="AV410" s="310"/>
      <c r="AW410" s="310"/>
      <c r="AX410" s="310">
        <f t="shared" si="121"/>
        <v>0</v>
      </c>
      <c r="AY410" s="310"/>
      <c r="AZ410" s="310"/>
      <c r="BA410" s="310"/>
      <c r="BB410" s="310"/>
      <c r="BC410" s="310"/>
      <c r="BD410" s="310"/>
      <c r="BE410" s="312"/>
      <c r="BF410" s="134" t="s">
        <v>56</v>
      </c>
      <c r="BG410" s="315" t="s">
        <v>167</v>
      </c>
      <c r="BH410" s="137" t="s">
        <v>157</v>
      </c>
    </row>
    <row r="411" s="78" customFormat="1" ht="15" hidden="1" spans="1:60">
      <c r="A411" s="301">
        <v>404</v>
      </c>
      <c r="B411" s="307" t="s">
        <v>19</v>
      </c>
      <c r="C411" s="307" t="s">
        <v>20</v>
      </c>
      <c r="D411" s="308">
        <v>2023</v>
      </c>
      <c r="E411" s="313" t="s">
        <v>625</v>
      </c>
      <c r="F411" s="308" t="s">
        <v>53</v>
      </c>
      <c r="G411" s="127" t="s">
        <v>56</v>
      </c>
      <c r="H411" s="310">
        <f t="shared" si="110"/>
        <v>5800000</v>
      </c>
      <c r="I411" s="311">
        <f t="shared" si="111"/>
        <v>5800000</v>
      </c>
      <c r="J411" s="310">
        <f t="shared" si="112"/>
        <v>0</v>
      </c>
      <c r="K411" s="311"/>
      <c r="L411" s="311"/>
      <c r="M411" s="311"/>
      <c r="N411" s="311"/>
      <c r="O411" s="310">
        <f t="shared" si="113"/>
        <v>0</v>
      </c>
      <c r="P411" s="311"/>
      <c r="Q411" s="311"/>
      <c r="R411" s="311"/>
      <c r="S411" s="311"/>
      <c r="T411" s="310">
        <f t="shared" si="114"/>
        <v>5800000</v>
      </c>
      <c r="U411" s="311">
        <v>5657800</v>
      </c>
      <c r="V411" s="311"/>
      <c r="W411" s="311"/>
      <c r="X411" s="311">
        <v>142200</v>
      </c>
      <c r="Y411" s="310">
        <f t="shared" si="115"/>
        <v>0</v>
      </c>
      <c r="Z411" s="311"/>
      <c r="AA411" s="311"/>
      <c r="AB411" s="311"/>
      <c r="AC411" s="311"/>
      <c r="AD411" s="311"/>
      <c r="AE411" s="311"/>
      <c r="AF411" s="311"/>
      <c r="AG411" s="310">
        <f t="shared" si="116"/>
        <v>5250440.98</v>
      </c>
      <c r="AH411" s="310">
        <f t="shared" si="117"/>
        <v>5250440.98</v>
      </c>
      <c r="AI411" s="310">
        <f t="shared" si="118"/>
        <v>0</v>
      </c>
      <c r="AJ411" s="310"/>
      <c r="AK411" s="310"/>
      <c r="AL411" s="310"/>
      <c r="AM411" s="310"/>
      <c r="AN411" s="310">
        <f t="shared" si="119"/>
        <v>0</v>
      </c>
      <c r="AO411" s="310"/>
      <c r="AP411" s="310"/>
      <c r="AQ411" s="310"/>
      <c r="AR411" s="310"/>
      <c r="AS411" s="310">
        <f t="shared" si="120"/>
        <v>5250440.98</v>
      </c>
      <c r="AT411" s="310">
        <v>5250440.98</v>
      </c>
      <c r="AU411" s="310"/>
      <c r="AV411" s="310"/>
      <c r="AW411" s="310"/>
      <c r="AX411" s="310">
        <f t="shared" si="121"/>
        <v>0</v>
      </c>
      <c r="AY411" s="310"/>
      <c r="AZ411" s="310"/>
      <c r="BA411" s="310"/>
      <c r="BB411" s="310"/>
      <c r="BC411" s="310"/>
      <c r="BD411" s="310"/>
      <c r="BE411" s="312"/>
      <c r="BF411" s="134" t="s">
        <v>56</v>
      </c>
      <c r="BG411" s="315" t="s">
        <v>162</v>
      </c>
      <c r="BH411" s="137" t="s">
        <v>585</v>
      </c>
    </row>
    <row r="412" s="78" customFormat="1" ht="15" hidden="1" spans="1:60">
      <c r="A412" s="301">
        <v>405</v>
      </c>
      <c r="B412" s="307" t="s">
        <v>19</v>
      </c>
      <c r="C412" s="307" t="s">
        <v>20</v>
      </c>
      <c r="D412" s="308">
        <v>2023</v>
      </c>
      <c r="E412" s="313" t="s">
        <v>626</v>
      </c>
      <c r="F412" s="308" t="s">
        <v>53</v>
      </c>
      <c r="G412" s="127" t="s">
        <v>56</v>
      </c>
      <c r="H412" s="310">
        <f t="shared" si="110"/>
        <v>5524100</v>
      </c>
      <c r="I412" s="311">
        <f t="shared" si="111"/>
        <v>5524100</v>
      </c>
      <c r="J412" s="310">
        <f t="shared" si="112"/>
        <v>0</v>
      </c>
      <c r="K412" s="311"/>
      <c r="L412" s="311"/>
      <c r="M412" s="311"/>
      <c r="N412" s="311"/>
      <c r="O412" s="310">
        <f t="shared" si="113"/>
        <v>0</v>
      </c>
      <c r="P412" s="311"/>
      <c r="Q412" s="311"/>
      <c r="R412" s="311"/>
      <c r="S412" s="311"/>
      <c r="T412" s="310">
        <f t="shared" si="114"/>
        <v>5524100</v>
      </c>
      <c r="U412" s="311">
        <v>5427680</v>
      </c>
      <c r="V412" s="311"/>
      <c r="W412" s="311"/>
      <c r="X412" s="311">
        <v>96420</v>
      </c>
      <c r="Y412" s="310">
        <f t="shared" si="115"/>
        <v>0</v>
      </c>
      <c r="Z412" s="311"/>
      <c r="AA412" s="311"/>
      <c r="AB412" s="311"/>
      <c r="AC412" s="311"/>
      <c r="AD412" s="311"/>
      <c r="AE412" s="311"/>
      <c r="AF412" s="311"/>
      <c r="AG412" s="310">
        <f t="shared" si="116"/>
        <v>4676944.29</v>
      </c>
      <c r="AH412" s="310">
        <f t="shared" si="117"/>
        <v>4676944.29</v>
      </c>
      <c r="AI412" s="310">
        <f t="shared" si="118"/>
        <v>0</v>
      </c>
      <c r="AJ412" s="310"/>
      <c r="AK412" s="310"/>
      <c r="AL412" s="310"/>
      <c r="AM412" s="310"/>
      <c r="AN412" s="310">
        <f t="shared" si="119"/>
        <v>0</v>
      </c>
      <c r="AO412" s="310"/>
      <c r="AP412" s="310"/>
      <c r="AQ412" s="310"/>
      <c r="AR412" s="310"/>
      <c r="AS412" s="310">
        <f t="shared" si="120"/>
        <v>4676944.29</v>
      </c>
      <c r="AT412" s="310">
        <v>4676944.29</v>
      </c>
      <c r="AU412" s="310"/>
      <c r="AV412" s="310"/>
      <c r="AW412" s="310"/>
      <c r="AX412" s="310">
        <f t="shared" si="121"/>
        <v>0</v>
      </c>
      <c r="AY412" s="310"/>
      <c r="AZ412" s="310"/>
      <c r="BA412" s="310"/>
      <c r="BB412" s="310"/>
      <c r="BC412" s="310"/>
      <c r="BD412" s="310"/>
      <c r="BE412" s="312"/>
      <c r="BF412" s="134" t="s">
        <v>56</v>
      </c>
      <c r="BG412" s="315" t="s">
        <v>162</v>
      </c>
      <c r="BH412" s="137" t="s">
        <v>585</v>
      </c>
    </row>
    <row r="413" s="78" customFormat="1" ht="15" hidden="1" spans="1:60">
      <c r="A413" s="301">
        <v>406</v>
      </c>
      <c r="B413" s="307" t="s">
        <v>19</v>
      </c>
      <c r="C413" s="307" t="s">
        <v>20</v>
      </c>
      <c r="D413" s="308">
        <v>2023</v>
      </c>
      <c r="E413" s="313" t="s">
        <v>627</v>
      </c>
      <c r="F413" s="308" t="s">
        <v>53</v>
      </c>
      <c r="G413" s="127" t="s">
        <v>56</v>
      </c>
      <c r="H413" s="310">
        <f t="shared" si="110"/>
        <v>12000000</v>
      </c>
      <c r="I413" s="311">
        <f t="shared" si="111"/>
        <v>12000000</v>
      </c>
      <c r="J413" s="310">
        <f t="shared" si="112"/>
        <v>0</v>
      </c>
      <c r="K413" s="311"/>
      <c r="L413" s="311"/>
      <c r="M413" s="311"/>
      <c r="N413" s="311"/>
      <c r="O413" s="310">
        <f t="shared" si="113"/>
        <v>0</v>
      </c>
      <c r="P413" s="311"/>
      <c r="Q413" s="311"/>
      <c r="R413" s="311"/>
      <c r="S413" s="311"/>
      <c r="T413" s="310">
        <f t="shared" si="114"/>
        <v>12000000</v>
      </c>
      <c r="U413" s="311">
        <v>11873580</v>
      </c>
      <c r="V413" s="311"/>
      <c r="W413" s="311"/>
      <c r="X413" s="311">
        <v>126420</v>
      </c>
      <c r="Y413" s="310">
        <f t="shared" si="115"/>
        <v>0</v>
      </c>
      <c r="Z413" s="311"/>
      <c r="AA413" s="311"/>
      <c r="AB413" s="311"/>
      <c r="AC413" s="311"/>
      <c r="AD413" s="311"/>
      <c r="AE413" s="311"/>
      <c r="AF413" s="311"/>
      <c r="AG413" s="310">
        <f t="shared" si="116"/>
        <v>10868942.29</v>
      </c>
      <c r="AH413" s="310">
        <f t="shared" si="117"/>
        <v>10868942.29</v>
      </c>
      <c r="AI413" s="310">
        <f t="shared" si="118"/>
        <v>0</v>
      </c>
      <c r="AJ413" s="310"/>
      <c r="AK413" s="310"/>
      <c r="AL413" s="310"/>
      <c r="AM413" s="310"/>
      <c r="AN413" s="310">
        <f t="shared" si="119"/>
        <v>0</v>
      </c>
      <c r="AO413" s="310"/>
      <c r="AP413" s="310"/>
      <c r="AQ413" s="310"/>
      <c r="AR413" s="310"/>
      <c r="AS413" s="310">
        <f t="shared" si="120"/>
        <v>10868942.29</v>
      </c>
      <c r="AT413" s="310">
        <v>10868942.29</v>
      </c>
      <c r="AU413" s="310"/>
      <c r="AV413" s="310"/>
      <c r="AW413" s="310"/>
      <c r="AX413" s="310">
        <f t="shared" si="121"/>
        <v>0</v>
      </c>
      <c r="AY413" s="310"/>
      <c r="AZ413" s="310"/>
      <c r="BA413" s="310"/>
      <c r="BB413" s="310"/>
      <c r="BC413" s="310"/>
      <c r="BD413" s="310"/>
      <c r="BE413" s="312"/>
      <c r="BF413" s="134" t="s">
        <v>56</v>
      </c>
      <c r="BG413" s="315" t="s">
        <v>628</v>
      </c>
      <c r="BH413" s="137" t="s">
        <v>115</v>
      </c>
    </row>
    <row r="414" s="78" customFormat="1" ht="15" hidden="1" spans="1:60">
      <c r="A414" s="301">
        <v>407</v>
      </c>
      <c r="B414" s="307" t="s">
        <v>19</v>
      </c>
      <c r="C414" s="307" t="s">
        <v>20</v>
      </c>
      <c r="D414" s="308">
        <v>2023</v>
      </c>
      <c r="E414" s="313" t="s">
        <v>629</v>
      </c>
      <c r="F414" s="308" t="s">
        <v>53</v>
      </c>
      <c r="G414" s="127" t="s">
        <v>56</v>
      </c>
      <c r="H414" s="310">
        <f t="shared" si="110"/>
        <v>29000000</v>
      </c>
      <c r="I414" s="311">
        <f t="shared" si="111"/>
        <v>29000000</v>
      </c>
      <c r="J414" s="310">
        <f t="shared" si="112"/>
        <v>0</v>
      </c>
      <c r="K414" s="311"/>
      <c r="L414" s="311"/>
      <c r="M414" s="311"/>
      <c r="N414" s="311"/>
      <c r="O414" s="310">
        <f t="shared" si="113"/>
        <v>0</v>
      </c>
      <c r="P414" s="311"/>
      <c r="Q414" s="311"/>
      <c r="R414" s="311"/>
      <c r="S414" s="311"/>
      <c r="T414" s="310">
        <f t="shared" si="114"/>
        <v>29000000</v>
      </c>
      <c r="U414" s="311">
        <v>21605800</v>
      </c>
      <c r="V414" s="311">
        <v>6400000</v>
      </c>
      <c r="W414" s="311"/>
      <c r="X414" s="311">
        <v>994200</v>
      </c>
      <c r="Y414" s="310">
        <f t="shared" si="115"/>
        <v>0</v>
      </c>
      <c r="Z414" s="311"/>
      <c r="AA414" s="311"/>
      <c r="AB414" s="311"/>
      <c r="AC414" s="311"/>
      <c r="AD414" s="311"/>
      <c r="AE414" s="311"/>
      <c r="AF414" s="311"/>
      <c r="AG414" s="310">
        <f t="shared" si="116"/>
        <v>28155125.89</v>
      </c>
      <c r="AH414" s="310">
        <f t="shared" si="117"/>
        <v>28155125.89</v>
      </c>
      <c r="AI414" s="310">
        <f t="shared" si="118"/>
        <v>0</v>
      </c>
      <c r="AJ414" s="310"/>
      <c r="AK414" s="310"/>
      <c r="AL414" s="310"/>
      <c r="AM414" s="310"/>
      <c r="AN414" s="310">
        <f t="shared" si="119"/>
        <v>0</v>
      </c>
      <c r="AO414" s="310"/>
      <c r="AP414" s="310"/>
      <c r="AQ414" s="310"/>
      <c r="AR414" s="310"/>
      <c r="AS414" s="310">
        <f t="shared" si="120"/>
        <v>28155125.89</v>
      </c>
      <c r="AT414" s="310">
        <v>21605800</v>
      </c>
      <c r="AU414" s="310">
        <v>6400000</v>
      </c>
      <c r="AV414" s="310"/>
      <c r="AW414" s="310">
        <v>149325.890000001</v>
      </c>
      <c r="AX414" s="310">
        <f t="shared" si="121"/>
        <v>0</v>
      </c>
      <c r="AY414" s="310"/>
      <c r="AZ414" s="310"/>
      <c r="BA414" s="310"/>
      <c r="BB414" s="310"/>
      <c r="BC414" s="310"/>
      <c r="BD414" s="310"/>
      <c r="BE414" s="312"/>
      <c r="BF414" s="134" t="s">
        <v>56</v>
      </c>
      <c r="BG414" s="315" t="s">
        <v>314</v>
      </c>
      <c r="BH414" s="137" t="s">
        <v>378</v>
      </c>
    </row>
    <row r="415" s="77" customFormat="1" ht="15" hidden="1" spans="1:60">
      <c r="A415" s="301">
        <v>408</v>
      </c>
      <c r="B415" s="307" t="s">
        <v>19</v>
      </c>
      <c r="C415" s="307" t="s">
        <v>20</v>
      </c>
      <c r="D415" s="308">
        <v>2023</v>
      </c>
      <c r="E415" s="313" t="s">
        <v>630</v>
      </c>
      <c r="F415" s="308" t="s">
        <v>53</v>
      </c>
      <c r="G415" s="127" t="s">
        <v>56</v>
      </c>
      <c r="H415" s="310">
        <f t="shared" si="110"/>
        <v>25890000</v>
      </c>
      <c r="I415" s="311">
        <f t="shared" si="111"/>
        <v>25890000</v>
      </c>
      <c r="J415" s="310">
        <f t="shared" si="112"/>
        <v>0</v>
      </c>
      <c r="K415" s="311"/>
      <c r="L415" s="311"/>
      <c r="M415" s="311"/>
      <c r="N415" s="311"/>
      <c r="O415" s="310">
        <f t="shared" si="113"/>
        <v>0</v>
      </c>
      <c r="P415" s="311"/>
      <c r="Q415" s="311"/>
      <c r="R415" s="311"/>
      <c r="S415" s="311"/>
      <c r="T415" s="310">
        <f t="shared" si="114"/>
        <v>25890000</v>
      </c>
      <c r="U415" s="311">
        <v>19464000</v>
      </c>
      <c r="V415" s="311">
        <v>4967500</v>
      </c>
      <c r="W415" s="311"/>
      <c r="X415" s="311">
        <v>1458500</v>
      </c>
      <c r="Y415" s="310">
        <f t="shared" si="115"/>
        <v>0</v>
      </c>
      <c r="Z415" s="311"/>
      <c r="AA415" s="311"/>
      <c r="AB415" s="311"/>
      <c r="AC415" s="311"/>
      <c r="AD415" s="311"/>
      <c r="AE415" s="311"/>
      <c r="AF415" s="311"/>
      <c r="AG415" s="310">
        <f t="shared" si="116"/>
        <v>24056677.48</v>
      </c>
      <c r="AH415" s="310">
        <f t="shared" si="117"/>
        <v>24056677.48</v>
      </c>
      <c r="AI415" s="310">
        <f t="shared" si="118"/>
        <v>0</v>
      </c>
      <c r="AJ415" s="310"/>
      <c r="AK415" s="310"/>
      <c r="AL415" s="310"/>
      <c r="AM415" s="310"/>
      <c r="AN415" s="310">
        <f t="shared" si="119"/>
        <v>0</v>
      </c>
      <c r="AO415" s="310"/>
      <c r="AP415" s="310"/>
      <c r="AQ415" s="310"/>
      <c r="AR415" s="310"/>
      <c r="AS415" s="310">
        <f t="shared" si="120"/>
        <v>24056677.48</v>
      </c>
      <c r="AT415" s="310">
        <v>19464000</v>
      </c>
      <c r="AU415" s="310">
        <v>4592677.48</v>
      </c>
      <c r="AV415" s="310"/>
      <c r="AW415" s="310"/>
      <c r="AX415" s="310">
        <f t="shared" si="121"/>
        <v>0</v>
      </c>
      <c r="AY415" s="310"/>
      <c r="AZ415" s="310"/>
      <c r="BA415" s="310"/>
      <c r="BB415" s="310"/>
      <c r="BC415" s="310"/>
      <c r="BD415" s="310"/>
      <c r="BE415" s="312"/>
      <c r="BF415" s="127" t="s">
        <v>56</v>
      </c>
      <c r="BG415" s="128" t="s">
        <v>314</v>
      </c>
      <c r="BH415" s="133"/>
    </row>
    <row r="416" s="78" customFormat="1" ht="15" hidden="1" spans="1:60">
      <c r="A416" s="301">
        <v>409</v>
      </c>
      <c r="B416" s="307" t="s">
        <v>19</v>
      </c>
      <c r="C416" s="307" t="s">
        <v>20</v>
      </c>
      <c r="D416" s="308">
        <v>2023</v>
      </c>
      <c r="E416" s="313" t="s">
        <v>631</v>
      </c>
      <c r="F416" s="308" t="s">
        <v>53</v>
      </c>
      <c r="G416" s="127" t="s">
        <v>56</v>
      </c>
      <c r="H416" s="310">
        <f t="shared" si="110"/>
        <v>13966100</v>
      </c>
      <c r="I416" s="311">
        <f t="shared" si="111"/>
        <v>13966100</v>
      </c>
      <c r="J416" s="310">
        <f t="shared" si="112"/>
        <v>0</v>
      </c>
      <c r="K416" s="311"/>
      <c r="L416" s="311"/>
      <c r="M416" s="311"/>
      <c r="N416" s="311"/>
      <c r="O416" s="310">
        <f t="shared" si="113"/>
        <v>0</v>
      </c>
      <c r="P416" s="311"/>
      <c r="Q416" s="311"/>
      <c r="R416" s="311"/>
      <c r="S416" s="311"/>
      <c r="T416" s="310">
        <f t="shared" si="114"/>
        <v>13966100</v>
      </c>
      <c r="U416" s="311">
        <v>10500000</v>
      </c>
      <c r="V416" s="311">
        <v>1500000</v>
      </c>
      <c r="W416" s="311"/>
      <c r="X416" s="311">
        <v>1966100</v>
      </c>
      <c r="Y416" s="310">
        <f t="shared" si="115"/>
        <v>0</v>
      </c>
      <c r="Z416" s="311"/>
      <c r="AA416" s="311"/>
      <c r="AB416" s="311"/>
      <c r="AC416" s="311"/>
      <c r="AD416" s="311"/>
      <c r="AE416" s="311"/>
      <c r="AF416" s="311"/>
      <c r="AG416" s="310">
        <f t="shared" si="116"/>
        <v>12803423.79</v>
      </c>
      <c r="AH416" s="310">
        <f t="shared" si="117"/>
        <v>12803423.79</v>
      </c>
      <c r="AI416" s="310">
        <f t="shared" si="118"/>
        <v>0</v>
      </c>
      <c r="AJ416" s="310"/>
      <c r="AK416" s="310"/>
      <c r="AL416" s="310"/>
      <c r="AM416" s="310"/>
      <c r="AN416" s="310">
        <f t="shared" si="119"/>
        <v>0</v>
      </c>
      <c r="AO416" s="310"/>
      <c r="AP416" s="310"/>
      <c r="AQ416" s="310"/>
      <c r="AR416" s="310"/>
      <c r="AS416" s="310">
        <f t="shared" si="120"/>
        <v>12803423.79</v>
      </c>
      <c r="AT416" s="310">
        <v>10500000</v>
      </c>
      <c r="AU416" s="310">
        <v>1500000</v>
      </c>
      <c r="AV416" s="310"/>
      <c r="AW416" s="310">
        <v>803423.789999999</v>
      </c>
      <c r="AX416" s="310">
        <f t="shared" si="121"/>
        <v>0</v>
      </c>
      <c r="AY416" s="310"/>
      <c r="AZ416" s="310"/>
      <c r="BA416" s="310"/>
      <c r="BB416" s="310"/>
      <c r="BC416" s="310"/>
      <c r="BD416" s="310"/>
      <c r="BE416" s="312"/>
      <c r="BF416" s="134" t="s">
        <v>56</v>
      </c>
      <c r="BG416" s="315" t="s">
        <v>167</v>
      </c>
      <c r="BH416" s="137" t="s">
        <v>157</v>
      </c>
    </row>
    <row r="417" s="78" customFormat="1" ht="15" hidden="1" spans="1:60">
      <c r="A417" s="301">
        <v>410</v>
      </c>
      <c r="B417" s="307" t="s">
        <v>19</v>
      </c>
      <c r="C417" s="307" t="s">
        <v>20</v>
      </c>
      <c r="D417" s="308">
        <v>2023</v>
      </c>
      <c r="E417" s="313" t="s">
        <v>632</v>
      </c>
      <c r="F417" s="308" t="s">
        <v>53</v>
      </c>
      <c r="G417" s="127" t="s">
        <v>56</v>
      </c>
      <c r="H417" s="310">
        <f t="shared" si="110"/>
        <v>12688400</v>
      </c>
      <c r="I417" s="311">
        <f t="shared" si="111"/>
        <v>12688400</v>
      </c>
      <c r="J417" s="310">
        <f t="shared" si="112"/>
        <v>0</v>
      </c>
      <c r="K417" s="311"/>
      <c r="L417" s="311"/>
      <c r="M417" s="311"/>
      <c r="N417" s="311"/>
      <c r="O417" s="310">
        <f t="shared" si="113"/>
        <v>0</v>
      </c>
      <c r="P417" s="311"/>
      <c r="Q417" s="311"/>
      <c r="R417" s="311"/>
      <c r="S417" s="311"/>
      <c r="T417" s="310">
        <f t="shared" si="114"/>
        <v>12688400</v>
      </c>
      <c r="U417" s="311">
        <v>9000000</v>
      </c>
      <c r="V417" s="311">
        <v>2000000</v>
      </c>
      <c r="W417" s="311"/>
      <c r="X417" s="311">
        <v>1688400</v>
      </c>
      <c r="Y417" s="310">
        <f t="shared" si="115"/>
        <v>0</v>
      </c>
      <c r="Z417" s="311"/>
      <c r="AA417" s="311"/>
      <c r="AB417" s="311"/>
      <c r="AC417" s="311"/>
      <c r="AD417" s="311"/>
      <c r="AE417" s="311"/>
      <c r="AF417" s="311"/>
      <c r="AG417" s="310">
        <f t="shared" si="116"/>
        <v>11072463.89</v>
      </c>
      <c r="AH417" s="310">
        <f t="shared" si="117"/>
        <v>11072463.89</v>
      </c>
      <c r="AI417" s="310">
        <f t="shared" si="118"/>
        <v>0</v>
      </c>
      <c r="AJ417" s="310"/>
      <c r="AK417" s="310"/>
      <c r="AL417" s="310"/>
      <c r="AM417" s="310"/>
      <c r="AN417" s="310">
        <f t="shared" si="119"/>
        <v>0</v>
      </c>
      <c r="AO417" s="310"/>
      <c r="AP417" s="310"/>
      <c r="AQ417" s="310"/>
      <c r="AR417" s="310"/>
      <c r="AS417" s="310">
        <f t="shared" si="120"/>
        <v>11072463.89</v>
      </c>
      <c r="AT417" s="310">
        <v>9000000</v>
      </c>
      <c r="AU417" s="310">
        <v>2000000</v>
      </c>
      <c r="AV417" s="310"/>
      <c r="AW417" s="310">
        <v>72463.8900000006</v>
      </c>
      <c r="AX417" s="310">
        <f t="shared" si="121"/>
        <v>0</v>
      </c>
      <c r="AY417" s="310"/>
      <c r="AZ417" s="310"/>
      <c r="BA417" s="310"/>
      <c r="BB417" s="310"/>
      <c r="BC417" s="310"/>
      <c r="BD417" s="310"/>
      <c r="BE417" s="312"/>
      <c r="BF417" s="134" t="s">
        <v>56</v>
      </c>
      <c r="BG417" s="315" t="s">
        <v>314</v>
      </c>
      <c r="BH417" s="137" t="s">
        <v>378</v>
      </c>
    </row>
    <row r="418" s="78" customFormat="1" ht="15" hidden="1" spans="1:60">
      <c r="A418" s="301">
        <v>411</v>
      </c>
      <c r="B418" s="307" t="s">
        <v>19</v>
      </c>
      <c r="C418" s="307" t="s">
        <v>20</v>
      </c>
      <c r="D418" s="308">
        <v>2023</v>
      </c>
      <c r="E418" s="313" t="s">
        <v>633</v>
      </c>
      <c r="F418" s="308" t="s">
        <v>53</v>
      </c>
      <c r="G418" s="127" t="s">
        <v>56</v>
      </c>
      <c r="H418" s="310">
        <f t="shared" si="110"/>
        <v>8764800</v>
      </c>
      <c r="I418" s="311">
        <f t="shared" si="111"/>
        <v>8764800</v>
      </c>
      <c r="J418" s="310">
        <f t="shared" si="112"/>
        <v>0</v>
      </c>
      <c r="K418" s="311"/>
      <c r="L418" s="311"/>
      <c r="M418" s="311"/>
      <c r="N418" s="311"/>
      <c r="O418" s="310">
        <f t="shared" si="113"/>
        <v>0</v>
      </c>
      <c r="P418" s="311"/>
      <c r="Q418" s="311"/>
      <c r="R418" s="311"/>
      <c r="S418" s="311"/>
      <c r="T418" s="310">
        <f t="shared" si="114"/>
        <v>8764800</v>
      </c>
      <c r="U418" s="311">
        <v>6000000</v>
      </c>
      <c r="V418" s="311">
        <v>1800000</v>
      </c>
      <c r="W418" s="311"/>
      <c r="X418" s="311">
        <v>964800</v>
      </c>
      <c r="Y418" s="310">
        <f t="shared" si="115"/>
        <v>0</v>
      </c>
      <c r="Z418" s="311"/>
      <c r="AA418" s="311"/>
      <c r="AB418" s="311"/>
      <c r="AC418" s="311"/>
      <c r="AD418" s="311"/>
      <c r="AE418" s="311"/>
      <c r="AF418" s="311"/>
      <c r="AG418" s="310">
        <f t="shared" si="116"/>
        <v>7764986</v>
      </c>
      <c r="AH418" s="310">
        <f t="shared" si="117"/>
        <v>7764986</v>
      </c>
      <c r="AI418" s="310">
        <f t="shared" si="118"/>
        <v>0</v>
      </c>
      <c r="AJ418" s="310"/>
      <c r="AK418" s="310"/>
      <c r="AL418" s="310"/>
      <c r="AM418" s="310"/>
      <c r="AN418" s="310">
        <f t="shared" si="119"/>
        <v>0</v>
      </c>
      <c r="AO418" s="310"/>
      <c r="AP418" s="310"/>
      <c r="AQ418" s="310"/>
      <c r="AR418" s="310"/>
      <c r="AS418" s="310">
        <f t="shared" si="120"/>
        <v>7764986</v>
      </c>
      <c r="AT418" s="310">
        <v>6000000</v>
      </c>
      <c r="AU418" s="310">
        <v>1764986</v>
      </c>
      <c r="AV418" s="310"/>
      <c r="AW418" s="310"/>
      <c r="AX418" s="310">
        <f t="shared" si="121"/>
        <v>0</v>
      </c>
      <c r="AY418" s="310"/>
      <c r="AZ418" s="310"/>
      <c r="BA418" s="310"/>
      <c r="BB418" s="310"/>
      <c r="BC418" s="310"/>
      <c r="BD418" s="310"/>
      <c r="BE418" s="312"/>
      <c r="BF418" s="134" t="s">
        <v>56</v>
      </c>
      <c r="BG418" s="315" t="s">
        <v>314</v>
      </c>
      <c r="BH418" s="137" t="s">
        <v>157</v>
      </c>
    </row>
    <row r="419" s="78" customFormat="1" ht="15" hidden="1" spans="1:60">
      <c r="A419" s="301">
        <v>412</v>
      </c>
      <c r="B419" s="307" t="s">
        <v>19</v>
      </c>
      <c r="C419" s="307" t="s">
        <v>20</v>
      </c>
      <c r="D419" s="308">
        <v>2023</v>
      </c>
      <c r="E419" s="313" t="s">
        <v>634</v>
      </c>
      <c r="F419" s="308" t="s">
        <v>53</v>
      </c>
      <c r="G419" s="127" t="s">
        <v>56</v>
      </c>
      <c r="H419" s="310">
        <f t="shared" si="110"/>
        <v>700000</v>
      </c>
      <c r="I419" s="311">
        <f t="shared" si="111"/>
        <v>700000</v>
      </c>
      <c r="J419" s="310">
        <f t="shared" si="112"/>
        <v>0</v>
      </c>
      <c r="K419" s="311"/>
      <c r="L419" s="311"/>
      <c r="M419" s="311"/>
      <c r="N419" s="311"/>
      <c r="O419" s="310">
        <f t="shared" si="113"/>
        <v>0</v>
      </c>
      <c r="P419" s="311"/>
      <c r="Q419" s="311"/>
      <c r="R419" s="311"/>
      <c r="S419" s="311"/>
      <c r="T419" s="310">
        <f t="shared" si="114"/>
        <v>700000</v>
      </c>
      <c r="U419" s="311">
        <v>400000</v>
      </c>
      <c r="V419" s="311">
        <v>300000</v>
      </c>
      <c r="W419" s="311"/>
      <c r="X419" s="311"/>
      <c r="Y419" s="310">
        <f t="shared" si="115"/>
        <v>0</v>
      </c>
      <c r="Z419" s="311"/>
      <c r="AA419" s="311"/>
      <c r="AB419" s="311"/>
      <c r="AC419" s="311"/>
      <c r="AD419" s="311"/>
      <c r="AE419" s="311"/>
      <c r="AF419" s="311"/>
      <c r="AG419" s="310">
        <f t="shared" si="116"/>
        <v>676404.65</v>
      </c>
      <c r="AH419" s="310">
        <f t="shared" si="117"/>
        <v>676404.65</v>
      </c>
      <c r="AI419" s="310">
        <f t="shared" si="118"/>
        <v>0</v>
      </c>
      <c r="AJ419" s="310"/>
      <c r="AK419" s="310"/>
      <c r="AL419" s="310"/>
      <c r="AM419" s="310"/>
      <c r="AN419" s="310">
        <f t="shared" si="119"/>
        <v>0</v>
      </c>
      <c r="AO419" s="310"/>
      <c r="AP419" s="310"/>
      <c r="AQ419" s="310"/>
      <c r="AR419" s="310"/>
      <c r="AS419" s="310">
        <f t="shared" si="120"/>
        <v>676404.65</v>
      </c>
      <c r="AT419" s="310">
        <v>400000</v>
      </c>
      <c r="AU419" s="310">
        <v>276404.65</v>
      </c>
      <c r="AV419" s="310"/>
      <c r="AW419" s="310"/>
      <c r="AX419" s="310">
        <f t="shared" si="121"/>
        <v>0</v>
      </c>
      <c r="AY419" s="310"/>
      <c r="AZ419" s="310"/>
      <c r="BA419" s="310"/>
      <c r="BB419" s="310"/>
      <c r="BC419" s="310"/>
      <c r="BD419" s="310"/>
      <c r="BE419" s="312"/>
      <c r="BF419" s="134" t="s">
        <v>56</v>
      </c>
      <c r="BG419" s="315" t="s">
        <v>167</v>
      </c>
      <c r="BH419" s="137" t="s">
        <v>157</v>
      </c>
    </row>
    <row r="420" s="78" customFormat="1" ht="15" hidden="1" spans="1:60">
      <c r="A420" s="301">
        <v>413</v>
      </c>
      <c r="B420" s="307" t="s">
        <v>19</v>
      </c>
      <c r="C420" s="307" t="s">
        <v>20</v>
      </c>
      <c r="D420" s="308">
        <v>2023</v>
      </c>
      <c r="E420" s="313" t="s">
        <v>635</v>
      </c>
      <c r="F420" s="308" t="s">
        <v>53</v>
      </c>
      <c r="G420" s="127" t="s">
        <v>56</v>
      </c>
      <c r="H420" s="310">
        <f t="shared" si="110"/>
        <v>16650000</v>
      </c>
      <c r="I420" s="311">
        <f t="shared" si="111"/>
        <v>16650000</v>
      </c>
      <c r="J420" s="310">
        <f t="shared" si="112"/>
        <v>0</v>
      </c>
      <c r="K420" s="311"/>
      <c r="L420" s="311"/>
      <c r="M420" s="311"/>
      <c r="N420" s="311"/>
      <c r="O420" s="310">
        <f t="shared" si="113"/>
        <v>0</v>
      </c>
      <c r="P420" s="311"/>
      <c r="Q420" s="311"/>
      <c r="R420" s="311"/>
      <c r="S420" s="311"/>
      <c r="T420" s="310">
        <f t="shared" si="114"/>
        <v>0</v>
      </c>
      <c r="U420" s="311"/>
      <c r="V420" s="311"/>
      <c r="W420" s="311"/>
      <c r="X420" s="311"/>
      <c r="Y420" s="310">
        <f t="shared" si="115"/>
        <v>16650000</v>
      </c>
      <c r="Z420" s="311"/>
      <c r="AA420" s="311">
        <v>16650000</v>
      </c>
      <c r="AB420" s="311"/>
      <c r="AC420" s="311"/>
      <c r="AD420" s="311"/>
      <c r="AE420" s="311"/>
      <c r="AF420" s="311"/>
      <c r="AG420" s="310">
        <f t="shared" si="116"/>
        <v>16035240.97</v>
      </c>
      <c r="AH420" s="310">
        <f t="shared" si="117"/>
        <v>16035240.97</v>
      </c>
      <c r="AI420" s="310">
        <f t="shared" si="118"/>
        <v>0</v>
      </c>
      <c r="AJ420" s="310"/>
      <c r="AK420" s="310"/>
      <c r="AL420" s="310"/>
      <c r="AM420" s="310"/>
      <c r="AN420" s="310">
        <f t="shared" si="119"/>
        <v>0</v>
      </c>
      <c r="AO420" s="310"/>
      <c r="AP420" s="310"/>
      <c r="AQ420" s="310"/>
      <c r="AR420" s="310"/>
      <c r="AS420" s="310">
        <f t="shared" si="120"/>
        <v>0</v>
      </c>
      <c r="AT420" s="310"/>
      <c r="AU420" s="310"/>
      <c r="AV420" s="310"/>
      <c r="AW420" s="310"/>
      <c r="AX420" s="310">
        <f t="shared" si="121"/>
        <v>16035240.97</v>
      </c>
      <c r="AY420" s="310"/>
      <c r="AZ420" s="310">
        <v>16035240.97</v>
      </c>
      <c r="BA420" s="310"/>
      <c r="BB420" s="310"/>
      <c r="BC420" s="310"/>
      <c r="BD420" s="310"/>
      <c r="BE420" s="312"/>
      <c r="BF420" s="134" t="s">
        <v>56</v>
      </c>
      <c r="BG420" s="315" t="s">
        <v>167</v>
      </c>
      <c r="BH420" s="137" t="s">
        <v>101</v>
      </c>
    </row>
    <row r="421" s="78" customFormat="1" ht="15" hidden="1" spans="1:60">
      <c r="A421" s="301">
        <v>414</v>
      </c>
      <c r="B421" s="307" t="s">
        <v>19</v>
      </c>
      <c r="C421" s="307" t="s">
        <v>20</v>
      </c>
      <c r="D421" s="308">
        <v>2020</v>
      </c>
      <c r="E421" s="313" t="s">
        <v>636</v>
      </c>
      <c r="F421" s="308" t="s">
        <v>53</v>
      </c>
      <c r="G421" s="127" t="s">
        <v>56</v>
      </c>
      <c r="H421" s="310">
        <f t="shared" si="110"/>
        <v>12049500</v>
      </c>
      <c r="I421" s="310">
        <f t="shared" si="111"/>
        <v>12049500</v>
      </c>
      <c r="J421" s="310">
        <f t="shared" si="112"/>
        <v>0</v>
      </c>
      <c r="K421" s="310"/>
      <c r="L421" s="310"/>
      <c r="M421" s="310"/>
      <c r="N421" s="310"/>
      <c r="O421" s="310">
        <f t="shared" si="113"/>
        <v>0</v>
      </c>
      <c r="P421" s="310"/>
      <c r="Q421" s="310"/>
      <c r="R421" s="310"/>
      <c r="S421" s="310"/>
      <c r="T421" s="310">
        <f t="shared" si="114"/>
        <v>12049500</v>
      </c>
      <c r="U421" s="310"/>
      <c r="V421" s="310">
        <v>12049500</v>
      </c>
      <c r="W421" s="310"/>
      <c r="X421" s="310"/>
      <c r="Y421" s="310">
        <f t="shared" si="115"/>
        <v>0</v>
      </c>
      <c r="Z421" s="310"/>
      <c r="AA421" s="310"/>
      <c r="AB421" s="310"/>
      <c r="AC421" s="310"/>
      <c r="AD421" s="310"/>
      <c r="AE421" s="310"/>
      <c r="AF421" s="310"/>
      <c r="AG421" s="310">
        <f t="shared" si="116"/>
        <v>10674359.95</v>
      </c>
      <c r="AH421" s="310">
        <f t="shared" si="117"/>
        <v>10674359.95</v>
      </c>
      <c r="AI421" s="310">
        <f t="shared" si="118"/>
        <v>0</v>
      </c>
      <c r="AJ421" s="310"/>
      <c r="AK421" s="310"/>
      <c r="AL421" s="310"/>
      <c r="AM421" s="310"/>
      <c r="AN421" s="310">
        <f t="shared" si="119"/>
        <v>0</v>
      </c>
      <c r="AO421" s="310"/>
      <c r="AP421" s="310"/>
      <c r="AQ421" s="310"/>
      <c r="AR421" s="310"/>
      <c r="AS421" s="310">
        <f t="shared" si="120"/>
        <v>10674359.95</v>
      </c>
      <c r="AT421" s="310"/>
      <c r="AU421" s="310">
        <v>10674359.95</v>
      </c>
      <c r="AV421" s="310"/>
      <c r="AW421" s="310"/>
      <c r="AX421" s="310">
        <f t="shared" si="121"/>
        <v>0</v>
      </c>
      <c r="AY421" s="310"/>
      <c r="AZ421" s="310"/>
      <c r="BA421" s="310"/>
      <c r="BB421" s="310"/>
      <c r="BC421" s="310"/>
      <c r="BD421" s="310"/>
      <c r="BE421" s="312"/>
      <c r="BF421" s="134" t="s">
        <v>56</v>
      </c>
      <c r="BG421" s="315" t="s">
        <v>167</v>
      </c>
      <c r="BH421" s="137" t="s">
        <v>637</v>
      </c>
    </row>
    <row r="422" s="78" customFormat="1" ht="15" hidden="1" spans="1:60">
      <c r="A422" s="301">
        <v>415</v>
      </c>
      <c r="B422" s="307" t="s">
        <v>19</v>
      </c>
      <c r="C422" s="307" t="s">
        <v>20</v>
      </c>
      <c r="D422" s="308">
        <v>2014</v>
      </c>
      <c r="E422" s="313" t="s">
        <v>638</v>
      </c>
      <c r="F422" s="308" t="s">
        <v>53</v>
      </c>
      <c r="G422" s="127" t="s">
        <v>56</v>
      </c>
      <c r="H422" s="310">
        <f t="shared" si="110"/>
        <v>3800000</v>
      </c>
      <c r="I422" s="311">
        <f t="shared" si="111"/>
        <v>3800000</v>
      </c>
      <c r="J422" s="310">
        <f t="shared" si="112"/>
        <v>0</v>
      </c>
      <c r="K422" s="310"/>
      <c r="L422" s="310"/>
      <c r="M422" s="310"/>
      <c r="N422" s="310"/>
      <c r="O422" s="310">
        <f t="shared" si="113"/>
        <v>0</v>
      </c>
      <c r="P422" s="310"/>
      <c r="Q422" s="310"/>
      <c r="R422" s="310"/>
      <c r="S422" s="310"/>
      <c r="T422" s="310">
        <f t="shared" si="114"/>
        <v>3800000</v>
      </c>
      <c r="U422" s="310"/>
      <c r="V422" s="310"/>
      <c r="W422" s="310"/>
      <c r="X422" s="310">
        <v>3800000</v>
      </c>
      <c r="Y422" s="310">
        <f t="shared" si="115"/>
        <v>0</v>
      </c>
      <c r="Z422" s="310"/>
      <c r="AA422" s="310"/>
      <c r="AB422" s="310"/>
      <c r="AC422" s="310"/>
      <c r="AD422" s="310"/>
      <c r="AE422" s="310"/>
      <c r="AF422" s="310"/>
      <c r="AG422" s="310">
        <f t="shared" si="116"/>
        <v>3403611.87</v>
      </c>
      <c r="AH422" s="310">
        <f t="shared" si="117"/>
        <v>3403611.87</v>
      </c>
      <c r="AI422" s="310">
        <f t="shared" si="118"/>
        <v>0</v>
      </c>
      <c r="AJ422" s="310"/>
      <c r="AK422" s="310"/>
      <c r="AL422" s="310"/>
      <c r="AM422" s="310"/>
      <c r="AN422" s="310">
        <f t="shared" si="119"/>
        <v>0</v>
      </c>
      <c r="AO422" s="310"/>
      <c r="AP422" s="310"/>
      <c r="AQ422" s="310"/>
      <c r="AR422" s="310"/>
      <c r="AS422" s="310">
        <f t="shared" si="120"/>
        <v>3403611.87</v>
      </c>
      <c r="AT422" s="310"/>
      <c r="AU422" s="310"/>
      <c r="AV422" s="310"/>
      <c r="AW422" s="310">
        <v>3403611.87</v>
      </c>
      <c r="AX422" s="310">
        <f t="shared" si="121"/>
        <v>0</v>
      </c>
      <c r="AY422" s="310"/>
      <c r="AZ422" s="310"/>
      <c r="BA422" s="310"/>
      <c r="BB422" s="310"/>
      <c r="BC422" s="310"/>
      <c r="BD422" s="310"/>
      <c r="BE422" s="312"/>
      <c r="BF422" s="134" t="s">
        <v>56</v>
      </c>
      <c r="BG422" s="315" t="s">
        <v>162</v>
      </c>
      <c r="BH422" s="137" t="s">
        <v>184</v>
      </c>
    </row>
    <row r="423" s="79" customFormat="1" ht="15" hidden="1" spans="1:60">
      <c r="A423" s="301">
        <v>416</v>
      </c>
      <c r="B423" s="334" t="s">
        <v>19</v>
      </c>
      <c r="C423" s="334" t="s">
        <v>20</v>
      </c>
      <c r="D423" s="335">
        <v>2015</v>
      </c>
      <c r="E423" s="340" t="s">
        <v>639</v>
      </c>
      <c r="F423" s="335" t="s">
        <v>53</v>
      </c>
      <c r="G423" s="146" t="s">
        <v>56</v>
      </c>
      <c r="H423" s="337">
        <f t="shared" si="110"/>
        <v>23000000</v>
      </c>
      <c r="I423" s="371">
        <f t="shared" si="111"/>
        <v>23000000</v>
      </c>
      <c r="J423" s="337">
        <f t="shared" si="112"/>
        <v>0</v>
      </c>
      <c r="K423" s="337"/>
      <c r="L423" s="337"/>
      <c r="M423" s="337"/>
      <c r="N423" s="337"/>
      <c r="O423" s="337">
        <f t="shared" si="113"/>
        <v>0</v>
      </c>
      <c r="P423" s="337"/>
      <c r="Q423" s="337"/>
      <c r="R423" s="337"/>
      <c r="S423" s="337"/>
      <c r="T423" s="337">
        <f t="shared" si="114"/>
        <v>0</v>
      </c>
      <c r="U423" s="337"/>
      <c r="V423" s="337"/>
      <c r="W423" s="337"/>
      <c r="X423" s="337"/>
      <c r="Y423" s="337">
        <f t="shared" si="115"/>
        <v>23000000</v>
      </c>
      <c r="Z423" s="337"/>
      <c r="AA423" s="337">
        <v>23000000</v>
      </c>
      <c r="AB423" s="337"/>
      <c r="AC423" s="337"/>
      <c r="AD423" s="337"/>
      <c r="AE423" s="337"/>
      <c r="AF423" s="337"/>
      <c r="AG423" s="337">
        <f t="shared" si="116"/>
        <v>23000000</v>
      </c>
      <c r="AH423" s="337">
        <f t="shared" si="117"/>
        <v>23000000</v>
      </c>
      <c r="AI423" s="337">
        <f t="shared" si="118"/>
        <v>0</v>
      </c>
      <c r="AJ423" s="337"/>
      <c r="AK423" s="337"/>
      <c r="AL423" s="337"/>
      <c r="AM423" s="337"/>
      <c r="AN423" s="337">
        <f t="shared" si="119"/>
        <v>0</v>
      </c>
      <c r="AO423" s="337"/>
      <c r="AP423" s="337"/>
      <c r="AQ423" s="337"/>
      <c r="AR423" s="337"/>
      <c r="AS423" s="337">
        <f t="shared" si="120"/>
        <v>0</v>
      </c>
      <c r="AT423" s="337"/>
      <c r="AU423" s="337"/>
      <c r="AV423" s="337"/>
      <c r="AW423" s="337"/>
      <c r="AX423" s="337">
        <f t="shared" si="121"/>
        <v>23000000</v>
      </c>
      <c r="AY423" s="337"/>
      <c r="AZ423" s="337">
        <v>23000000</v>
      </c>
      <c r="BA423" s="337"/>
      <c r="BB423" s="337"/>
      <c r="BC423" s="337"/>
      <c r="BD423" s="337"/>
      <c r="BE423" s="338"/>
      <c r="BF423" s="139" t="s">
        <v>56</v>
      </c>
      <c r="BG423" s="339" t="s">
        <v>221</v>
      </c>
      <c r="BH423" s="147" t="s">
        <v>323</v>
      </c>
    </row>
    <row r="424" s="78" customFormat="1" ht="15" hidden="1" spans="1:60">
      <c r="A424" s="301">
        <v>417</v>
      </c>
      <c r="B424" s="307" t="s">
        <v>19</v>
      </c>
      <c r="C424" s="307" t="s">
        <v>20</v>
      </c>
      <c r="D424" s="308">
        <v>2015</v>
      </c>
      <c r="E424" s="313" t="s">
        <v>640</v>
      </c>
      <c r="F424" s="308" t="s">
        <v>53</v>
      </c>
      <c r="G424" s="127" t="s">
        <v>53</v>
      </c>
      <c r="H424" s="310">
        <f t="shared" si="110"/>
        <v>4152000</v>
      </c>
      <c r="I424" s="311">
        <f t="shared" si="111"/>
        <v>4152000</v>
      </c>
      <c r="J424" s="310">
        <f t="shared" si="112"/>
        <v>0</v>
      </c>
      <c r="K424" s="310"/>
      <c r="L424" s="310"/>
      <c r="M424" s="310"/>
      <c r="N424" s="310"/>
      <c r="O424" s="310">
        <f t="shared" si="113"/>
        <v>4152000</v>
      </c>
      <c r="P424" s="310">
        <v>4152000</v>
      </c>
      <c r="Q424" s="310"/>
      <c r="R424" s="310"/>
      <c r="S424" s="310"/>
      <c r="T424" s="310">
        <f t="shared" si="114"/>
        <v>0</v>
      </c>
      <c r="U424" s="310"/>
      <c r="V424" s="310"/>
      <c r="W424" s="310"/>
      <c r="X424" s="310"/>
      <c r="Y424" s="310">
        <f t="shared" si="115"/>
        <v>0</v>
      </c>
      <c r="Z424" s="310"/>
      <c r="AA424" s="310"/>
      <c r="AB424" s="310"/>
      <c r="AC424" s="310"/>
      <c r="AD424" s="310"/>
      <c r="AE424" s="310"/>
      <c r="AF424" s="310"/>
      <c r="AG424" s="310">
        <f t="shared" si="116"/>
        <v>3958181.11</v>
      </c>
      <c r="AH424" s="310">
        <f t="shared" si="117"/>
        <v>3958181.11</v>
      </c>
      <c r="AI424" s="310">
        <f t="shared" si="118"/>
        <v>0</v>
      </c>
      <c r="AJ424" s="310"/>
      <c r="AK424" s="310"/>
      <c r="AL424" s="310"/>
      <c r="AM424" s="310"/>
      <c r="AN424" s="310">
        <f t="shared" si="119"/>
        <v>3958181.11</v>
      </c>
      <c r="AO424" s="310">
        <v>3958181.11</v>
      </c>
      <c r="AP424" s="310"/>
      <c r="AQ424" s="310"/>
      <c r="AR424" s="310"/>
      <c r="AS424" s="310">
        <f t="shared" si="120"/>
        <v>0</v>
      </c>
      <c r="AT424" s="310"/>
      <c r="AU424" s="310"/>
      <c r="AV424" s="310"/>
      <c r="AW424" s="310"/>
      <c r="AX424" s="310">
        <f t="shared" si="121"/>
        <v>0</v>
      </c>
      <c r="AY424" s="310"/>
      <c r="AZ424" s="310"/>
      <c r="BA424" s="310"/>
      <c r="BB424" s="310"/>
      <c r="BC424" s="310"/>
      <c r="BD424" s="310"/>
      <c r="BE424" s="312">
        <v>0</v>
      </c>
      <c r="BF424" s="134" t="s">
        <v>56</v>
      </c>
      <c r="BG424" s="315" t="s">
        <v>641</v>
      </c>
      <c r="BH424" s="137" t="s">
        <v>131</v>
      </c>
    </row>
    <row r="425" s="77" customFormat="1" ht="15" hidden="1" spans="1:60">
      <c r="A425" s="301">
        <v>418</v>
      </c>
      <c r="B425" s="307" t="s">
        <v>19</v>
      </c>
      <c r="C425" s="307" t="s">
        <v>20</v>
      </c>
      <c r="D425" s="308">
        <v>2016</v>
      </c>
      <c r="E425" s="313" t="s">
        <v>642</v>
      </c>
      <c r="F425" s="308" t="s">
        <v>53</v>
      </c>
      <c r="G425" s="127" t="s">
        <v>53</v>
      </c>
      <c r="H425" s="310">
        <f t="shared" si="110"/>
        <v>4500000</v>
      </c>
      <c r="I425" s="311">
        <f t="shared" si="111"/>
        <v>4500000</v>
      </c>
      <c r="J425" s="310">
        <f t="shared" si="112"/>
        <v>0</v>
      </c>
      <c r="K425" s="310"/>
      <c r="L425" s="310"/>
      <c r="M425" s="310"/>
      <c r="N425" s="310"/>
      <c r="O425" s="310">
        <f t="shared" si="113"/>
        <v>0</v>
      </c>
      <c r="P425" s="310"/>
      <c r="Q425" s="310"/>
      <c r="R425" s="310"/>
      <c r="S425" s="310"/>
      <c r="T425" s="310">
        <f t="shared" si="114"/>
        <v>0</v>
      </c>
      <c r="U425" s="310"/>
      <c r="V425" s="310"/>
      <c r="W425" s="310"/>
      <c r="X425" s="310"/>
      <c r="Y425" s="310">
        <f t="shared" si="115"/>
        <v>4500000</v>
      </c>
      <c r="Z425" s="310"/>
      <c r="AA425" s="310">
        <v>4500000</v>
      </c>
      <c r="AB425" s="310"/>
      <c r="AC425" s="310"/>
      <c r="AD425" s="310"/>
      <c r="AE425" s="310"/>
      <c r="AF425" s="310"/>
      <c r="AG425" s="310">
        <f t="shared" si="116"/>
        <v>4500000</v>
      </c>
      <c r="AH425" s="310">
        <f t="shared" si="117"/>
        <v>4500000</v>
      </c>
      <c r="AI425" s="310">
        <f t="shared" si="118"/>
        <v>0</v>
      </c>
      <c r="AJ425" s="310"/>
      <c r="AK425" s="310"/>
      <c r="AL425" s="310"/>
      <c r="AM425" s="310"/>
      <c r="AN425" s="310">
        <f t="shared" si="119"/>
        <v>0</v>
      </c>
      <c r="AO425" s="310"/>
      <c r="AP425" s="310"/>
      <c r="AQ425" s="310"/>
      <c r="AR425" s="310"/>
      <c r="AS425" s="310">
        <f t="shared" si="120"/>
        <v>0</v>
      </c>
      <c r="AT425" s="310"/>
      <c r="AU425" s="310"/>
      <c r="AV425" s="310"/>
      <c r="AW425" s="310"/>
      <c r="AX425" s="310">
        <f t="shared" si="121"/>
        <v>4500000</v>
      </c>
      <c r="AY425" s="310"/>
      <c r="AZ425" s="310">
        <v>4500000</v>
      </c>
      <c r="BA425" s="310"/>
      <c r="BB425" s="310"/>
      <c r="BC425" s="310"/>
      <c r="BD425" s="310"/>
      <c r="BE425" s="312"/>
      <c r="BF425" s="127" t="s">
        <v>56</v>
      </c>
      <c r="BG425" s="128" t="s">
        <v>358</v>
      </c>
      <c r="BH425" s="133" t="s">
        <v>643</v>
      </c>
    </row>
    <row r="426" s="77" customFormat="1" ht="15" hidden="1" spans="1:60">
      <c r="A426" s="301">
        <v>419</v>
      </c>
      <c r="B426" s="307" t="s">
        <v>19</v>
      </c>
      <c r="C426" s="307" t="s">
        <v>20</v>
      </c>
      <c r="D426" s="308">
        <v>2016</v>
      </c>
      <c r="E426" s="313" t="s">
        <v>644</v>
      </c>
      <c r="F426" s="308" t="s">
        <v>53</v>
      </c>
      <c r="G426" s="127" t="s">
        <v>56</v>
      </c>
      <c r="H426" s="310">
        <f t="shared" si="110"/>
        <v>4000000</v>
      </c>
      <c r="I426" s="311">
        <f t="shared" si="111"/>
        <v>4000000</v>
      </c>
      <c r="J426" s="310">
        <f t="shared" si="112"/>
        <v>0</v>
      </c>
      <c r="K426" s="310"/>
      <c r="L426" s="310"/>
      <c r="M426" s="310"/>
      <c r="N426" s="310"/>
      <c r="O426" s="310">
        <f t="shared" si="113"/>
        <v>0</v>
      </c>
      <c r="P426" s="310"/>
      <c r="Q426" s="310"/>
      <c r="R426" s="310"/>
      <c r="S426" s="310"/>
      <c r="T426" s="310">
        <f t="shared" si="114"/>
        <v>0</v>
      </c>
      <c r="U426" s="310"/>
      <c r="V426" s="310"/>
      <c r="W426" s="310"/>
      <c r="X426" s="310"/>
      <c r="Y426" s="310">
        <f t="shared" si="115"/>
        <v>4000000</v>
      </c>
      <c r="Z426" s="310"/>
      <c r="AA426" s="310">
        <v>4000000</v>
      </c>
      <c r="AB426" s="310"/>
      <c r="AC426" s="310"/>
      <c r="AD426" s="310"/>
      <c r="AE426" s="310"/>
      <c r="AF426" s="310"/>
      <c r="AG426" s="310">
        <f t="shared" si="116"/>
        <v>4000000</v>
      </c>
      <c r="AH426" s="310">
        <f t="shared" si="117"/>
        <v>4000000</v>
      </c>
      <c r="AI426" s="310">
        <f t="shared" si="118"/>
        <v>0</v>
      </c>
      <c r="AJ426" s="310"/>
      <c r="AK426" s="310"/>
      <c r="AL426" s="310"/>
      <c r="AM426" s="310"/>
      <c r="AN426" s="310">
        <f t="shared" si="119"/>
        <v>0</v>
      </c>
      <c r="AO426" s="310"/>
      <c r="AP426" s="310"/>
      <c r="AQ426" s="310"/>
      <c r="AR426" s="310"/>
      <c r="AS426" s="310">
        <f t="shared" si="120"/>
        <v>0</v>
      </c>
      <c r="AT426" s="310"/>
      <c r="AU426" s="310"/>
      <c r="AV426" s="310"/>
      <c r="AW426" s="310"/>
      <c r="AX426" s="310">
        <f t="shared" si="121"/>
        <v>4000000</v>
      </c>
      <c r="AY426" s="310"/>
      <c r="AZ426" s="310">
        <v>4000000</v>
      </c>
      <c r="BA426" s="310"/>
      <c r="BB426" s="310"/>
      <c r="BC426" s="310"/>
      <c r="BD426" s="310"/>
      <c r="BE426" s="312"/>
      <c r="BF426" s="127" t="s">
        <v>56</v>
      </c>
      <c r="BG426" s="184" t="s">
        <v>645</v>
      </c>
      <c r="BH426" s="133"/>
    </row>
    <row r="427" s="77" customFormat="1" ht="15" hidden="1" spans="1:60">
      <c r="A427" s="301">
        <v>420</v>
      </c>
      <c r="B427" s="307" t="s">
        <v>19</v>
      </c>
      <c r="C427" s="307" t="s">
        <v>20</v>
      </c>
      <c r="D427" s="308">
        <v>2016</v>
      </c>
      <c r="E427" s="313" t="s">
        <v>646</v>
      </c>
      <c r="F427" s="308" t="s">
        <v>56</v>
      </c>
      <c r="G427" s="127" t="s">
        <v>56</v>
      </c>
      <c r="H427" s="310">
        <f t="shared" si="110"/>
        <v>2920000</v>
      </c>
      <c r="I427" s="311">
        <f t="shared" si="111"/>
        <v>2920000</v>
      </c>
      <c r="J427" s="310">
        <f t="shared" si="112"/>
        <v>0</v>
      </c>
      <c r="K427" s="310"/>
      <c r="L427" s="310"/>
      <c r="M427" s="310"/>
      <c r="N427" s="310"/>
      <c r="O427" s="310">
        <f t="shared" si="113"/>
        <v>0</v>
      </c>
      <c r="P427" s="310"/>
      <c r="Q427" s="310"/>
      <c r="R427" s="310"/>
      <c r="S427" s="310"/>
      <c r="T427" s="310">
        <f t="shared" si="114"/>
        <v>0</v>
      </c>
      <c r="U427" s="310"/>
      <c r="V427" s="310"/>
      <c r="W427" s="310"/>
      <c r="X427" s="310"/>
      <c r="Y427" s="310">
        <f t="shared" si="115"/>
        <v>2920000</v>
      </c>
      <c r="Z427" s="310"/>
      <c r="AA427" s="310">
        <v>2920000</v>
      </c>
      <c r="AB427" s="310"/>
      <c r="AC427" s="310"/>
      <c r="AD427" s="310"/>
      <c r="AE427" s="310"/>
      <c r="AF427" s="310"/>
      <c r="AG427" s="310">
        <f t="shared" si="116"/>
        <v>2920000</v>
      </c>
      <c r="AH427" s="310">
        <f t="shared" si="117"/>
        <v>2920000</v>
      </c>
      <c r="AI427" s="310">
        <f t="shared" si="118"/>
        <v>0</v>
      </c>
      <c r="AJ427" s="310"/>
      <c r="AK427" s="310"/>
      <c r="AL427" s="310"/>
      <c r="AM427" s="310"/>
      <c r="AN427" s="310">
        <f t="shared" si="119"/>
        <v>0</v>
      </c>
      <c r="AO427" s="310"/>
      <c r="AP427" s="310"/>
      <c r="AQ427" s="310"/>
      <c r="AR427" s="310"/>
      <c r="AS427" s="310">
        <f t="shared" si="120"/>
        <v>0</v>
      </c>
      <c r="AT427" s="310"/>
      <c r="AU427" s="310"/>
      <c r="AV427" s="310"/>
      <c r="AW427" s="310"/>
      <c r="AX427" s="310">
        <f t="shared" si="121"/>
        <v>2920000</v>
      </c>
      <c r="AY427" s="310"/>
      <c r="AZ427" s="310">
        <v>2920000</v>
      </c>
      <c r="BA427" s="310"/>
      <c r="BB427" s="310"/>
      <c r="BC427" s="310"/>
      <c r="BD427" s="310"/>
      <c r="BE427" s="312"/>
      <c r="BF427" s="127" t="s">
        <v>56</v>
      </c>
      <c r="BG427" s="128" t="s">
        <v>358</v>
      </c>
      <c r="BH427" s="133"/>
    </row>
    <row r="428" s="77" customFormat="1" ht="15" hidden="1" spans="1:60">
      <c r="A428" s="301">
        <v>421</v>
      </c>
      <c r="B428" s="307" t="s">
        <v>19</v>
      </c>
      <c r="C428" s="307" t="s">
        <v>20</v>
      </c>
      <c r="D428" s="308">
        <v>2016</v>
      </c>
      <c r="E428" s="313" t="s">
        <v>647</v>
      </c>
      <c r="F428" s="308" t="s">
        <v>56</v>
      </c>
      <c r="G428" s="127" t="s">
        <v>56</v>
      </c>
      <c r="H428" s="310">
        <f t="shared" si="110"/>
        <v>12939000</v>
      </c>
      <c r="I428" s="311">
        <f t="shared" si="111"/>
        <v>12939000</v>
      </c>
      <c r="J428" s="310">
        <f t="shared" si="112"/>
        <v>0</v>
      </c>
      <c r="K428" s="310"/>
      <c r="L428" s="310"/>
      <c r="M428" s="310"/>
      <c r="N428" s="310"/>
      <c r="O428" s="310">
        <f t="shared" si="113"/>
        <v>12939000</v>
      </c>
      <c r="P428" s="310"/>
      <c r="Q428" s="310">
        <v>10899000</v>
      </c>
      <c r="R428" s="310">
        <v>2040000</v>
      </c>
      <c r="S428" s="310"/>
      <c r="T428" s="310">
        <f t="shared" si="114"/>
        <v>0</v>
      </c>
      <c r="U428" s="310"/>
      <c r="V428" s="310"/>
      <c r="W428" s="310"/>
      <c r="X428" s="310"/>
      <c r="Y428" s="310">
        <f t="shared" si="115"/>
        <v>0</v>
      </c>
      <c r="Z428" s="310"/>
      <c r="AA428" s="310"/>
      <c r="AB428" s="310"/>
      <c r="AC428" s="310"/>
      <c r="AD428" s="310"/>
      <c r="AE428" s="310"/>
      <c r="AF428" s="310"/>
      <c r="AG428" s="310">
        <f t="shared" si="116"/>
        <v>12939000</v>
      </c>
      <c r="AH428" s="310">
        <f t="shared" si="117"/>
        <v>12939000</v>
      </c>
      <c r="AI428" s="310">
        <f t="shared" si="118"/>
        <v>0</v>
      </c>
      <c r="AJ428" s="310"/>
      <c r="AK428" s="310"/>
      <c r="AL428" s="310"/>
      <c r="AM428" s="310"/>
      <c r="AN428" s="310">
        <f t="shared" si="119"/>
        <v>12939000</v>
      </c>
      <c r="AO428" s="310"/>
      <c r="AP428" s="310">
        <v>10899000</v>
      </c>
      <c r="AQ428" s="310">
        <v>2040000</v>
      </c>
      <c r="AR428" s="310"/>
      <c r="AS428" s="310">
        <f t="shared" si="120"/>
        <v>0</v>
      </c>
      <c r="AT428" s="310"/>
      <c r="AU428" s="310"/>
      <c r="AV428" s="310"/>
      <c r="AW428" s="310"/>
      <c r="AX428" s="310">
        <f t="shared" si="121"/>
        <v>0</v>
      </c>
      <c r="AY428" s="310"/>
      <c r="AZ428" s="310"/>
      <c r="BA428" s="310"/>
      <c r="BB428" s="310"/>
      <c r="BC428" s="310"/>
      <c r="BD428" s="310"/>
      <c r="BE428" s="312"/>
      <c r="BF428" s="186" t="s">
        <v>648</v>
      </c>
      <c r="BG428" s="184" t="s">
        <v>383</v>
      </c>
      <c r="BH428" s="330" t="s">
        <v>649</v>
      </c>
    </row>
    <row r="429" s="77" customFormat="1" ht="15" hidden="1" spans="1:60">
      <c r="A429" s="301">
        <v>422</v>
      </c>
      <c r="B429" s="307" t="s">
        <v>19</v>
      </c>
      <c r="C429" s="307" t="s">
        <v>20</v>
      </c>
      <c r="D429" s="308">
        <v>2016</v>
      </c>
      <c r="E429" s="313" t="s">
        <v>650</v>
      </c>
      <c r="F429" s="308" t="s">
        <v>56</v>
      </c>
      <c r="G429" s="127" t="s">
        <v>56</v>
      </c>
      <c r="H429" s="310">
        <f t="shared" si="110"/>
        <v>4533700</v>
      </c>
      <c r="I429" s="311">
        <f t="shared" si="111"/>
        <v>4533700</v>
      </c>
      <c r="J429" s="310">
        <f t="shared" si="112"/>
        <v>0</v>
      </c>
      <c r="K429" s="310"/>
      <c r="L429" s="310"/>
      <c r="M429" s="310"/>
      <c r="N429" s="310"/>
      <c r="O429" s="310">
        <f t="shared" si="113"/>
        <v>4533700</v>
      </c>
      <c r="P429" s="310"/>
      <c r="Q429" s="310">
        <v>4533700</v>
      </c>
      <c r="R429" s="310"/>
      <c r="S429" s="310"/>
      <c r="T429" s="310">
        <f t="shared" si="114"/>
        <v>0</v>
      </c>
      <c r="U429" s="310"/>
      <c r="V429" s="310"/>
      <c r="W429" s="310"/>
      <c r="X429" s="310"/>
      <c r="Y429" s="310">
        <f t="shared" si="115"/>
        <v>0</v>
      </c>
      <c r="Z429" s="310"/>
      <c r="AA429" s="310"/>
      <c r="AB429" s="310"/>
      <c r="AC429" s="310"/>
      <c r="AD429" s="310"/>
      <c r="AE429" s="310"/>
      <c r="AF429" s="310"/>
      <c r="AG429" s="310">
        <f t="shared" si="116"/>
        <v>4533700</v>
      </c>
      <c r="AH429" s="310">
        <f t="shared" si="117"/>
        <v>4533700</v>
      </c>
      <c r="AI429" s="310">
        <f t="shared" si="118"/>
        <v>0</v>
      </c>
      <c r="AJ429" s="310"/>
      <c r="AK429" s="310"/>
      <c r="AL429" s="310"/>
      <c r="AM429" s="310"/>
      <c r="AN429" s="310">
        <f t="shared" si="119"/>
        <v>4533700</v>
      </c>
      <c r="AO429" s="310"/>
      <c r="AP429" s="310">
        <v>4533700</v>
      </c>
      <c r="AQ429" s="310"/>
      <c r="AR429" s="310"/>
      <c r="AS429" s="310">
        <f t="shared" si="120"/>
        <v>0</v>
      </c>
      <c r="AT429" s="310"/>
      <c r="AU429" s="310"/>
      <c r="AV429" s="310"/>
      <c r="AW429" s="310"/>
      <c r="AX429" s="310">
        <f t="shared" si="121"/>
        <v>0</v>
      </c>
      <c r="AY429" s="310"/>
      <c r="AZ429" s="310"/>
      <c r="BA429" s="310"/>
      <c r="BB429" s="310"/>
      <c r="BC429" s="310"/>
      <c r="BD429" s="310"/>
      <c r="BE429" s="312"/>
      <c r="BF429" s="186" t="s">
        <v>648</v>
      </c>
      <c r="BG429" s="184" t="s">
        <v>383</v>
      </c>
      <c r="BH429" s="330" t="s">
        <v>247</v>
      </c>
    </row>
    <row r="430" s="77" customFormat="1" ht="15" hidden="1" spans="1:60">
      <c r="A430" s="301">
        <v>423</v>
      </c>
      <c r="B430" s="307" t="s">
        <v>19</v>
      </c>
      <c r="C430" s="307" t="s">
        <v>20</v>
      </c>
      <c r="D430" s="308">
        <v>2016</v>
      </c>
      <c r="E430" s="313" t="s">
        <v>651</v>
      </c>
      <c r="F430" s="308" t="s">
        <v>56</v>
      </c>
      <c r="G430" s="127" t="s">
        <v>56</v>
      </c>
      <c r="H430" s="310">
        <f t="shared" si="110"/>
        <v>607600</v>
      </c>
      <c r="I430" s="311">
        <f t="shared" si="111"/>
        <v>607600</v>
      </c>
      <c r="J430" s="310">
        <f t="shared" si="112"/>
        <v>0</v>
      </c>
      <c r="K430" s="310"/>
      <c r="L430" s="310"/>
      <c r="M430" s="310"/>
      <c r="N430" s="310"/>
      <c r="O430" s="310">
        <f t="shared" si="113"/>
        <v>607600</v>
      </c>
      <c r="P430" s="310"/>
      <c r="Q430" s="310">
        <v>417600</v>
      </c>
      <c r="R430" s="310">
        <v>190000</v>
      </c>
      <c r="S430" s="310"/>
      <c r="T430" s="310">
        <f t="shared" si="114"/>
        <v>0</v>
      </c>
      <c r="U430" s="310"/>
      <c r="V430" s="310"/>
      <c r="W430" s="310"/>
      <c r="X430" s="310"/>
      <c r="Y430" s="310">
        <f t="shared" si="115"/>
        <v>0</v>
      </c>
      <c r="Z430" s="310"/>
      <c r="AA430" s="310"/>
      <c r="AB430" s="310"/>
      <c r="AC430" s="310"/>
      <c r="AD430" s="310"/>
      <c r="AE430" s="310"/>
      <c r="AF430" s="310"/>
      <c r="AG430" s="310">
        <f t="shared" si="116"/>
        <v>607600</v>
      </c>
      <c r="AH430" s="310">
        <f t="shared" si="117"/>
        <v>607600</v>
      </c>
      <c r="AI430" s="310">
        <f t="shared" si="118"/>
        <v>0</v>
      </c>
      <c r="AJ430" s="310"/>
      <c r="AK430" s="310"/>
      <c r="AL430" s="310"/>
      <c r="AM430" s="310"/>
      <c r="AN430" s="310">
        <f t="shared" si="119"/>
        <v>607600</v>
      </c>
      <c r="AO430" s="310"/>
      <c r="AP430" s="310">
        <v>417600</v>
      </c>
      <c r="AQ430" s="310">
        <v>190000</v>
      </c>
      <c r="AR430" s="310"/>
      <c r="AS430" s="310">
        <f t="shared" si="120"/>
        <v>0</v>
      </c>
      <c r="AT430" s="310"/>
      <c r="AU430" s="310"/>
      <c r="AV430" s="310"/>
      <c r="AW430" s="310"/>
      <c r="AX430" s="310">
        <f t="shared" si="121"/>
        <v>0</v>
      </c>
      <c r="AY430" s="310"/>
      <c r="AZ430" s="310"/>
      <c r="BA430" s="310"/>
      <c r="BB430" s="310"/>
      <c r="BC430" s="310"/>
      <c r="BD430" s="310"/>
      <c r="BE430" s="312"/>
      <c r="BF430" s="127" t="s">
        <v>56</v>
      </c>
      <c r="BG430" s="184" t="s">
        <v>383</v>
      </c>
      <c r="BH430" s="330" t="s">
        <v>652</v>
      </c>
    </row>
    <row r="431" s="77" customFormat="1" ht="15" hidden="1" spans="1:60">
      <c r="A431" s="301">
        <v>424</v>
      </c>
      <c r="B431" s="307" t="s">
        <v>19</v>
      </c>
      <c r="C431" s="307" t="s">
        <v>20</v>
      </c>
      <c r="D431" s="308">
        <v>2016</v>
      </c>
      <c r="E431" s="28" t="s">
        <v>653</v>
      </c>
      <c r="F431" s="308" t="s">
        <v>56</v>
      </c>
      <c r="G431" s="127" t="s">
        <v>56</v>
      </c>
      <c r="H431" s="310">
        <f t="shared" si="110"/>
        <v>25380000</v>
      </c>
      <c r="I431" s="311">
        <f t="shared" si="111"/>
        <v>25380000</v>
      </c>
      <c r="J431" s="310">
        <f t="shared" si="112"/>
        <v>0</v>
      </c>
      <c r="K431" s="310"/>
      <c r="L431" s="310"/>
      <c r="M431" s="310"/>
      <c r="N431" s="310"/>
      <c r="O431" s="310">
        <f t="shared" si="113"/>
        <v>25380000</v>
      </c>
      <c r="P431" s="310"/>
      <c r="Q431" s="310">
        <v>25380000</v>
      </c>
      <c r="R431" s="310"/>
      <c r="S431" s="310"/>
      <c r="T431" s="310">
        <f t="shared" si="114"/>
        <v>0</v>
      </c>
      <c r="U431" s="310"/>
      <c r="V431" s="310"/>
      <c r="W431" s="310"/>
      <c r="X431" s="310"/>
      <c r="Y431" s="310">
        <f t="shared" si="115"/>
        <v>0</v>
      </c>
      <c r="Z431" s="310"/>
      <c r="AA431" s="310"/>
      <c r="AB431" s="310"/>
      <c r="AC431" s="310"/>
      <c r="AD431" s="310"/>
      <c r="AE431" s="310"/>
      <c r="AF431" s="310"/>
      <c r="AG431" s="310">
        <f t="shared" si="116"/>
        <v>25380000</v>
      </c>
      <c r="AH431" s="310">
        <f t="shared" si="117"/>
        <v>25380000</v>
      </c>
      <c r="AI431" s="310">
        <f t="shared" si="118"/>
        <v>0</v>
      </c>
      <c r="AJ431" s="310"/>
      <c r="AK431" s="310"/>
      <c r="AL431" s="310"/>
      <c r="AM431" s="310"/>
      <c r="AN431" s="310">
        <f t="shared" si="119"/>
        <v>25380000</v>
      </c>
      <c r="AO431" s="310"/>
      <c r="AP431" s="310">
        <v>25380000</v>
      </c>
      <c r="AQ431" s="310"/>
      <c r="AR431" s="310"/>
      <c r="AS431" s="310">
        <f t="shared" si="120"/>
        <v>0</v>
      </c>
      <c r="AT431" s="310"/>
      <c r="AU431" s="310"/>
      <c r="AV431" s="310"/>
      <c r="AW431" s="310"/>
      <c r="AX431" s="310">
        <f t="shared" si="121"/>
        <v>0</v>
      </c>
      <c r="AY431" s="310"/>
      <c r="AZ431" s="310"/>
      <c r="BA431" s="310"/>
      <c r="BB431" s="310"/>
      <c r="BC431" s="310"/>
      <c r="BD431" s="310"/>
      <c r="BE431" s="312"/>
      <c r="BF431" s="186" t="s">
        <v>648</v>
      </c>
      <c r="BG431" s="184" t="s">
        <v>383</v>
      </c>
      <c r="BH431" s="330" t="s">
        <v>654</v>
      </c>
    </row>
    <row r="432" s="77" customFormat="1" ht="15" hidden="1" spans="1:60">
      <c r="A432" s="301">
        <v>425</v>
      </c>
      <c r="B432" s="307" t="s">
        <v>19</v>
      </c>
      <c r="C432" s="307" t="s">
        <v>20</v>
      </c>
      <c r="D432" s="308">
        <v>2016</v>
      </c>
      <c r="E432" s="313" t="s">
        <v>655</v>
      </c>
      <c r="F432" s="308" t="s">
        <v>56</v>
      </c>
      <c r="G432" s="127" t="s">
        <v>56</v>
      </c>
      <c r="H432" s="310">
        <f t="shared" si="110"/>
        <v>250000</v>
      </c>
      <c r="I432" s="311">
        <f t="shared" si="111"/>
        <v>250000</v>
      </c>
      <c r="J432" s="310">
        <f t="shared" si="112"/>
        <v>0</v>
      </c>
      <c r="K432" s="310"/>
      <c r="L432" s="310"/>
      <c r="M432" s="310"/>
      <c r="N432" s="310"/>
      <c r="O432" s="310">
        <f t="shared" si="113"/>
        <v>250000</v>
      </c>
      <c r="P432" s="310"/>
      <c r="Q432" s="310"/>
      <c r="R432" s="310"/>
      <c r="S432" s="310">
        <v>250000</v>
      </c>
      <c r="T432" s="310">
        <f t="shared" si="114"/>
        <v>0</v>
      </c>
      <c r="U432" s="310"/>
      <c r="V432" s="310"/>
      <c r="W432" s="310"/>
      <c r="X432" s="310"/>
      <c r="Y432" s="310">
        <f t="shared" si="115"/>
        <v>0</v>
      </c>
      <c r="Z432" s="310"/>
      <c r="AA432" s="310"/>
      <c r="AB432" s="310"/>
      <c r="AC432" s="310"/>
      <c r="AD432" s="310"/>
      <c r="AE432" s="310"/>
      <c r="AF432" s="310"/>
      <c r="AG432" s="310">
        <f t="shared" si="116"/>
        <v>250000</v>
      </c>
      <c r="AH432" s="310">
        <f t="shared" si="117"/>
        <v>250000</v>
      </c>
      <c r="AI432" s="310">
        <f t="shared" si="118"/>
        <v>0</v>
      </c>
      <c r="AJ432" s="310"/>
      <c r="AK432" s="310"/>
      <c r="AL432" s="310"/>
      <c r="AM432" s="310"/>
      <c r="AN432" s="310">
        <f t="shared" si="119"/>
        <v>250000</v>
      </c>
      <c r="AO432" s="310"/>
      <c r="AP432" s="310"/>
      <c r="AQ432" s="310"/>
      <c r="AR432" s="310">
        <v>250000</v>
      </c>
      <c r="AS432" s="310">
        <f t="shared" si="120"/>
        <v>0</v>
      </c>
      <c r="AT432" s="310"/>
      <c r="AU432" s="310"/>
      <c r="AV432" s="310"/>
      <c r="AW432" s="310"/>
      <c r="AX432" s="310">
        <f t="shared" si="121"/>
        <v>0</v>
      </c>
      <c r="AY432" s="310"/>
      <c r="AZ432" s="310"/>
      <c r="BA432" s="310"/>
      <c r="BB432" s="310"/>
      <c r="BC432" s="310"/>
      <c r="BD432" s="310"/>
      <c r="BE432" s="312"/>
      <c r="BF432" s="127" t="s">
        <v>56</v>
      </c>
      <c r="BG432" s="184" t="s">
        <v>392</v>
      </c>
      <c r="BH432" s="330" t="s">
        <v>176</v>
      </c>
    </row>
    <row r="433" s="77" customFormat="1" ht="15" hidden="1" spans="1:60">
      <c r="A433" s="301">
        <v>426</v>
      </c>
      <c r="B433" s="307" t="s">
        <v>19</v>
      </c>
      <c r="C433" s="307" t="s">
        <v>20</v>
      </c>
      <c r="D433" s="308">
        <v>2016</v>
      </c>
      <c r="E433" s="313" t="s">
        <v>656</v>
      </c>
      <c r="F433" s="308" t="s">
        <v>56</v>
      </c>
      <c r="G433" s="127" t="s">
        <v>56</v>
      </c>
      <c r="H433" s="310">
        <f t="shared" si="110"/>
        <v>230000</v>
      </c>
      <c r="I433" s="311">
        <f t="shared" si="111"/>
        <v>230000</v>
      </c>
      <c r="J433" s="310">
        <f t="shared" si="112"/>
        <v>0</v>
      </c>
      <c r="K433" s="310"/>
      <c r="L433" s="310"/>
      <c r="M433" s="310"/>
      <c r="N433" s="310"/>
      <c r="O433" s="310">
        <f t="shared" si="113"/>
        <v>230000</v>
      </c>
      <c r="P433" s="310"/>
      <c r="Q433" s="310"/>
      <c r="R433" s="310"/>
      <c r="S433" s="310">
        <v>230000</v>
      </c>
      <c r="T433" s="310">
        <f t="shared" si="114"/>
        <v>0</v>
      </c>
      <c r="U433" s="310"/>
      <c r="V433" s="310"/>
      <c r="W433" s="310"/>
      <c r="X433" s="310"/>
      <c r="Y433" s="310">
        <f t="shared" si="115"/>
        <v>0</v>
      </c>
      <c r="Z433" s="310"/>
      <c r="AA433" s="310"/>
      <c r="AB433" s="310"/>
      <c r="AC433" s="310"/>
      <c r="AD433" s="310"/>
      <c r="AE433" s="310"/>
      <c r="AF433" s="310"/>
      <c r="AG433" s="310">
        <f t="shared" si="116"/>
        <v>230000</v>
      </c>
      <c r="AH433" s="310">
        <f t="shared" si="117"/>
        <v>230000</v>
      </c>
      <c r="AI433" s="310">
        <f t="shared" si="118"/>
        <v>0</v>
      </c>
      <c r="AJ433" s="310"/>
      <c r="AK433" s="310"/>
      <c r="AL433" s="310"/>
      <c r="AM433" s="310"/>
      <c r="AN433" s="310">
        <f t="shared" si="119"/>
        <v>230000</v>
      </c>
      <c r="AO433" s="310"/>
      <c r="AP433" s="310"/>
      <c r="AQ433" s="310"/>
      <c r="AR433" s="310">
        <v>230000</v>
      </c>
      <c r="AS433" s="310">
        <f t="shared" si="120"/>
        <v>0</v>
      </c>
      <c r="AT433" s="310"/>
      <c r="AU433" s="310"/>
      <c r="AV433" s="310"/>
      <c r="AW433" s="310"/>
      <c r="AX433" s="310">
        <f t="shared" si="121"/>
        <v>0</v>
      </c>
      <c r="AY433" s="310"/>
      <c r="AZ433" s="310"/>
      <c r="BA433" s="310"/>
      <c r="BB433" s="310"/>
      <c r="BC433" s="310"/>
      <c r="BD433" s="310"/>
      <c r="BE433" s="312"/>
      <c r="BF433" s="127" t="s">
        <v>56</v>
      </c>
      <c r="BG433" s="184" t="s">
        <v>392</v>
      </c>
      <c r="BH433" s="330" t="s">
        <v>176</v>
      </c>
    </row>
    <row r="434" s="77" customFormat="1" ht="15" hidden="1" spans="1:60">
      <c r="A434" s="301">
        <v>427</v>
      </c>
      <c r="B434" s="307" t="s">
        <v>19</v>
      </c>
      <c r="C434" s="307" t="s">
        <v>20</v>
      </c>
      <c r="D434" s="308">
        <v>2017</v>
      </c>
      <c r="E434" s="313" t="s">
        <v>657</v>
      </c>
      <c r="F434" s="308" t="s">
        <v>56</v>
      </c>
      <c r="G434" s="127" t="s">
        <v>56</v>
      </c>
      <c r="H434" s="310">
        <f t="shared" si="110"/>
        <v>400000</v>
      </c>
      <c r="I434" s="311">
        <f t="shared" si="111"/>
        <v>400000</v>
      </c>
      <c r="J434" s="310">
        <f t="shared" si="112"/>
        <v>0</v>
      </c>
      <c r="K434" s="310"/>
      <c r="L434" s="310"/>
      <c r="M434" s="310"/>
      <c r="N434" s="310"/>
      <c r="O434" s="310">
        <f t="shared" si="113"/>
        <v>400000</v>
      </c>
      <c r="P434" s="310"/>
      <c r="Q434" s="310"/>
      <c r="R434" s="310">
        <v>400000</v>
      </c>
      <c r="S434" s="310"/>
      <c r="T434" s="310">
        <f t="shared" si="114"/>
        <v>0</v>
      </c>
      <c r="U434" s="310"/>
      <c r="V434" s="310"/>
      <c r="W434" s="310"/>
      <c r="X434" s="310"/>
      <c r="Y434" s="310">
        <f t="shared" si="115"/>
        <v>0</v>
      </c>
      <c r="Z434" s="310"/>
      <c r="AA434" s="310"/>
      <c r="AB434" s="310"/>
      <c r="AC434" s="310"/>
      <c r="AD434" s="310"/>
      <c r="AE434" s="310"/>
      <c r="AF434" s="310"/>
      <c r="AG434" s="310">
        <f t="shared" si="116"/>
        <v>400000</v>
      </c>
      <c r="AH434" s="310">
        <f t="shared" si="117"/>
        <v>400000</v>
      </c>
      <c r="AI434" s="310">
        <f t="shared" si="118"/>
        <v>0</v>
      </c>
      <c r="AJ434" s="310"/>
      <c r="AK434" s="310"/>
      <c r="AL434" s="310"/>
      <c r="AM434" s="310"/>
      <c r="AN434" s="310">
        <f t="shared" si="119"/>
        <v>400000</v>
      </c>
      <c r="AO434" s="310"/>
      <c r="AP434" s="310"/>
      <c r="AQ434" s="310">
        <v>400000</v>
      </c>
      <c r="AR434" s="310"/>
      <c r="AS434" s="310">
        <f t="shared" si="120"/>
        <v>0</v>
      </c>
      <c r="AT434" s="310"/>
      <c r="AU434" s="310"/>
      <c r="AV434" s="310"/>
      <c r="AW434" s="310"/>
      <c r="AX434" s="310">
        <f t="shared" si="121"/>
        <v>0</v>
      </c>
      <c r="AY434" s="310"/>
      <c r="AZ434" s="310"/>
      <c r="BA434" s="310"/>
      <c r="BB434" s="310"/>
      <c r="BC434" s="310"/>
      <c r="BD434" s="310"/>
      <c r="BE434" s="312"/>
      <c r="BF434" s="127" t="s">
        <v>648</v>
      </c>
      <c r="BG434" s="184" t="s">
        <v>392</v>
      </c>
      <c r="BH434" s="330" t="s">
        <v>176</v>
      </c>
    </row>
    <row r="435" s="271" customFormat="1" ht="15" hidden="1" spans="1:60">
      <c r="A435" s="301">
        <v>428</v>
      </c>
      <c r="B435" s="316" t="s">
        <v>19</v>
      </c>
      <c r="C435" s="316" t="s">
        <v>20</v>
      </c>
      <c r="D435" s="317">
        <v>2017</v>
      </c>
      <c r="E435" s="341" t="s">
        <v>658</v>
      </c>
      <c r="F435" s="317" t="s">
        <v>56</v>
      </c>
      <c r="G435" s="319" t="s">
        <v>56</v>
      </c>
      <c r="H435" s="320">
        <f t="shared" si="110"/>
        <v>20835000</v>
      </c>
      <c r="I435" s="372">
        <f t="shared" si="111"/>
        <v>20835000</v>
      </c>
      <c r="J435" s="320">
        <f t="shared" si="112"/>
        <v>0</v>
      </c>
      <c r="K435" s="320"/>
      <c r="L435" s="320"/>
      <c r="M435" s="320"/>
      <c r="N435" s="320"/>
      <c r="O435" s="320">
        <f t="shared" si="113"/>
        <v>20835000</v>
      </c>
      <c r="P435" s="320">
        <v>20835000</v>
      </c>
      <c r="Q435" s="320"/>
      <c r="R435" s="320"/>
      <c r="S435" s="320"/>
      <c r="T435" s="320">
        <f t="shared" si="114"/>
        <v>0</v>
      </c>
      <c r="U435" s="320"/>
      <c r="V435" s="320"/>
      <c r="W435" s="320"/>
      <c r="X435" s="320"/>
      <c r="Y435" s="320">
        <f t="shared" si="115"/>
        <v>0</v>
      </c>
      <c r="Z435" s="320"/>
      <c r="AA435" s="320"/>
      <c r="AB435" s="320"/>
      <c r="AC435" s="320"/>
      <c r="AD435" s="320"/>
      <c r="AE435" s="320"/>
      <c r="AF435" s="320"/>
      <c r="AG435" s="320">
        <f t="shared" si="116"/>
        <v>20835000</v>
      </c>
      <c r="AH435" s="320">
        <f t="shared" si="117"/>
        <v>20835000</v>
      </c>
      <c r="AI435" s="320">
        <f t="shared" si="118"/>
        <v>0</v>
      </c>
      <c r="AJ435" s="320"/>
      <c r="AK435" s="320"/>
      <c r="AL435" s="320"/>
      <c r="AM435" s="320"/>
      <c r="AN435" s="320">
        <f t="shared" si="119"/>
        <v>20835000</v>
      </c>
      <c r="AO435" s="320">
        <v>20835000</v>
      </c>
      <c r="AP435" s="320"/>
      <c r="AQ435" s="320"/>
      <c r="AR435" s="320"/>
      <c r="AS435" s="320">
        <f t="shared" si="120"/>
        <v>0</v>
      </c>
      <c r="AT435" s="320"/>
      <c r="AU435" s="320"/>
      <c r="AV435" s="320"/>
      <c r="AW435" s="320"/>
      <c r="AX435" s="320">
        <f t="shared" si="121"/>
        <v>0</v>
      </c>
      <c r="AY435" s="320"/>
      <c r="AZ435" s="320"/>
      <c r="BA435" s="320"/>
      <c r="BB435" s="320"/>
      <c r="BC435" s="320"/>
      <c r="BD435" s="320"/>
      <c r="BE435" s="321"/>
      <c r="BF435" s="319" t="s">
        <v>56</v>
      </c>
      <c r="BG435" s="322"/>
      <c r="BH435" s="323"/>
    </row>
    <row r="436" s="77" customFormat="1" ht="15" hidden="1" spans="1:60">
      <c r="A436" s="301">
        <v>429</v>
      </c>
      <c r="B436" s="307" t="s">
        <v>19</v>
      </c>
      <c r="C436" s="307" t="s">
        <v>20</v>
      </c>
      <c r="D436" s="308">
        <v>2017</v>
      </c>
      <c r="E436" s="313" t="s">
        <v>659</v>
      </c>
      <c r="F436" s="308" t="s">
        <v>53</v>
      </c>
      <c r="G436" s="127" t="s">
        <v>56</v>
      </c>
      <c r="H436" s="310">
        <f t="shared" ref="H436:H485" si="122">I436+AF436</f>
        <v>441000</v>
      </c>
      <c r="I436" s="311">
        <f t="shared" ref="I436:I485" si="123">O436+J436+T436+Y436+AE436+AC436+AD436</f>
        <v>441000</v>
      </c>
      <c r="J436" s="310">
        <f t="shared" ref="J436:J485" si="124">N436+M436+L436+K436</f>
        <v>0</v>
      </c>
      <c r="K436" s="310"/>
      <c r="L436" s="310"/>
      <c r="M436" s="310"/>
      <c r="N436" s="310"/>
      <c r="O436" s="310">
        <f t="shared" ref="O436:O485" si="125">S436+R436+Q436+P436</f>
        <v>441000</v>
      </c>
      <c r="P436" s="310">
        <v>441000</v>
      </c>
      <c r="Q436" s="310"/>
      <c r="R436" s="310"/>
      <c r="S436" s="310"/>
      <c r="T436" s="310">
        <f t="shared" ref="T436:T485" si="126">U436+V436+W436+X436</f>
        <v>0</v>
      </c>
      <c r="U436" s="310"/>
      <c r="V436" s="310"/>
      <c r="W436" s="310"/>
      <c r="X436" s="310"/>
      <c r="Y436" s="310">
        <f t="shared" ref="Y436:Y485" si="127">AA436+Z436+AB436</f>
        <v>0</v>
      </c>
      <c r="Z436" s="310"/>
      <c r="AA436" s="310"/>
      <c r="AB436" s="310"/>
      <c r="AC436" s="310"/>
      <c r="AD436" s="310"/>
      <c r="AE436" s="310"/>
      <c r="AF436" s="310"/>
      <c r="AG436" s="310">
        <f t="shared" ref="AG436:AG485" si="128">AH436+BE436</f>
        <v>441000</v>
      </c>
      <c r="AH436" s="310">
        <f t="shared" ref="AH436:AH485" si="129">AN436+AI436+AS436+AX436+BD436+BB436+BC436</f>
        <v>441000</v>
      </c>
      <c r="AI436" s="310">
        <f t="shared" ref="AI436:AI485" si="130">AM436+AL436+AK436+AJ436</f>
        <v>0</v>
      </c>
      <c r="AJ436" s="310"/>
      <c r="AK436" s="310"/>
      <c r="AL436" s="310"/>
      <c r="AM436" s="310"/>
      <c r="AN436" s="310">
        <f t="shared" ref="AN436:AN485" si="131">AR436+AQ436+AP436+AO436</f>
        <v>441000</v>
      </c>
      <c r="AO436" s="310">
        <v>441000</v>
      </c>
      <c r="AP436" s="310"/>
      <c r="AQ436" s="310"/>
      <c r="AR436" s="310"/>
      <c r="AS436" s="310">
        <f t="shared" ref="AS436:AS485" si="132">AW436+AV436+AU436+AT436</f>
        <v>0</v>
      </c>
      <c r="AT436" s="310"/>
      <c r="AU436" s="310"/>
      <c r="AV436" s="310"/>
      <c r="AW436" s="310"/>
      <c r="AX436" s="310">
        <f t="shared" ref="AX436:AX485" si="133">AZ436+AY436+BA436</f>
        <v>0</v>
      </c>
      <c r="AY436" s="310"/>
      <c r="AZ436" s="310"/>
      <c r="BA436" s="310"/>
      <c r="BB436" s="310"/>
      <c r="BC436" s="310"/>
      <c r="BD436" s="310"/>
      <c r="BE436" s="312"/>
      <c r="BF436" s="127" t="s">
        <v>56</v>
      </c>
      <c r="BG436" s="184" t="s">
        <v>432</v>
      </c>
      <c r="BH436" s="330" t="s">
        <v>131</v>
      </c>
    </row>
    <row r="437" s="270" customFormat="1" ht="15" hidden="1" spans="1:60">
      <c r="A437" s="301">
        <v>430</v>
      </c>
      <c r="B437" s="302" t="s">
        <v>19</v>
      </c>
      <c r="C437" s="302" t="s">
        <v>20</v>
      </c>
      <c r="D437" s="301">
        <v>2017</v>
      </c>
      <c r="E437" s="303" t="s">
        <v>660</v>
      </c>
      <c r="F437" s="301" t="s">
        <v>56</v>
      </c>
      <c r="G437" s="238" t="s">
        <v>56</v>
      </c>
      <c r="H437" s="304">
        <f t="shared" si="122"/>
        <v>225000</v>
      </c>
      <c r="I437" s="332">
        <f t="shared" si="123"/>
        <v>225000</v>
      </c>
      <c r="J437" s="304">
        <f t="shared" si="124"/>
        <v>0</v>
      </c>
      <c r="K437" s="304"/>
      <c r="L437" s="304"/>
      <c r="M437" s="304"/>
      <c r="N437" s="304"/>
      <c r="O437" s="304">
        <f t="shared" si="125"/>
        <v>225000</v>
      </c>
      <c r="P437" s="304"/>
      <c r="Q437" s="304"/>
      <c r="R437" s="304">
        <v>225000</v>
      </c>
      <c r="S437" s="304"/>
      <c r="T437" s="304">
        <f t="shared" si="126"/>
        <v>0</v>
      </c>
      <c r="U437" s="304"/>
      <c r="V437" s="304"/>
      <c r="W437" s="304"/>
      <c r="X437" s="304"/>
      <c r="Y437" s="304">
        <f t="shared" si="127"/>
        <v>0</v>
      </c>
      <c r="Z437" s="304"/>
      <c r="AA437" s="304"/>
      <c r="AB437" s="304"/>
      <c r="AC437" s="304"/>
      <c r="AD437" s="304"/>
      <c r="AE437" s="304"/>
      <c r="AF437" s="304"/>
      <c r="AG437" s="304">
        <f t="shared" si="128"/>
        <v>225000</v>
      </c>
      <c r="AH437" s="304">
        <f t="shared" si="129"/>
        <v>225000</v>
      </c>
      <c r="AI437" s="304">
        <f t="shared" si="130"/>
        <v>0</v>
      </c>
      <c r="AJ437" s="304"/>
      <c r="AK437" s="304"/>
      <c r="AL437" s="304"/>
      <c r="AM437" s="304"/>
      <c r="AN437" s="304">
        <f t="shared" si="131"/>
        <v>225000</v>
      </c>
      <c r="AO437" s="304"/>
      <c r="AP437" s="304"/>
      <c r="AQ437" s="304">
        <v>225000</v>
      </c>
      <c r="AR437" s="304"/>
      <c r="AS437" s="304">
        <f t="shared" si="132"/>
        <v>0</v>
      </c>
      <c r="AT437" s="304"/>
      <c r="AU437" s="304"/>
      <c r="AV437" s="304"/>
      <c r="AW437" s="304"/>
      <c r="AX437" s="304">
        <f t="shared" si="133"/>
        <v>0</v>
      </c>
      <c r="AY437" s="304"/>
      <c r="AZ437" s="304"/>
      <c r="BA437" s="304"/>
      <c r="BB437" s="304"/>
      <c r="BC437" s="304"/>
      <c r="BD437" s="304"/>
      <c r="BE437" s="305"/>
      <c r="BF437" s="238" t="s">
        <v>53</v>
      </c>
      <c r="BG437" s="263" t="s">
        <v>54</v>
      </c>
      <c r="BH437" s="306" t="s">
        <v>82</v>
      </c>
    </row>
    <row r="438" s="77" customFormat="1" ht="15" hidden="1" spans="1:60">
      <c r="A438" s="301">
        <v>431</v>
      </c>
      <c r="B438" s="307" t="s">
        <v>19</v>
      </c>
      <c r="C438" s="307" t="s">
        <v>20</v>
      </c>
      <c r="D438" s="308">
        <v>2017</v>
      </c>
      <c r="E438" s="313" t="s">
        <v>661</v>
      </c>
      <c r="F438" s="308" t="s">
        <v>56</v>
      </c>
      <c r="G438" s="127" t="s">
        <v>56</v>
      </c>
      <c r="H438" s="310">
        <f t="shared" si="122"/>
        <v>17160000</v>
      </c>
      <c r="I438" s="311">
        <f t="shared" si="123"/>
        <v>17160000</v>
      </c>
      <c r="J438" s="310">
        <f t="shared" si="124"/>
        <v>0</v>
      </c>
      <c r="K438" s="310"/>
      <c r="L438" s="310"/>
      <c r="M438" s="310"/>
      <c r="N438" s="310"/>
      <c r="O438" s="310">
        <f t="shared" si="125"/>
        <v>17160000</v>
      </c>
      <c r="P438" s="310"/>
      <c r="Q438" s="310">
        <v>15120000</v>
      </c>
      <c r="R438" s="310">
        <v>2040000</v>
      </c>
      <c r="S438" s="310"/>
      <c r="T438" s="310">
        <f t="shared" si="126"/>
        <v>0</v>
      </c>
      <c r="U438" s="310"/>
      <c r="V438" s="310"/>
      <c r="W438" s="310"/>
      <c r="X438" s="310"/>
      <c r="Y438" s="310">
        <f t="shared" si="127"/>
        <v>0</v>
      </c>
      <c r="Z438" s="310"/>
      <c r="AA438" s="310"/>
      <c r="AB438" s="310"/>
      <c r="AC438" s="310"/>
      <c r="AD438" s="310"/>
      <c r="AE438" s="310"/>
      <c r="AF438" s="310"/>
      <c r="AG438" s="310">
        <f t="shared" si="128"/>
        <v>17160000</v>
      </c>
      <c r="AH438" s="310">
        <f t="shared" si="129"/>
        <v>17160000</v>
      </c>
      <c r="AI438" s="310">
        <f t="shared" si="130"/>
        <v>0</v>
      </c>
      <c r="AJ438" s="310"/>
      <c r="AK438" s="310"/>
      <c r="AL438" s="310"/>
      <c r="AM438" s="310"/>
      <c r="AN438" s="310">
        <f t="shared" si="131"/>
        <v>17160000</v>
      </c>
      <c r="AO438" s="310"/>
      <c r="AP438" s="310">
        <v>15120000</v>
      </c>
      <c r="AQ438" s="310">
        <v>2040000</v>
      </c>
      <c r="AR438" s="310"/>
      <c r="AS438" s="310">
        <f t="shared" si="132"/>
        <v>0</v>
      </c>
      <c r="AT438" s="310"/>
      <c r="AU438" s="310"/>
      <c r="AV438" s="310"/>
      <c r="AW438" s="310"/>
      <c r="AX438" s="310">
        <f t="shared" si="133"/>
        <v>0</v>
      </c>
      <c r="AY438" s="310"/>
      <c r="AZ438" s="310"/>
      <c r="BA438" s="310"/>
      <c r="BB438" s="310"/>
      <c r="BC438" s="310"/>
      <c r="BD438" s="310"/>
      <c r="BE438" s="312"/>
      <c r="BF438" s="127" t="s">
        <v>56</v>
      </c>
      <c r="BG438" s="184" t="s">
        <v>443</v>
      </c>
      <c r="BH438" s="330" t="s">
        <v>649</v>
      </c>
    </row>
    <row r="439" s="77" customFormat="1" ht="15" hidden="1" spans="1:60">
      <c r="A439" s="301">
        <v>432</v>
      </c>
      <c r="B439" s="307" t="s">
        <v>19</v>
      </c>
      <c r="C439" s="307" t="s">
        <v>20</v>
      </c>
      <c r="D439" s="308">
        <v>2018</v>
      </c>
      <c r="E439" s="313" t="s">
        <v>662</v>
      </c>
      <c r="F439" s="308" t="s">
        <v>56</v>
      </c>
      <c r="G439" s="127" t="s">
        <v>56</v>
      </c>
      <c r="H439" s="310">
        <f t="shared" si="122"/>
        <v>2307800</v>
      </c>
      <c r="I439" s="311">
        <f t="shared" si="123"/>
        <v>2307800</v>
      </c>
      <c r="J439" s="310">
        <f t="shared" si="124"/>
        <v>0</v>
      </c>
      <c r="K439" s="310"/>
      <c r="L439" s="310"/>
      <c r="M439" s="310"/>
      <c r="N439" s="310"/>
      <c r="O439" s="310">
        <f t="shared" si="125"/>
        <v>2307800</v>
      </c>
      <c r="P439" s="310"/>
      <c r="Q439" s="310">
        <v>2307800</v>
      </c>
      <c r="R439" s="310"/>
      <c r="S439" s="310"/>
      <c r="T439" s="310">
        <f t="shared" si="126"/>
        <v>0</v>
      </c>
      <c r="U439" s="310"/>
      <c r="V439" s="310"/>
      <c r="W439" s="310"/>
      <c r="X439" s="310"/>
      <c r="Y439" s="310">
        <f t="shared" si="127"/>
        <v>0</v>
      </c>
      <c r="Z439" s="310"/>
      <c r="AA439" s="310"/>
      <c r="AB439" s="310"/>
      <c r="AC439" s="310"/>
      <c r="AD439" s="310"/>
      <c r="AE439" s="310"/>
      <c r="AF439" s="310"/>
      <c r="AG439" s="310">
        <f t="shared" si="128"/>
        <v>2307800</v>
      </c>
      <c r="AH439" s="310">
        <f t="shared" si="129"/>
        <v>2307800</v>
      </c>
      <c r="AI439" s="310">
        <f t="shared" si="130"/>
        <v>0</v>
      </c>
      <c r="AJ439" s="310"/>
      <c r="AK439" s="310"/>
      <c r="AL439" s="310"/>
      <c r="AM439" s="310"/>
      <c r="AN439" s="310">
        <f t="shared" si="131"/>
        <v>2307800</v>
      </c>
      <c r="AO439" s="310"/>
      <c r="AP439" s="310">
        <v>2307800</v>
      </c>
      <c r="AQ439" s="310"/>
      <c r="AR439" s="310"/>
      <c r="AS439" s="310">
        <f t="shared" si="132"/>
        <v>0</v>
      </c>
      <c r="AT439" s="310"/>
      <c r="AU439" s="310"/>
      <c r="AV439" s="310"/>
      <c r="AW439" s="310"/>
      <c r="AX439" s="310">
        <f t="shared" si="133"/>
        <v>0</v>
      </c>
      <c r="AY439" s="310"/>
      <c r="AZ439" s="310"/>
      <c r="BA439" s="310"/>
      <c r="BB439" s="310"/>
      <c r="BC439" s="310"/>
      <c r="BD439" s="310"/>
      <c r="BE439" s="312"/>
      <c r="BF439" s="127" t="s">
        <v>56</v>
      </c>
      <c r="BG439" s="184" t="s">
        <v>443</v>
      </c>
      <c r="BH439" s="330" t="s">
        <v>247</v>
      </c>
    </row>
    <row r="440" s="77" customFormat="1" ht="15" hidden="1" spans="1:60">
      <c r="A440" s="301">
        <v>433</v>
      </c>
      <c r="B440" s="307" t="s">
        <v>19</v>
      </c>
      <c r="C440" s="307" t="s">
        <v>20</v>
      </c>
      <c r="D440" s="308">
        <v>2018</v>
      </c>
      <c r="E440" s="313" t="s">
        <v>663</v>
      </c>
      <c r="F440" s="308" t="s">
        <v>56</v>
      </c>
      <c r="G440" s="127" t="s">
        <v>56</v>
      </c>
      <c r="H440" s="310">
        <f t="shared" si="122"/>
        <v>1286000</v>
      </c>
      <c r="I440" s="311">
        <f t="shared" si="123"/>
        <v>1286000</v>
      </c>
      <c r="J440" s="310">
        <f t="shared" si="124"/>
        <v>0</v>
      </c>
      <c r="K440" s="310"/>
      <c r="L440" s="310"/>
      <c r="M440" s="310"/>
      <c r="N440" s="310"/>
      <c r="O440" s="310">
        <f t="shared" si="125"/>
        <v>1286000</v>
      </c>
      <c r="P440" s="310"/>
      <c r="Q440" s="310">
        <v>1286000</v>
      </c>
      <c r="R440" s="310"/>
      <c r="S440" s="310"/>
      <c r="T440" s="310">
        <f t="shared" si="126"/>
        <v>0</v>
      </c>
      <c r="U440" s="310"/>
      <c r="V440" s="310"/>
      <c r="W440" s="310"/>
      <c r="X440" s="310"/>
      <c r="Y440" s="310">
        <f t="shared" si="127"/>
        <v>0</v>
      </c>
      <c r="Z440" s="310"/>
      <c r="AA440" s="310"/>
      <c r="AB440" s="310"/>
      <c r="AC440" s="310"/>
      <c r="AD440" s="310"/>
      <c r="AE440" s="310"/>
      <c r="AF440" s="310"/>
      <c r="AG440" s="310">
        <f t="shared" si="128"/>
        <v>1286000</v>
      </c>
      <c r="AH440" s="310">
        <f t="shared" si="129"/>
        <v>1286000</v>
      </c>
      <c r="AI440" s="310">
        <f t="shared" si="130"/>
        <v>0</v>
      </c>
      <c r="AJ440" s="310"/>
      <c r="AK440" s="310"/>
      <c r="AL440" s="310"/>
      <c r="AM440" s="310"/>
      <c r="AN440" s="310">
        <f t="shared" si="131"/>
        <v>1286000</v>
      </c>
      <c r="AO440" s="310"/>
      <c r="AP440" s="310">
        <v>1286000</v>
      </c>
      <c r="AQ440" s="310"/>
      <c r="AR440" s="310"/>
      <c r="AS440" s="310">
        <f t="shared" si="132"/>
        <v>0</v>
      </c>
      <c r="AT440" s="310"/>
      <c r="AU440" s="310"/>
      <c r="AV440" s="310"/>
      <c r="AW440" s="310"/>
      <c r="AX440" s="310">
        <f t="shared" si="133"/>
        <v>0</v>
      </c>
      <c r="AY440" s="310"/>
      <c r="AZ440" s="310"/>
      <c r="BA440" s="310"/>
      <c r="BB440" s="310"/>
      <c r="BC440" s="310"/>
      <c r="BD440" s="310"/>
      <c r="BE440" s="312"/>
      <c r="BF440" s="127" t="s">
        <v>648</v>
      </c>
      <c r="BG440" s="184" t="s">
        <v>443</v>
      </c>
      <c r="BH440" s="330" t="s">
        <v>664</v>
      </c>
    </row>
    <row r="441" s="77" customFormat="1" ht="15" hidden="1" spans="1:60">
      <c r="A441" s="301">
        <v>434</v>
      </c>
      <c r="B441" s="307" t="s">
        <v>19</v>
      </c>
      <c r="C441" s="307" t="s">
        <v>20</v>
      </c>
      <c r="D441" s="308">
        <v>2018</v>
      </c>
      <c r="E441" s="130" t="s">
        <v>653</v>
      </c>
      <c r="F441" s="308" t="s">
        <v>56</v>
      </c>
      <c r="G441" s="127" t="s">
        <v>56</v>
      </c>
      <c r="H441" s="310">
        <f t="shared" si="122"/>
        <v>4620000</v>
      </c>
      <c r="I441" s="311">
        <f t="shared" si="123"/>
        <v>4620000</v>
      </c>
      <c r="J441" s="310">
        <f t="shared" si="124"/>
        <v>0</v>
      </c>
      <c r="K441" s="310"/>
      <c r="L441" s="310"/>
      <c r="M441" s="310"/>
      <c r="N441" s="310"/>
      <c r="O441" s="310">
        <f t="shared" si="125"/>
        <v>4620000</v>
      </c>
      <c r="P441" s="310"/>
      <c r="Q441" s="310">
        <v>4620000</v>
      </c>
      <c r="R441" s="310"/>
      <c r="S441" s="310"/>
      <c r="T441" s="310">
        <f t="shared" si="126"/>
        <v>0</v>
      </c>
      <c r="U441" s="310"/>
      <c r="V441" s="310"/>
      <c r="W441" s="310"/>
      <c r="X441" s="310"/>
      <c r="Y441" s="310">
        <f t="shared" si="127"/>
        <v>0</v>
      </c>
      <c r="Z441" s="310"/>
      <c r="AA441" s="310"/>
      <c r="AB441" s="310"/>
      <c r="AC441" s="310"/>
      <c r="AD441" s="310"/>
      <c r="AE441" s="310"/>
      <c r="AF441" s="310"/>
      <c r="AG441" s="310">
        <f t="shared" si="128"/>
        <v>4620000</v>
      </c>
      <c r="AH441" s="310">
        <f t="shared" si="129"/>
        <v>4620000</v>
      </c>
      <c r="AI441" s="310">
        <f t="shared" si="130"/>
        <v>0</v>
      </c>
      <c r="AJ441" s="310"/>
      <c r="AK441" s="310"/>
      <c r="AL441" s="310"/>
      <c r="AM441" s="310"/>
      <c r="AN441" s="310">
        <f t="shared" si="131"/>
        <v>4620000</v>
      </c>
      <c r="AO441" s="310"/>
      <c r="AP441" s="310">
        <v>4620000</v>
      </c>
      <c r="AQ441" s="310"/>
      <c r="AR441" s="310"/>
      <c r="AS441" s="310">
        <f t="shared" si="132"/>
        <v>0</v>
      </c>
      <c r="AT441" s="310"/>
      <c r="AU441" s="310"/>
      <c r="AV441" s="310"/>
      <c r="AW441" s="310"/>
      <c r="AX441" s="310">
        <f t="shared" si="133"/>
        <v>0</v>
      </c>
      <c r="AY441" s="310"/>
      <c r="AZ441" s="310"/>
      <c r="BA441" s="310"/>
      <c r="BB441" s="310"/>
      <c r="BC441" s="310"/>
      <c r="BD441" s="310"/>
      <c r="BE441" s="312"/>
      <c r="BF441" s="127" t="s">
        <v>648</v>
      </c>
      <c r="BG441" s="184" t="s">
        <v>443</v>
      </c>
      <c r="BH441" s="330" t="s">
        <v>654</v>
      </c>
    </row>
    <row r="442" s="77" customFormat="1" ht="15" hidden="1" spans="1:60">
      <c r="A442" s="301">
        <v>435</v>
      </c>
      <c r="B442" s="307" t="s">
        <v>19</v>
      </c>
      <c r="C442" s="307" t="s">
        <v>20</v>
      </c>
      <c r="D442" s="308">
        <v>2018</v>
      </c>
      <c r="E442" s="313" t="s">
        <v>665</v>
      </c>
      <c r="F442" s="308" t="s">
        <v>56</v>
      </c>
      <c r="G442" s="127" t="s">
        <v>56</v>
      </c>
      <c r="H442" s="310">
        <f t="shared" si="122"/>
        <v>24500000</v>
      </c>
      <c r="I442" s="311">
        <f t="shared" si="123"/>
        <v>24500000</v>
      </c>
      <c r="J442" s="310">
        <f t="shared" si="124"/>
        <v>0</v>
      </c>
      <c r="K442" s="310"/>
      <c r="L442" s="310"/>
      <c r="M442" s="310"/>
      <c r="N442" s="310"/>
      <c r="O442" s="310">
        <f t="shared" si="125"/>
        <v>24500000</v>
      </c>
      <c r="P442" s="310">
        <v>9500000</v>
      </c>
      <c r="Q442" s="310">
        <v>15000000</v>
      </c>
      <c r="R442" s="310"/>
      <c r="S442" s="310"/>
      <c r="T442" s="310">
        <f t="shared" si="126"/>
        <v>0</v>
      </c>
      <c r="U442" s="310"/>
      <c r="V442" s="310"/>
      <c r="W442" s="310"/>
      <c r="X442" s="310"/>
      <c r="Y442" s="310">
        <f t="shared" si="127"/>
        <v>0</v>
      </c>
      <c r="Z442" s="310"/>
      <c r="AA442" s="310"/>
      <c r="AB442" s="310"/>
      <c r="AC442" s="310"/>
      <c r="AD442" s="310"/>
      <c r="AE442" s="310"/>
      <c r="AF442" s="310"/>
      <c r="AG442" s="310">
        <f t="shared" si="128"/>
        <v>24500000</v>
      </c>
      <c r="AH442" s="310">
        <f t="shared" si="129"/>
        <v>24500000</v>
      </c>
      <c r="AI442" s="310">
        <f t="shared" si="130"/>
        <v>0</v>
      </c>
      <c r="AJ442" s="310"/>
      <c r="AK442" s="310"/>
      <c r="AL442" s="310"/>
      <c r="AM442" s="310"/>
      <c r="AN442" s="310">
        <f t="shared" si="131"/>
        <v>24500000</v>
      </c>
      <c r="AO442" s="310">
        <v>9500000</v>
      </c>
      <c r="AP442" s="310">
        <v>15000000</v>
      </c>
      <c r="AQ442" s="310"/>
      <c r="AR442" s="310"/>
      <c r="AS442" s="310">
        <f t="shared" si="132"/>
        <v>0</v>
      </c>
      <c r="AT442" s="310"/>
      <c r="AU442" s="310"/>
      <c r="AV442" s="310"/>
      <c r="AW442" s="310"/>
      <c r="AX442" s="310">
        <f t="shared" si="133"/>
        <v>0</v>
      </c>
      <c r="AY442" s="310"/>
      <c r="AZ442" s="310"/>
      <c r="BA442" s="310"/>
      <c r="BB442" s="310"/>
      <c r="BC442" s="310"/>
      <c r="BD442" s="310"/>
      <c r="BE442" s="312"/>
      <c r="BF442" s="127" t="s">
        <v>648</v>
      </c>
      <c r="BG442" s="184" t="s">
        <v>464</v>
      </c>
      <c r="BH442" s="330" t="s">
        <v>279</v>
      </c>
    </row>
    <row r="443" s="77" customFormat="1" ht="15" hidden="1" spans="1:60">
      <c r="A443" s="301">
        <v>436</v>
      </c>
      <c r="B443" s="307" t="s">
        <v>19</v>
      </c>
      <c r="C443" s="307" t="s">
        <v>20</v>
      </c>
      <c r="D443" s="308">
        <v>2019</v>
      </c>
      <c r="E443" s="313" t="s">
        <v>666</v>
      </c>
      <c r="F443" s="308" t="s">
        <v>56</v>
      </c>
      <c r="G443" s="127" t="s">
        <v>56</v>
      </c>
      <c r="H443" s="310">
        <f t="shared" si="122"/>
        <v>7481400</v>
      </c>
      <c r="I443" s="311">
        <f t="shared" si="123"/>
        <v>7481400</v>
      </c>
      <c r="J443" s="310">
        <f t="shared" si="124"/>
        <v>0</v>
      </c>
      <c r="K443" s="310"/>
      <c r="L443" s="310"/>
      <c r="M443" s="310"/>
      <c r="N443" s="310"/>
      <c r="O443" s="310">
        <f t="shared" si="125"/>
        <v>7481400</v>
      </c>
      <c r="P443" s="310"/>
      <c r="Q443" s="310"/>
      <c r="R443" s="310"/>
      <c r="S443" s="310">
        <v>7481400</v>
      </c>
      <c r="T443" s="310">
        <f t="shared" si="126"/>
        <v>0</v>
      </c>
      <c r="U443" s="310"/>
      <c r="V443" s="310"/>
      <c r="W443" s="310"/>
      <c r="X443" s="310"/>
      <c r="Y443" s="310">
        <f t="shared" si="127"/>
        <v>0</v>
      </c>
      <c r="Z443" s="310"/>
      <c r="AA443" s="310"/>
      <c r="AB443" s="310"/>
      <c r="AC443" s="310"/>
      <c r="AD443" s="310"/>
      <c r="AE443" s="310"/>
      <c r="AF443" s="310"/>
      <c r="AG443" s="310">
        <f t="shared" si="128"/>
        <v>7481400</v>
      </c>
      <c r="AH443" s="310">
        <f t="shared" si="129"/>
        <v>7481400</v>
      </c>
      <c r="AI443" s="310">
        <f t="shared" si="130"/>
        <v>0</v>
      </c>
      <c r="AJ443" s="310"/>
      <c r="AK443" s="310"/>
      <c r="AL443" s="310"/>
      <c r="AM443" s="310"/>
      <c r="AN443" s="310">
        <f t="shared" si="131"/>
        <v>7481400</v>
      </c>
      <c r="AO443" s="310"/>
      <c r="AP443" s="310"/>
      <c r="AQ443" s="310"/>
      <c r="AR443" s="310">
        <v>7481400</v>
      </c>
      <c r="AS443" s="310">
        <f t="shared" si="132"/>
        <v>0</v>
      </c>
      <c r="AT443" s="310"/>
      <c r="AU443" s="310"/>
      <c r="AV443" s="310"/>
      <c r="AW443" s="310"/>
      <c r="AX443" s="310">
        <f t="shared" si="133"/>
        <v>0</v>
      </c>
      <c r="AY443" s="310"/>
      <c r="AZ443" s="310"/>
      <c r="BA443" s="310"/>
      <c r="BB443" s="310"/>
      <c r="BC443" s="310"/>
      <c r="BD443" s="310"/>
      <c r="BE443" s="312"/>
      <c r="BF443" s="127" t="s">
        <v>648</v>
      </c>
      <c r="BG443" s="184" t="s">
        <v>464</v>
      </c>
      <c r="BH443" s="330" t="s">
        <v>279</v>
      </c>
    </row>
    <row r="444" s="77" customFormat="1" ht="15" hidden="1" spans="1:60">
      <c r="A444" s="301">
        <v>437</v>
      </c>
      <c r="B444" s="307" t="s">
        <v>19</v>
      </c>
      <c r="C444" s="307" t="s">
        <v>20</v>
      </c>
      <c r="D444" s="308">
        <v>2020</v>
      </c>
      <c r="E444" s="313" t="s">
        <v>667</v>
      </c>
      <c r="F444" s="308" t="s">
        <v>56</v>
      </c>
      <c r="G444" s="127" t="s">
        <v>56</v>
      </c>
      <c r="H444" s="310">
        <f t="shared" si="122"/>
        <v>17980000</v>
      </c>
      <c r="I444" s="311">
        <f t="shared" si="123"/>
        <v>17980000</v>
      </c>
      <c r="J444" s="310">
        <f t="shared" si="124"/>
        <v>0</v>
      </c>
      <c r="K444" s="310"/>
      <c r="L444" s="310"/>
      <c r="M444" s="310"/>
      <c r="N444" s="310"/>
      <c r="O444" s="310">
        <f t="shared" si="125"/>
        <v>17980000</v>
      </c>
      <c r="P444" s="310">
        <v>17640000</v>
      </c>
      <c r="Q444" s="310"/>
      <c r="R444" s="310">
        <v>340000</v>
      </c>
      <c r="S444" s="310"/>
      <c r="T444" s="310">
        <f t="shared" si="126"/>
        <v>0</v>
      </c>
      <c r="U444" s="310"/>
      <c r="V444" s="310"/>
      <c r="W444" s="310"/>
      <c r="X444" s="310"/>
      <c r="Y444" s="310">
        <f t="shared" si="127"/>
        <v>0</v>
      </c>
      <c r="Z444" s="310"/>
      <c r="AA444" s="310"/>
      <c r="AB444" s="310"/>
      <c r="AC444" s="310"/>
      <c r="AD444" s="310"/>
      <c r="AE444" s="310"/>
      <c r="AF444" s="310"/>
      <c r="AG444" s="310">
        <f t="shared" si="128"/>
        <v>17980000</v>
      </c>
      <c r="AH444" s="310">
        <f t="shared" si="129"/>
        <v>17980000</v>
      </c>
      <c r="AI444" s="310">
        <f t="shared" si="130"/>
        <v>0</v>
      </c>
      <c r="AJ444" s="310"/>
      <c r="AK444" s="310"/>
      <c r="AL444" s="310"/>
      <c r="AM444" s="310"/>
      <c r="AN444" s="310">
        <f t="shared" si="131"/>
        <v>17980000</v>
      </c>
      <c r="AO444" s="310">
        <v>17640000</v>
      </c>
      <c r="AP444" s="310"/>
      <c r="AQ444" s="310">
        <v>340000</v>
      </c>
      <c r="AR444" s="310"/>
      <c r="AS444" s="310">
        <f t="shared" si="132"/>
        <v>0</v>
      </c>
      <c r="AT444" s="310"/>
      <c r="AU444" s="310"/>
      <c r="AV444" s="310"/>
      <c r="AW444" s="310"/>
      <c r="AX444" s="310">
        <f t="shared" si="133"/>
        <v>0</v>
      </c>
      <c r="AY444" s="310"/>
      <c r="AZ444" s="310"/>
      <c r="BA444" s="310"/>
      <c r="BB444" s="310"/>
      <c r="BC444" s="310"/>
      <c r="BD444" s="310"/>
      <c r="BE444" s="312"/>
      <c r="BF444" s="127" t="s">
        <v>648</v>
      </c>
      <c r="BG444" s="184" t="s">
        <v>464</v>
      </c>
      <c r="BH444" s="330" t="s">
        <v>649</v>
      </c>
    </row>
    <row r="445" s="77" customFormat="1" ht="15" hidden="1" spans="1:60">
      <c r="A445" s="301">
        <v>438</v>
      </c>
      <c r="B445" s="307" t="s">
        <v>19</v>
      </c>
      <c r="C445" s="307" t="s">
        <v>20</v>
      </c>
      <c r="D445" s="308">
        <v>2020</v>
      </c>
      <c r="E445" s="313" t="s">
        <v>668</v>
      </c>
      <c r="F445" s="308" t="s">
        <v>56</v>
      </c>
      <c r="G445" s="127" t="s">
        <v>56</v>
      </c>
      <c r="H445" s="310">
        <f t="shared" si="122"/>
        <v>760000</v>
      </c>
      <c r="I445" s="311">
        <f t="shared" si="123"/>
        <v>760000</v>
      </c>
      <c r="J445" s="310">
        <f t="shared" si="124"/>
        <v>0</v>
      </c>
      <c r="K445" s="310"/>
      <c r="L445" s="310"/>
      <c r="M445" s="310"/>
      <c r="N445" s="310"/>
      <c r="O445" s="310">
        <f t="shared" si="125"/>
        <v>760000</v>
      </c>
      <c r="P445" s="310"/>
      <c r="Q445" s="310">
        <v>760000</v>
      </c>
      <c r="R445" s="310"/>
      <c r="S445" s="310"/>
      <c r="T445" s="310">
        <f t="shared" si="126"/>
        <v>0</v>
      </c>
      <c r="U445" s="310"/>
      <c r="V445" s="310"/>
      <c r="W445" s="310"/>
      <c r="X445" s="310"/>
      <c r="Y445" s="310">
        <f t="shared" si="127"/>
        <v>0</v>
      </c>
      <c r="Z445" s="310"/>
      <c r="AA445" s="310"/>
      <c r="AB445" s="310"/>
      <c r="AC445" s="310"/>
      <c r="AD445" s="310"/>
      <c r="AE445" s="310"/>
      <c r="AF445" s="310"/>
      <c r="AG445" s="310">
        <f t="shared" si="128"/>
        <v>760000</v>
      </c>
      <c r="AH445" s="310">
        <f t="shared" si="129"/>
        <v>760000</v>
      </c>
      <c r="AI445" s="310">
        <f t="shared" si="130"/>
        <v>0</v>
      </c>
      <c r="AJ445" s="310"/>
      <c r="AK445" s="310"/>
      <c r="AL445" s="310"/>
      <c r="AM445" s="310"/>
      <c r="AN445" s="310">
        <f t="shared" si="131"/>
        <v>760000</v>
      </c>
      <c r="AO445" s="310"/>
      <c r="AP445" s="310">
        <v>760000</v>
      </c>
      <c r="AQ445" s="310"/>
      <c r="AR445" s="310"/>
      <c r="AS445" s="310">
        <f t="shared" si="132"/>
        <v>0</v>
      </c>
      <c r="AT445" s="310"/>
      <c r="AU445" s="310"/>
      <c r="AV445" s="310"/>
      <c r="AW445" s="310"/>
      <c r="AX445" s="310">
        <f t="shared" si="133"/>
        <v>0</v>
      </c>
      <c r="AY445" s="310"/>
      <c r="AZ445" s="310"/>
      <c r="BA445" s="310"/>
      <c r="BB445" s="310"/>
      <c r="BC445" s="310"/>
      <c r="BD445" s="310"/>
      <c r="BE445" s="312"/>
      <c r="BF445" s="127" t="s">
        <v>648</v>
      </c>
      <c r="BG445" s="184" t="s">
        <v>464</v>
      </c>
      <c r="BH445" s="330" t="s">
        <v>247</v>
      </c>
    </row>
    <row r="446" s="77" customFormat="1" ht="15" hidden="1" spans="1:60">
      <c r="A446" s="301">
        <v>439</v>
      </c>
      <c r="B446" s="307" t="s">
        <v>19</v>
      </c>
      <c r="C446" s="307" t="s">
        <v>20</v>
      </c>
      <c r="D446" s="308">
        <v>2020</v>
      </c>
      <c r="E446" s="28" t="s">
        <v>669</v>
      </c>
      <c r="F446" s="308" t="s">
        <v>56</v>
      </c>
      <c r="G446" s="127" t="s">
        <v>56</v>
      </c>
      <c r="H446" s="310">
        <f t="shared" si="122"/>
        <v>17189000</v>
      </c>
      <c r="I446" s="311">
        <f t="shared" si="123"/>
        <v>17189000</v>
      </c>
      <c r="J446" s="310">
        <f t="shared" si="124"/>
        <v>0</v>
      </c>
      <c r="K446" s="310"/>
      <c r="L446" s="310"/>
      <c r="M446" s="310"/>
      <c r="N446" s="310"/>
      <c r="O446" s="310">
        <f t="shared" si="125"/>
        <v>17189000</v>
      </c>
      <c r="P446" s="310">
        <v>2800000</v>
      </c>
      <c r="Q446" s="310">
        <v>8049000</v>
      </c>
      <c r="R446" s="310">
        <v>340000</v>
      </c>
      <c r="S446" s="310">
        <v>6000000</v>
      </c>
      <c r="T446" s="310">
        <f t="shared" si="126"/>
        <v>0</v>
      </c>
      <c r="U446" s="310"/>
      <c r="V446" s="310"/>
      <c r="W446" s="310"/>
      <c r="X446" s="310"/>
      <c r="Y446" s="310">
        <f t="shared" si="127"/>
        <v>0</v>
      </c>
      <c r="Z446" s="310"/>
      <c r="AA446" s="310"/>
      <c r="AB446" s="310"/>
      <c r="AC446" s="310"/>
      <c r="AD446" s="310"/>
      <c r="AE446" s="310"/>
      <c r="AF446" s="310"/>
      <c r="AG446" s="310">
        <f t="shared" si="128"/>
        <v>17189000</v>
      </c>
      <c r="AH446" s="310">
        <f t="shared" si="129"/>
        <v>17189000</v>
      </c>
      <c r="AI446" s="310">
        <f t="shared" si="130"/>
        <v>0</v>
      </c>
      <c r="AJ446" s="310"/>
      <c r="AK446" s="310"/>
      <c r="AL446" s="310"/>
      <c r="AM446" s="310"/>
      <c r="AN446" s="310">
        <f t="shared" si="131"/>
        <v>17189000</v>
      </c>
      <c r="AO446" s="310">
        <v>2800000</v>
      </c>
      <c r="AP446" s="310">
        <v>8049000</v>
      </c>
      <c r="AQ446" s="310">
        <v>340000</v>
      </c>
      <c r="AR446" s="310">
        <v>6000000</v>
      </c>
      <c r="AS446" s="310">
        <f t="shared" si="132"/>
        <v>0</v>
      </c>
      <c r="AT446" s="310"/>
      <c r="AU446" s="310"/>
      <c r="AV446" s="310"/>
      <c r="AW446" s="310"/>
      <c r="AX446" s="310">
        <f t="shared" si="133"/>
        <v>0</v>
      </c>
      <c r="AY446" s="310"/>
      <c r="AZ446" s="310"/>
      <c r="BA446" s="310"/>
      <c r="BB446" s="310"/>
      <c r="BC446" s="310"/>
      <c r="BD446" s="310"/>
      <c r="BE446" s="312"/>
      <c r="BF446" s="127" t="s">
        <v>648</v>
      </c>
      <c r="BG446" s="184" t="s">
        <v>484</v>
      </c>
      <c r="BH446" s="330" t="s">
        <v>649</v>
      </c>
    </row>
    <row r="447" s="77" customFormat="1" ht="15" hidden="1" spans="1:60">
      <c r="A447" s="301">
        <v>440</v>
      </c>
      <c r="B447" s="373" t="s">
        <v>19</v>
      </c>
      <c r="C447" s="373" t="s">
        <v>20</v>
      </c>
      <c r="D447" s="374">
        <v>2020</v>
      </c>
      <c r="E447" s="375" t="s">
        <v>670</v>
      </c>
      <c r="F447" s="374" t="s">
        <v>56</v>
      </c>
      <c r="G447" s="376" t="s">
        <v>56</v>
      </c>
      <c r="H447" s="377">
        <f t="shared" si="122"/>
        <v>691700</v>
      </c>
      <c r="I447" s="378">
        <f t="shared" si="123"/>
        <v>691700</v>
      </c>
      <c r="J447" s="377">
        <f t="shared" si="124"/>
        <v>0</v>
      </c>
      <c r="K447" s="377"/>
      <c r="L447" s="377"/>
      <c r="M447" s="377"/>
      <c r="N447" s="377"/>
      <c r="O447" s="377">
        <f t="shared" si="125"/>
        <v>691700</v>
      </c>
      <c r="P447" s="377">
        <v>691700</v>
      </c>
      <c r="Q447" s="377"/>
      <c r="R447" s="377"/>
      <c r="S447" s="377"/>
      <c r="T447" s="377">
        <f t="shared" si="126"/>
        <v>0</v>
      </c>
      <c r="U447" s="377"/>
      <c r="V447" s="377"/>
      <c r="W447" s="377"/>
      <c r="X447" s="377"/>
      <c r="Y447" s="377">
        <f t="shared" si="127"/>
        <v>0</v>
      </c>
      <c r="Z447" s="377"/>
      <c r="AA447" s="377"/>
      <c r="AB447" s="377"/>
      <c r="AC447" s="377"/>
      <c r="AD447" s="377"/>
      <c r="AE447" s="377"/>
      <c r="AF447" s="377"/>
      <c r="AG447" s="377">
        <f t="shared" si="128"/>
        <v>691700</v>
      </c>
      <c r="AH447" s="377">
        <f t="shared" si="129"/>
        <v>691700</v>
      </c>
      <c r="AI447" s="377">
        <f t="shared" si="130"/>
        <v>0</v>
      </c>
      <c r="AJ447" s="377"/>
      <c r="AK447" s="377"/>
      <c r="AL447" s="377"/>
      <c r="AM447" s="377"/>
      <c r="AN447" s="377">
        <f t="shared" si="131"/>
        <v>691700</v>
      </c>
      <c r="AO447" s="377">
        <v>691700</v>
      </c>
      <c r="AP447" s="377"/>
      <c r="AQ447" s="377"/>
      <c r="AR447" s="377"/>
      <c r="AS447" s="377">
        <f t="shared" si="132"/>
        <v>0</v>
      </c>
      <c r="AT447" s="377"/>
      <c r="AU447" s="377"/>
      <c r="AV447" s="377"/>
      <c r="AW447" s="377"/>
      <c r="AX447" s="377">
        <f t="shared" si="133"/>
        <v>0</v>
      </c>
      <c r="AY447" s="377"/>
      <c r="AZ447" s="377"/>
      <c r="BA447" s="377"/>
      <c r="BB447" s="377"/>
      <c r="BC447" s="377"/>
      <c r="BD447" s="377"/>
      <c r="BE447" s="379"/>
      <c r="BF447" s="376" t="s">
        <v>648</v>
      </c>
      <c r="BG447" s="380" t="s">
        <v>671</v>
      </c>
      <c r="BH447" s="381" t="s">
        <v>176</v>
      </c>
    </row>
    <row r="448" s="130" customFormat="1" ht="15" hidden="1" spans="1:60">
      <c r="A448" s="301">
        <v>441</v>
      </c>
      <c r="B448" s="307" t="s">
        <v>19</v>
      </c>
      <c r="C448" s="307" t="s">
        <v>20</v>
      </c>
      <c r="D448" s="308">
        <v>2021</v>
      </c>
      <c r="E448" s="58" t="s">
        <v>672</v>
      </c>
      <c r="F448" s="308" t="s">
        <v>56</v>
      </c>
      <c r="G448" s="127" t="s">
        <v>56</v>
      </c>
      <c r="H448" s="310">
        <f t="shared" si="122"/>
        <v>3000000</v>
      </c>
      <c r="I448" s="311">
        <f t="shared" si="123"/>
        <v>3000000</v>
      </c>
      <c r="J448" s="310">
        <f t="shared" si="124"/>
        <v>0</v>
      </c>
      <c r="K448" s="310"/>
      <c r="L448" s="310"/>
      <c r="M448" s="310"/>
      <c r="N448" s="310"/>
      <c r="O448" s="310">
        <f t="shared" si="125"/>
        <v>2144800</v>
      </c>
      <c r="P448" s="310"/>
      <c r="Q448" s="310">
        <v>2144800</v>
      </c>
      <c r="R448" s="310"/>
      <c r="S448" s="310"/>
      <c r="T448" s="310">
        <f t="shared" si="126"/>
        <v>855200</v>
      </c>
      <c r="U448" s="310"/>
      <c r="V448" s="310"/>
      <c r="W448" s="310"/>
      <c r="X448" s="310">
        <v>855200</v>
      </c>
      <c r="Y448" s="310">
        <f t="shared" si="127"/>
        <v>0</v>
      </c>
      <c r="Z448" s="310"/>
      <c r="AA448" s="310"/>
      <c r="AB448" s="310"/>
      <c r="AC448" s="310"/>
      <c r="AD448" s="310"/>
      <c r="AE448" s="310"/>
      <c r="AF448" s="310"/>
      <c r="AG448" s="310">
        <f t="shared" si="128"/>
        <v>3000000</v>
      </c>
      <c r="AH448" s="310">
        <f t="shared" si="129"/>
        <v>3000000</v>
      </c>
      <c r="AI448" s="310">
        <f t="shared" si="130"/>
        <v>0</v>
      </c>
      <c r="AJ448" s="310"/>
      <c r="AK448" s="310"/>
      <c r="AL448" s="310"/>
      <c r="AM448" s="310"/>
      <c r="AN448" s="310">
        <f t="shared" si="131"/>
        <v>2144800</v>
      </c>
      <c r="AO448" s="310"/>
      <c r="AP448" s="310">
        <v>2144800</v>
      </c>
      <c r="AQ448" s="310"/>
      <c r="AR448" s="310"/>
      <c r="AS448" s="310">
        <f t="shared" si="132"/>
        <v>855200</v>
      </c>
      <c r="AT448" s="310"/>
      <c r="AU448" s="310"/>
      <c r="AV448" s="310"/>
      <c r="AW448" s="310">
        <v>855200</v>
      </c>
      <c r="AX448" s="310">
        <f t="shared" si="133"/>
        <v>0</v>
      </c>
      <c r="AY448" s="310"/>
      <c r="AZ448" s="310"/>
      <c r="BA448" s="310"/>
      <c r="BB448" s="310"/>
      <c r="BC448" s="310"/>
      <c r="BD448" s="310"/>
      <c r="BE448" s="310"/>
      <c r="BF448" s="127" t="s">
        <v>648</v>
      </c>
      <c r="BG448" s="240" t="s">
        <v>673</v>
      </c>
      <c r="BH448" s="133" t="s">
        <v>674</v>
      </c>
    </row>
    <row r="449" s="130" customFormat="1" ht="15" hidden="1" spans="1:60">
      <c r="A449" s="301">
        <v>442</v>
      </c>
      <c r="B449" s="307" t="s">
        <v>19</v>
      </c>
      <c r="C449" s="307" t="s">
        <v>20</v>
      </c>
      <c r="D449" s="308">
        <v>2021</v>
      </c>
      <c r="E449" s="58" t="s">
        <v>669</v>
      </c>
      <c r="F449" s="308" t="s">
        <v>56</v>
      </c>
      <c r="G449" s="127" t="s">
        <v>56</v>
      </c>
      <c r="H449" s="310">
        <f t="shared" si="122"/>
        <v>15118500</v>
      </c>
      <c r="I449" s="311">
        <f t="shared" si="123"/>
        <v>15118500</v>
      </c>
      <c r="J449" s="310">
        <f t="shared" si="124"/>
        <v>0</v>
      </c>
      <c r="K449" s="310"/>
      <c r="L449" s="310"/>
      <c r="M449" s="310"/>
      <c r="N449" s="310"/>
      <c r="O449" s="310">
        <f t="shared" si="125"/>
        <v>15118500</v>
      </c>
      <c r="P449" s="310">
        <v>13646500</v>
      </c>
      <c r="Q449" s="310">
        <v>1472000</v>
      </c>
      <c r="R449" s="310"/>
      <c r="S449" s="310"/>
      <c r="T449" s="310">
        <f t="shared" si="126"/>
        <v>0</v>
      </c>
      <c r="U449" s="310"/>
      <c r="V449" s="310"/>
      <c r="W449" s="310"/>
      <c r="X449" s="310"/>
      <c r="Y449" s="310">
        <f t="shared" si="127"/>
        <v>0</v>
      </c>
      <c r="Z449" s="310"/>
      <c r="AA449" s="310"/>
      <c r="AB449" s="310"/>
      <c r="AC449" s="310"/>
      <c r="AD449" s="310"/>
      <c r="AE449" s="310"/>
      <c r="AF449" s="310"/>
      <c r="AG449" s="310">
        <f t="shared" si="128"/>
        <v>15118500</v>
      </c>
      <c r="AH449" s="310">
        <f t="shared" si="129"/>
        <v>15118500</v>
      </c>
      <c r="AI449" s="310">
        <f t="shared" si="130"/>
        <v>0</v>
      </c>
      <c r="AJ449" s="310"/>
      <c r="AK449" s="310"/>
      <c r="AL449" s="310"/>
      <c r="AM449" s="310"/>
      <c r="AN449" s="310">
        <f t="shared" si="131"/>
        <v>15118500</v>
      </c>
      <c r="AO449" s="310">
        <v>13646500</v>
      </c>
      <c r="AP449" s="310">
        <v>1472000</v>
      </c>
      <c r="AQ449" s="310"/>
      <c r="AR449" s="310"/>
      <c r="AS449" s="310">
        <f t="shared" si="132"/>
        <v>0</v>
      </c>
      <c r="AT449" s="310"/>
      <c r="AU449" s="310"/>
      <c r="AV449" s="310"/>
      <c r="AW449" s="310"/>
      <c r="AX449" s="310">
        <f t="shared" si="133"/>
        <v>0</v>
      </c>
      <c r="AY449" s="310"/>
      <c r="AZ449" s="310"/>
      <c r="BA449" s="310"/>
      <c r="BB449" s="310"/>
      <c r="BC449" s="310"/>
      <c r="BD449" s="310"/>
      <c r="BE449" s="310"/>
      <c r="BF449" s="127" t="s">
        <v>648</v>
      </c>
      <c r="BG449" s="184" t="s">
        <v>671</v>
      </c>
      <c r="BH449" s="330" t="s">
        <v>649</v>
      </c>
    </row>
    <row r="450" s="77" customFormat="1" ht="15" hidden="1" spans="1:60">
      <c r="A450" s="301">
        <v>443</v>
      </c>
      <c r="B450" s="382" t="s">
        <v>19</v>
      </c>
      <c r="C450" s="382" t="s">
        <v>20</v>
      </c>
      <c r="D450" s="383">
        <v>2021</v>
      </c>
      <c r="E450" s="384" t="s">
        <v>675</v>
      </c>
      <c r="F450" s="383" t="s">
        <v>56</v>
      </c>
      <c r="G450" s="385" t="s">
        <v>56</v>
      </c>
      <c r="H450" s="386">
        <f t="shared" si="122"/>
        <v>1320200</v>
      </c>
      <c r="I450" s="387">
        <f t="shared" si="123"/>
        <v>1320200</v>
      </c>
      <c r="J450" s="386">
        <f t="shared" si="124"/>
        <v>0</v>
      </c>
      <c r="K450" s="386"/>
      <c r="L450" s="386"/>
      <c r="M450" s="386"/>
      <c r="N450" s="386"/>
      <c r="O450" s="386">
        <f t="shared" si="125"/>
        <v>0</v>
      </c>
      <c r="P450" s="386"/>
      <c r="Q450" s="386"/>
      <c r="R450" s="386"/>
      <c r="S450" s="386"/>
      <c r="T450" s="386">
        <f t="shared" si="126"/>
        <v>1320200</v>
      </c>
      <c r="U450" s="386">
        <v>1320200</v>
      </c>
      <c r="V450" s="386"/>
      <c r="W450" s="386"/>
      <c r="X450" s="386"/>
      <c r="Y450" s="386">
        <f t="shared" si="127"/>
        <v>0</v>
      </c>
      <c r="Z450" s="386"/>
      <c r="AA450" s="386"/>
      <c r="AB450" s="386"/>
      <c r="AC450" s="386"/>
      <c r="AD450" s="386"/>
      <c r="AE450" s="386"/>
      <c r="AF450" s="386"/>
      <c r="AG450" s="386">
        <f t="shared" si="128"/>
        <v>1320200</v>
      </c>
      <c r="AH450" s="386">
        <f t="shared" si="129"/>
        <v>1320200</v>
      </c>
      <c r="AI450" s="386">
        <f t="shared" si="130"/>
        <v>0</v>
      </c>
      <c r="AJ450" s="386"/>
      <c r="AK450" s="386"/>
      <c r="AL450" s="386"/>
      <c r="AM450" s="386"/>
      <c r="AN450" s="386">
        <f t="shared" si="131"/>
        <v>0</v>
      </c>
      <c r="AO450" s="386"/>
      <c r="AP450" s="386"/>
      <c r="AQ450" s="386"/>
      <c r="AR450" s="386"/>
      <c r="AS450" s="386">
        <f t="shared" si="132"/>
        <v>1320200</v>
      </c>
      <c r="AT450" s="386">
        <v>1320200</v>
      </c>
      <c r="AU450" s="386"/>
      <c r="AV450" s="386"/>
      <c r="AW450" s="386"/>
      <c r="AX450" s="386">
        <f t="shared" si="133"/>
        <v>0</v>
      </c>
      <c r="AY450" s="386"/>
      <c r="AZ450" s="386"/>
      <c r="BA450" s="386"/>
      <c r="BB450" s="386"/>
      <c r="BC450" s="386"/>
      <c r="BD450" s="386"/>
      <c r="BE450" s="388"/>
      <c r="BF450" s="385" t="s">
        <v>648</v>
      </c>
      <c r="BG450" s="389" t="s">
        <v>501</v>
      </c>
      <c r="BH450" s="390" t="s">
        <v>157</v>
      </c>
    </row>
    <row r="451" s="77" customFormat="1" ht="15" hidden="1" spans="1:60">
      <c r="A451" s="301">
        <v>444</v>
      </c>
      <c r="B451" s="307" t="s">
        <v>19</v>
      </c>
      <c r="C451" s="307" t="s">
        <v>20</v>
      </c>
      <c r="D451" s="308">
        <v>2021</v>
      </c>
      <c r="E451" s="313" t="s">
        <v>676</v>
      </c>
      <c r="F451" s="308" t="s">
        <v>56</v>
      </c>
      <c r="G451" s="127" t="s">
        <v>56</v>
      </c>
      <c r="H451" s="310">
        <f t="shared" si="122"/>
        <v>2150300</v>
      </c>
      <c r="I451" s="311">
        <f t="shared" si="123"/>
        <v>2150300</v>
      </c>
      <c r="J451" s="310">
        <f t="shared" si="124"/>
        <v>0</v>
      </c>
      <c r="K451" s="310"/>
      <c r="L451" s="310"/>
      <c r="M451" s="310"/>
      <c r="N451" s="310"/>
      <c r="O451" s="310">
        <f t="shared" si="125"/>
        <v>0</v>
      </c>
      <c r="P451" s="310"/>
      <c r="Q451" s="310"/>
      <c r="R451" s="310"/>
      <c r="S451" s="310"/>
      <c r="T451" s="310">
        <f t="shared" si="126"/>
        <v>2150300</v>
      </c>
      <c r="U451" s="310">
        <v>2150300</v>
      </c>
      <c r="V451" s="310"/>
      <c r="W451" s="310"/>
      <c r="X451" s="310"/>
      <c r="Y451" s="310">
        <f t="shared" si="127"/>
        <v>0</v>
      </c>
      <c r="Z451" s="310"/>
      <c r="AA451" s="310"/>
      <c r="AB451" s="310"/>
      <c r="AC451" s="310"/>
      <c r="AD451" s="310"/>
      <c r="AE451" s="310"/>
      <c r="AF451" s="310"/>
      <c r="AG451" s="310">
        <f t="shared" si="128"/>
        <v>2150300</v>
      </c>
      <c r="AH451" s="310">
        <f t="shared" si="129"/>
        <v>2150300</v>
      </c>
      <c r="AI451" s="310">
        <f t="shared" si="130"/>
        <v>0</v>
      </c>
      <c r="AJ451" s="310"/>
      <c r="AK451" s="310"/>
      <c r="AL451" s="310"/>
      <c r="AM451" s="310"/>
      <c r="AN451" s="310">
        <f t="shared" si="131"/>
        <v>0</v>
      </c>
      <c r="AO451" s="310"/>
      <c r="AP451" s="310"/>
      <c r="AQ451" s="310"/>
      <c r="AR451" s="310"/>
      <c r="AS451" s="310">
        <f t="shared" si="132"/>
        <v>2150300</v>
      </c>
      <c r="AT451" s="310">
        <v>2150300</v>
      </c>
      <c r="AU451" s="310"/>
      <c r="AV451" s="310"/>
      <c r="AW451" s="310"/>
      <c r="AX451" s="310">
        <f t="shared" si="133"/>
        <v>0</v>
      </c>
      <c r="AY451" s="310"/>
      <c r="AZ451" s="310"/>
      <c r="BA451" s="310"/>
      <c r="BB451" s="310"/>
      <c r="BC451" s="310"/>
      <c r="BD451" s="310"/>
      <c r="BE451" s="312"/>
      <c r="BF451" s="127" t="s">
        <v>648</v>
      </c>
      <c r="BG451" s="184" t="s">
        <v>501</v>
      </c>
      <c r="BH451" s="330" t="s">
        <v>157</v>
      </c>
    </row>
    <row r="452" s="77" customFormat="1" ht="15" hidden="1" spans="1:60">
      <c r="A452" s="301">
        <v>445</v>
      </c>
      <c r="B452" s="307" t="s">
        <v>19</v>
      </c>
      <c r="C452" s="307" t="s">
        <v>20</v>
      </c>
      <c r="D452" s="308">
        <v>2021</v>
      </c>
      <c r="E452" s="313" t="s">
        <v>677</v>
      </c>
      <c r="F452" s="308" t="s">
        <v>56</v>
      </c>
      <c r="G452" s="127" t="s">
        <v>56</v>
      </c>
      <c r="H452" s="310">
        <f t="shared" si="122"/>
        <v>200000</v>
      </c>
      <c r="I452" s="311">
        <f t="shared" si="123"/>
        <v>200000</v>
      </c>
      <c r="J452" s="310">
        <f t="shared" si="124"/>
        <v>0</v>
      </c>
      <c r="K452" s="310"/>
      <c r="L452" s="310"/>
      <c r="M452" s="310"/>
      <c r="N452" s="310"/>
      <c r="O452" s="310">
        <f t="shared" si="125"/>
        <v>0</v>
      </c>
      <c r="P452" s="310"/>
      <c r="Q452" s="310"/>
      <c r="R452" s="310"/>
      <c r="S452" s="310"/>
      <c r="T452" s="310">
        <f t="shared" si="126"/>
        <v>200000</v>
      </c>
      <c r="U452" s="310"/>
      <c r="V452" s="310"/>
      <c r="W452" s="310"/>
      <c r="X452" s="310">
        <v>200000</v>
      </c>
      <c r="Y452" s="310">
        <f t="shared" si="127"/>
        <v>0</v>
      </c>
      <c r="Z452" s="310"/>
      <c r="AA452" s="310"/>
      <c r="AB452" s="310"/>
      <c r="AC452" s="310"/>
      <c r="AD452" s="310"/>
      <c r="AE452" s="310"/>
      <c r="AF452" s="310"/>
      <c r="AG452" s="310">
        <f t="shared" si="128"/>
        <v>200000</v>
      </c>
      <c r="AH452" s="310">
        <f t="shared" si="129"/>
        <v>200000</v>
      </c>
      <c r="AI452" s="310">
        <f t="shared" si="130"/>
        <v>0</v>
      </c>
      <c r="AJ452" s="310"/>
      <c r="AK452" s="310"/>
      <c r="AL452" s="310"/>
      <c r="AM452" s="310"/>
      <c r="AN452" s="310">
        <f t="shared" si="131"/>
        <v>0</v>
      </c>
      <c r="AO452" s="310"/>
      <c r="AP452" s="310"/>
      <c r="AQ452" s="310"/>
      <c r="AR452" s="310"/>
      <c r="AS452" s="310">
        <f t="shared" si="132"/>
        <v>200000</v>
      </c>
      <c r="AT452" s="310"/>
      <c r="AU452" s="310"/>
      <c r="AV452" s="310"/>
      <c r="AW452" s="310">
        <v>200000</v>
      </c>
      <c r="AX452" s="310">
        <f t="shared" si="133"/>
        <v>0</v>
      </c>
      <c r="AY452" s="310"/>
      <c r="AZ452" s="310"/>
      <c r="BA452" s="310"/>
      <c r="BB452" s="310"/>
      <c r="BC452" s="310"/>
      <c r="BD452" s="310"/>
      <c r="BE452" s="312"/>
      <c r="BF452" s="127" t="s">
        <v>648</v>
      </c>
      <c r="BG452" s="184" t="s">
        <v>501</v>
      </c>
      <c r="BH452" s="330" t="s">
        <v>157</v>
      </c>
    </row>
    <row r="453" s="77" customFormat="1" ht="15" hidden="1" spans="1:60">
      <c r="A453" s="301">
        <v>446</v>
      </c>
      <c r="B453" s="307" t="s">
        <v>19</v>
      </c>
      <c r="C453" s="307" t="s">
        <v>20</v>
      </c>
      <c r="D453" s="308">
        <v>2021</v>
      </c>
      <c r="E453" s="313" t="s">
        <v>678</v>
      </c>
      <c r="F453" s="308" t="s">
        <v>56</v>
      </c>
      <c r="G453" s="127" t="s">
        <v>56</v>
      </c>
      <c r="H453" s="310">
        <f t="shared" si="122"/>
        <v>678200</v>
      </c>
      <c r="I453" s="311">
        <f t="shared" si="123"/>
        <v>678200</v>
      </c>
      <c r="J453" s="310">
        <f t="shared" si="124"/>
        <v>0</v>
      </c>
      <c r="K453" s="310"/>
      <c r="L453" s="310"/>
      <c r="M453" s="310"/>
      <c r="N453" s="310"/>
      <c r="O453" s="310">
        <f t="shared" si="125"/>
        <v>0</v>
      </c>
      <c r="P453" s="310"/>
      <c r="Q453" s="310"/>
      <c r="R453" s="310"/>
      <c r="S453" s="310"/>
      <c r="T453" s="310">
        <f t="shared" si="126"/>
        <v>678200</v>
      </c>
      <c r="U453" s="310">
        <v>678200</v>
      </c>
      <c r="V453" s="310"/>
      <c r="W453" s="310"/>
      <c r="X453" s="310"/>
      <c r="Y453" s="310">
        <f t="shared" si="127"/>
        <v>0</v>
      </c>
      <c r="Z453" s="310"/>
      <c r="AA453" s="310"/>
      <c r="AB453" s="310"/>
      <c r="AC453" s="310"/>
      <c r="AD453" s="310"/>
      <c r="AE453" s="310"/>
      <c r="AF453" s="310"/>
      <c r="AG453" s="310">
        <f t="shared" si="128"/>
        <v>678200</v>
      </c>
      <c r="AH453" s="310">
        <f t="shared" si="129"/>
        <v>678200</v>
      </c>
      <c r="AI453" s="310">
        <f t="shared" si="130"/>
        <v>0</v>
      </c>
      <c r="AJ453" s="310"/>
      <c r="AK453" s="310"/>
      <c r="AL453" s="310"/>
      <c r="AM453" s="310"/>
      <c r="AN453" s="310">
        <f t="shared" si="131"/>
        <v>0</v>
      </c>
      <c r="AO453" s="310"/>
      <c r="AP453" s="310"/>
      <c r="AQ453" s="310"/>
      <c r="AR453" s="310"/>
      <c r="AS453" s="310">
        <f t="shared" si="132"/>
        <v>678200</v>
      </c>
      <c r="AT453" s="310">
        <v>678200</v>
      </c>
      <c r="AU453" s="310"/>
      <c r="AV453" s="310"/>
      <c r="AW453" s="310"/>
      <c r="AX453" s="310">
        <f t="shared" si="133"/>
        <v>0</v>
      </c>
      <c r="AY453" s="310"/>
      <c r="AZ453" s="310"/>
      <c r="BA453" s="310"/>
      <c r="BB453" s="310"/>
      <c r="BC453" s="310"/>
      <c r="BD453" s="310"/>
      <c r="BE453" s="312"/>
      <c r="BF453" s="127" t="s">
        <v>648</v>
      </c>
      <c r="BG453" s="184" t="s">
        <v>501</v>
      </c>
      <c r="BH453" s="330" t="s">
        <v>157</v>
      </c>
    </row>
    <row r="454" s="77" customFormat="1" ht="15" hidden="1" spans="1:60">
      <c r="A454" s="301">
        <v>447</v>
      </c>
      <c r="B454" s="307" t="s">
        <v>19</v>
      </c>
      <c r="C454" s="307" t="s">
        <v>20</v>
      </c>
      <c r="D454" s="308">
        <v>2022</v>
      </c>
      <c r="E454" s="28" t="s">
        <v>669</v>
      </c>
      <c r="F454" s="308" t="s">
        <v>56</v>
      </c>
      <c r="G454" s="127" t="s">
        <v>56</v>
      </c>
      <c r="H454" s="310">
        <f t="shared" si="122"/>
        <v>14029100</v>
      </c>
      <c r="I454" s="311">
        <f t="shared" si="123"/>
        <v>14029100</v>
      </c>
      <c r="J454" s="310">
        <f t="shared" si="124"/>
        <v>0</v>
      </c>
      <c r="K454" s="310"/>
      <c r="L454" s="310"/>
      <c r="M454" s="310"/>
      <c r="N454" s="310"/>
      <c r="O454" s="310">
        <f t="shared" si="125"/>
        <v>0</v>
      </c>
      <c r="P454" s="310"/>
      <c r="Q454" s="310"/>
      <c r="R454" s="310"/>
      <c r="S454" s="310"/>
      <c r="T454" s="310">
        <f t="shared" si="126"/>
        <v>14029100</v>
      </c>
      <c r="U454" s="310">
        <v>11281200</v>
      </c>
      <c r="V454" s="310"/>
      <c r="W454" s="310"/>
      <c r="X454" s="310">
        <v>2747900</v>
      </c>
      <c r="Y454" s="310">
        <f t="shared" si="127"/>
        <v>0</v>
      </c>
      <c r="Z454" s="310"/>
      <c r="AA454" s="310"/>
      <c r="AB454" s="310"/>
      <c r="AC454" s="310"/>
      <c r="AD454" s="310"/>
      <c r="AE454" s="310"/>
      <c r="AF454" s="310"/>
      <c r="AG454" s="310">
        <f t="shared" si="128"/>
        <v>14029100</v>
      </c>
      <c r="AH454" s="310">
        <f t="shared" si="129"/>
        <v>14029100</v>
      </c>
      <c r="AI454" s="310">
        <f t="shared" si="130"/>
        <v>0</v>
      </c>
      <c r="AJ454" s="310"/>
      <c r="AK454" s="310"/>
      <c r="AL454" s="310"/>
      <c r="AM454" s="310"/>
      <c r="AN454" s="310">
        <f t="shared" si="131"/>
        <v>0</v>
      </c>
      <c r="AO454" s="310"/>
      <c r="AP454" s="310"/>
      <c r="AQ454" s="310"/>
      <c r="AR454" s="310"/>
      <c r="AS454" s="310">
        <f t="shared" si="132"/>
        <v>14029100</v>
      </c>
      <c r="AT454" s="310">
        <v>11281200</v>
      </c>
      <c r="AU454" s="310"/>
      <c r="AV454" s="310"/>
      <c r="AW454" s="310">
        <v>2747900</v>
      </c>
      <c r="AX454" s="310">
        <f t="shared" si="133"/>
        <v>0</v>
      </c>
      <c r="AY454" s="310"/>
      <c r="AZ454" s="310"/>
      <c r="BA454" s="310"/>
      <c r="BB454" s="310"/>
      <c r="BC454" s="310"/>
      <c r="BD454" s="310"/>
      <c r="BE454" s="312"/>
      <c r="BF454" s="127" t="s">
        <v>648</v>
      </c>
      <c r="BG454" s="128" t="s">
        <v>501</v>
      </c>
      <c r="BH454" s="133" t="s">
        <v>210</v>
      </c>
    </row>
    <row r="455" s="77" customFormat="1" ht="15" hidden="1" spans="1:60">
      <c r="A455" s="301">
        <v>448</v>
      </c>
      <c r="B455" s="307" t="s">
        <v>19</v>
      </c>
      <c r="C455" s="307" t="s">
        <v>20</v>
      </c>
      <c r="D455" s="308">
        <v>2022</v>
      </c>
      <c r="E455" s="313" t="s">
        <v>679</v>
      </c>
      <c r="F455" s="308" t="s">
        <v>56</v>
      </c>
      <c r="G455" s="127" t="s">
        <v>56</v>
      </c>
      <c r="H455" s="310">
        <f t="shared" si="122"/>
        <v>557700</v>
      </c>
      <c r="I455" s="311">
        <f t="shared" si="123"/>
        <v>557700</v>
      </c>
      <c r="J455" s="310">
        <f t="shared" si="124"/>
        <v>0</v>
      </c>
      <c r="K455" s="310"/>
      <c r="L455" s="310"/>
      <c r="M455" s="310"/>
      <c r="N455" s="310"/>
      <c r="O455" s="310">
        <f t="shared" si="125"/>
        <v>0</v>
      </c>
      <c r="P455" s="310"/>
      <c r="Q455" s="310"/>
      <c r="R455" s="310"/>
      <c r="S455" s="310"/>
      <c r="T455" s="310">
        <f t="shared" si="126"/>
        <v>557700</v>
      </c>
      <c r="U455" s="310"/>
      <c r="V455" s="310">
        <v>557700</v>
      </c>
      <c r="W455" s="310"/>
      <c r="X455" s="310"/>
      <c r="Y455" s="310">
        <f t="shared" si="127"/>
        <v>0</v>
      </c>
      <c r="Z455" s="310"/>
      <c r="AA455" s="310"/>
      <c r="AB455" s="310"/>
      <c r="AC455" s="310"/>
      <c r="AD455" s="310"/>
      <c r="AE455" s="310"/>
      <c r="AF455" s="310"/>
      <c r="AG455" s="310">
        <f t="shared" si="128"/>
        <v>557700</v>
      </c>
      <c r="AH455" s="310">
        <f t="shared" si="129"/>
        <v>557700</v>
      </c>
      <c r="AI455" s="310">
        <f t="shared" si="130"/>
        <v>0</v>
      </c>
      <c r="AJ455" s="310"/>
      <c r="AK455" s="310"/>
      <c r="AL455" s="310"/>
      <c r="AM455" s="310"/>
      <c r="AN455" s="310">
        <f t="shared" si="131"/>
        <v>0</v>
      </c>
      <c r="AO455" s="310"/>
      <c r="AP455" s="310"/>
      <c r="AQ455" s="310"/>
      <c r="AR455" s="310"/>
      <c r="AS455" s="310">
        <f t="shared" si="132"/>
        <v>557700</v>
      </c>
      <c r="AT455" s="310"/>
      <c r="AU455" s="310">
        <v>557700</v>
      </c>
      <c r="AV455" s="310"/>
      <c r="AW455" s="310"/>
      <c r="AX455" s="310">
        <f t="shared" si="133"/>
        <v>0</v>
      </c>
      <c r="AY455" s="310"/>
      <c r="AZ455" s="310"/>
      <c r="BA455" s="310"/>
      <c r="BB455" s="310"/>
      <c r="BC455" s="310"/>
      <c r="BD455" s="310"/>
      <c r="BE455" s="312"/>
      <c r="BF455" s="127" t="s">
        <v>648</v>
      </c>
      <c r="BG455" s="128" t="s">
        <v>680</v>
      </c>
      <c r="BH455" s="133" t="s">
        <v>157</v>
      </c>
    </row>
    <row r="456" s="77" customFormat="1" ht="15" hidden="1" spans="1:60">
      <c r="A456" s="301">
        <v>449</v>
      </c>
      <c r="B456" s="307" t="s">
        <v>19</v>
      </c>
      <c r="C456" s="307" t="s">
        <v>20</v>
      </c>
      <c r="D456" s="308">
        <v>2022</v>
      </c>
      <c r="E456" s="313" t="s">
        <v>681</v>
      </c>
      <c r="F456" s="308" t="s">
        <v>56</v>
      </c>
      <c r="G456" s="127" t="s">
        <v>56</v>
      </c>
      <c r="H456" s="310">
        <f t="shared" si="122"/>
        <v>1220000</v>
      </c>
      <c r="I456" s="311">
        <f t="shared" si="123"/>
        <v>1220000</v>
      </c>
      <c r="J456" s="310">
        <f t="shared" si="124"/>
        <v>0</v>
      </c>
      <c r="K456" s="310"/>
      <c r="L456" s="310"/>
      <c r="M456" s="310"/>
      <c r="N456" s="310"/>
      <c r="O456" s="310">
        <f t="shared" si="125"/>
        <v>0</v>
      </c>
      <c r="P456" s="310"/>
      <c r="Q456" s="310"/>
      <c r="R456" s="310"/>
      <c r="S456" s="310"/>
      <c r="T456" s="310">
        <f t="shared" si="126"/>
        <v>1220000</v>
      </c>
      <c r="U456" s="310"/>
      <c r="V456" s="310"/>
      <c r="W456" s="310">
        <v>1220000</v>
      </c>
      <c r="X456" s="310"/>
      <c r="Y456" s="310">
        <f t="shared" si="127"/>
        <v>0</v>
      </c>
      <c r="Z456" s="310"/>
      <c r="AA456" s="310"/>
      <c r="AB456" s="310"/>
      <c r="AC456" s="310"/>
      <c r="AD456" s="310"/>
      <c r="AE456" s="310"/>
      <c r="AF456" s="310"/>
      <c r="AG456" s="310">
        <f t="shared" si="128"/>
        <v>1220000</v>
      </c>
      <c r="AH456" s="310">
        <f t="shared" si="129"/>
        <v>1220000</v>
      </c>
      <c r="AI456" s="310">
        <f t="shared" si="130"/>
        <v>0</v>
      </c>
      <c r="AJ456" s="310"/>
      <c r="AK456" s="310"/>
      <c r="AL456" s="310"/>
      <c r="AM456" s="310"/>
      <c r="AN456" s="310">
        <f t="shared" si="131"/>
        <v>0</v>
      </c>
      <c r="AO456" s="310"/>
      <c r="AP456" s="310"/>
      <c r="AQ456" s="310"/>
      <c r="AR456" s="310"/>
      <c r="AS456" s="310">
        <f t="shared" si="132"/>
        <v>1220000</v>
      </c>
      <c r="AT456" s="310"/>
      <c r="AU456" s="310"/>
      <c r="AV456" s="310">
        <v>1220000</v>
      </c>
      <c r="AW456" s="310"/>
      <c r="AX456" s="310">
        <f t="shared" si="133"/>
        <v>0</v>
      </c>
      <c r="AY456" s="310"/>
      <c r="AZ456" s="310"/>
      <c r="BA456" s="310"/>
      <c r="BB456" s="310"/>
      <c r="BC456" s="310"/>
      <c r="BD456" s="310"/>
      <c r="BE456" s="312"/>
      <c r="BF456" s="127" t="s">
        <v>648</v>
      </c>
      <c r="BG456" s="128" t="s">
        <v>680</v>
      </c>
      <c r="BH456" s="133" t="s">
        <v>514</v>
      </c>
    </row>
    <row r="457" s="77" customFormat="1" ht="15" hidden="1" spans="1:60">
      <c r="A457" s="301">
        <v>450</v>
      </c>
      <c r="B457" s="307" t="s">
        <v>19</v>
      </c>
      <c r="C457" s="307" t="s">
        <v>20</v>
      </c>
      <c r="D457" s="308">
        <v>2022</v>
      </c>
      <c r="E457" s="130" t="s">
        <v>672</v>
      </c>
      <c r="F457" s="308" t="s">
        <v>56</v>
      </c>
      <c r="G457" s="127" t="s">
        <v>56</v>
      </c>
      <c r="H457" s="310">
        <f t="shared" si="122"/>
        <v>484120</v>
      </c>
      <c r="I457" s="311">
        <f t="shared" si="123"/>
        <v>484120</v>
      </c>
      <c r="J457" s="310">
        <f t="shared" si="124"/>
        <v>0</v>
      </c>
      <c r="K457" s="310"/>
      <c r="L457" s="310"/>
      <c r="M457" s="310"/>
      <c r="N457" s="310"/>
      <c r="O457" s="310">
        <f t="shared" si="125"/>
        <v>0</v>
      </c>
      <c r="P457" s="310"/>
      <c r="Q457" s="310"/>
      <c r="R457" s="310"/>
      <c r="S457" s="310"/>
      <c r="T457" s="310">
        <f t="shared" si="126"/>
        <v>484120</v>
      </c>
      <c r="U457" s="310"/>
      <c r="V457" s="310">
        <v>197000</v>
      </c>
      <c r="W457" s="310"/>
      <c r="X457" s="310">
        <v>287120</v>
      </c>
      <c r="Y457" s="310">
        <f t="shared" si="127"/>
        <v>0</v>
      </c>
      <c r="Z457" s="310"/>
      <c r="AA457" s="310"/>
      <c r="AB457" s="310"/>
      <c r="AC457" s="310"/>
      <c r="AD457" s="310"/>
      <c r="AE457" s="310"/>
      <c r="AF457" s="310"/>
      <c r="AG457" s="310">
        <f t="shared" si="128"/>
        <v>480060</v>
      </c>
      <c r="AH457" s="310">
        <f t="shared" si="129"/>
        <v>480060</v>
      </c>
      <c r="AI457" s="310">
        <f t="shared" si="130"/>
        <v>0</v>
      </c>
      <c r="AJ457" s="310"/>
      <c r="AK457" s="310"/>
      <c r="AL457" s="310"/>
      <c r="AM457" s="310"/>
      <c r="AN457" s="310">
        <f t="shared" si="131"/>
        <v>0</v>
      </c>
      <c r="AO457" s="310"/>
      <c r="AP457" s="310"/>
      <c r="AQ457" s="310"/>
      <c r="AR457" s="310"/>
      <c r="AS457" s="310">
        <f t="shared" si="132"/>
        <v>480060</v>
      </c>
      <c r="AT457" s="310">
        <v>480060</v>
      </c>
      <c r="AU457" s="310"/>
      <c r="AV457" s="310"/>
      <c r="AW457" s="310"/>
      <c r="AX457" s="310">
        <f t="shared" si="133"/>
        <v>0</v>
      </c>
      <c r="AY457" s="310"/>
      <c r="AZ457" s="310"/>
      <c r="BA457" s="310"/>
      <c r="BB457" s="310"/>
      <c r="BC457" s="310"/>
      <c r="BD457" s="310"/>
      <c r="BE457" s="312"/>
      <c r="BF457" s="127" t="s">
        <v>648</v>
      </c>
      <c r="BG457" s="128" t="s">
        <v>682</v>
      </c>
      <c r="BH457" s="133" t="s">
        <v>157</v>
      </c>
    </row>
    <row r="458" s="77" customFormat="1" ht="15" hidden="1" spans="1:60">
      <c r="A458" s="301">
        <v>451</v>
      </c>
      <c r="B458" s="307" t="s">
        <v>19</v>
      </c>
      <c r="C458" s="307" t="s">
        <v>20</v>
      </c>
      <c r="D458" s="308">
        <v>2023</v>
      </c>
      <c r="E458" s="130" t="s">
        <v>669</v>
      </c>
      <c r="F458" s="308" t="s">
        <v>56</v>
      </c>
      <c r="G458" s="127" t="s">
        <v>56</v>
      </c>
      <c r="H458" s="310">
        <f t="shared" si="122"/>
        <v>7867300</v>
      </c>
      <c r="I458" s="311">
        <f t="shared" si="123"/>
        <v>7867300</v>
      </c>
      <c r="J458" s="310">
        <f t="shared" si="124"/>
        <v>0</v>
      </c>
      <c r="K458" s="310"/>
      <c r="L458" s="310"/>
      <c r="M458" s="310"/>
      <c r="N458" s="310"/>
      <c r="O458" s="310">
        <f t="shared" si="125"/>
        <v>0</v>
      </c>
      <c r="P458" s="310"/>
      <c r="Q458" s="310"/>
      <c r="R458" s="310"/>
      <c r="S458" s="310"/>
      <c r="T458" s="310">
        <f t="shared" si="126"/>
        <v>7867300</v>
      </c>
      <c r="U458" s="310">
        <v>7867300</v>
      </c>
      <c r="V458" s="310"/>
      <c r="W458" s="310"/>
      <c r="X458" s="310"/>
      <c r="Y458" s="310">
        <f t="shared" si="127"/>
        <v>0</v>
      </c>
      <c r="Z458" s="310"/>
      <c r="AA458" s="310"/>
      <c r="AB458" s="310"/>
      <c r="AC458" s="310"/>
      <c r="AD458" s="310"/>
      <c r="AE458" s="310"/>
      <c r="AF458" s="310"/>
      <c r="AG458" s="310">
        <f t="shared" si="128"/>
        <v>7867300</v>
      </c>
      <c r="AH458" s="310">
        <f t="shared" si="129"/>
        <v>7867300</v>
      </c>
      <c r="AI458" s="310">
        <f t="shared" si="130"/>
        <v>0</v>
      </c>
      <c r="AJ458" s="310"/>
      <c r="AK458" s="310"/>
      <c r="AL458" s="310"/>
      <c r="AM458" s="310"/>
      <c r="AN458" s="310">
        <f t="shared" si="131"/>
        <v>0</v>
      </c>
      <c r="AO458" s="310"/>
      <c r="AP458" s="310"/>
      <c r="AQ458" s="310"/>
      <c r="AR458" s="310"/>
      <c r="AS458" s="310">
        <f t="shared" si="132"/>
        <v>7867300</v>
      </c>
      <c r="AT458" s="310">
        <v>7867300</v>
      </c>
      <c r="AU458" s="310"/>
      <c r="AV458" s="310"/>
      <c r="AW458" s="310"/>
      <c r="AX458" s="310">
        <f t="shared" si="133"/>
        <v>0</v>
      </c>
      <c r="AY458" s="310"/>
      <c r="AZ458" s="310"/>
      <c r="BA458" s="310"/>
      <c r="BB458" s="310"/>
      <c r="BC458" s="310"/>
      <c r="BD458" s="310"/>
      <c r="BE458" s="312"/>
      <c r="BF458" s="127" t="s">
        <v>648</v>
      </c>
      <c r="BG458" s="128" t="s">
        <v>680</v>
      </c>
      <c r="BH458" s="133" t="s">
        <v>157</v>
      </c>
    </row>
    <row r="459" s="77" customFormat="1" ht="15" hidden="1" spans="1:60">
      <c r="A459" s="301">
        <v>452</v>
      </c>
      <c r="B459" s="307" t="s">
        <v>19</v>
      </c>
      <c r="C459" s="307" t="s">
        <v>20</v>
      </c>
      <c r="D459" s="308">
        <v>2023</v>
      </c>
      <c r="E459" s="313" t="s">
        <v>683</v>
      </c>
      <c r="F459" s="308" t="s">
        <v>56</v>
      </c>
      <c r="G459" s="127" t="s">
        <v>56</v>
      </c>
      <c r="H459" s="310">
        <f t="shared" si="122"/>
        <v>2900000</v>
      </c>
      <c r="I459" s="311">
        <f t="shared" si="123"/>
        <v>2900000</v>
      </c>
      <c r="J459" s="310">
        <f t="shared" si="124"/>
        <v>0</v>
      </c>
      <c r="K459" s="310"/>
      <c r="L459" s="310"/>
      <c r="M459" s="310"/>
      <c r="N459" s="310"/>
      <c r="O459" s="310">
        <f t="shared" si="125"/>
        <v>0</v>
      </c>
      <c r="P459" s="310"/>
      <c r="Q459" s="310"/>
      <c r="R459" s="310"/>
      <c r="S459" s="310"/>
      <c r="T459" s="310">
        <f t="shared" si="126"/>
        <v>2900000</v>
      </c>
      <c r="U459" s="310"/>
      <c r="V459" s="310">
        <v>1700000</v>
      </c>
      <c r="W459" s="310">
        <v>1200000</v>
      </c>
      <c r="X459" s="310"/>
      <c r="Y459" s="310">
        <f t="shared" si="127"/>
        <v>0</v>
      </c>
      <c r="Z459" s="310"/>
      <c r="AA459" s="310"/>
      <c r="AB459" s="310"/>
      <c r="AC459" s="310"/>
      <c r="AD459" s="310"/>
      <c r="AE459" s="310"/>
      <c r="AF459" s="310"/>
      <c r="AG459" s="310">
        <f t="shared" si="128"/>
        <v>2900000</v>
      </c>
      <c r="AH459" s="310">
        <f t="shared" si="129"/>
        <v>2900000</v>
      </c>
      <c r="AI459" s="310">
        <f t="shared" si="130"/>
        <v>0</v>
      </c>
      <c r="AJ459" s="310"/>
      <c r="AK459" s="310"/>
      <c r="AL459" s="310"/>
      <c r="AM459" s="310"/>
      <c r="AN459" s="310">
        <f t="shared" si="131"/>
        <v>0</v>
      </c>
      <c r="AO459" s="310"/>
      <c r="AP459" s="310"/>
      <c r="AQ459" s="310"/>
      <c r="AR459" s="310"/>
      <c r="AS459" s="310">
        <f t="shared" si="132"/>
        <v>2900000</v>
      </c>
      <c r="AT459" s="310"/>
      <c r="AU459" s="310">
        <v>1700000</v>
      </c>
      <c r="AV459" s="310">
        <v>1200000</v>
      </c>
      <c r="AW459" s="310"/>
      <c r="AX459" s="310">
        <f t="shared" si="133"/>
        <v>0</v>
      </c>
      <c r="AY459" s="310"/>
      <c r="AZ459" s="310"/>
      <c r="BA459" s="310"/>
      <c r="BB459" s="310"/>
      <c r="BC459" s="310"/>
      <c r="BD459" s="310"/>
      <c r="BE459" s="312"/>
      <c r="BF459" s="127" t="s">
        <v>648</v>
      </c>
      <c r="BG459" s="184" t="s">
        <v>684</v>
      </c>
      <c r="BH459" s="330" t="s">
        <v>157</v>
      </c>
    </row>
    <row r="460" s="77" customFormat="1" ht="15" hidden="1" spans="1:60">
      <c r="A460" s="301">
        <v>453</v>
      </c>
      <c r="B460" s="307" t="s">
        <v>19</v>
      </c>
      <c r="C460" s="307" t="s">
        <v>20</v>
      </c>
      <c r="D460" s="308">
        <v>2023</v>
      </c>
      <c r="E460" s="313" t="s">
        <v>685</v>
      </c>
      <c r="F460" s="308" t="s">
        <v>56</v>
      </c>
      <c r="G460" s="127" t="s">
        <v>56</v>
      </c>
      <c r="H460" s="310">
        <f t="shared" si="122"/>
        <v>513400</v>
      </c>
      <c r="I460" s="311">
        <f t="shared" si="123"/>
        <v>513400</v>
      </c>
      <c r="J460" s="310">
        <f t="shared" si="124"/>
        <v>0</v>
      </c>
      <c r="K460" s="310"/>
      <c r="L460" s="310"/>
      <c r="M460" s="310"/>
      <c r="N460" s="310"/>
      <c r="O460" s="310">
        <f t="shared" si="125"/>
        <v>0</v>
      </c>
      <c r="P460" s="310"/>
      <c r="Q460" s="310"/>
      <c r="R460" s="310"/>
      <c r="S460" s="310"/>
      <c r="T460" s="310">
        <f t="shared" si="126"/>
        <v>513400</v>
      </c>
      <c r="U460" s="310">
        <v>513400</v>
      </c>
      <c r="V460" s="310"/>
      <c r="W460" s="310"/>
      <c r="X460" s="310"/>
      <c r="Y460" s="310">
        <f t="shared" si="127"/>
        <v>0</v>
      </c>
      <c r="Z460" s="310"/>
      <c r="AA460" s="310"/>
      <c r="AB460" s="310"/>
      <c r="AC460" s="310"/>
      <c r="AD460" s="310"/>
      <c r="AE460" s="310"/>
      <c r="AF460" s="310"/>
      <c r="AG460" s="310">
        <f t="shared" si="128"/>
        <v>513400</v>
      </c>
      <c r="AH460" s="310">
        <f t="shared" si="129"/>
        <v>513400</v>
      </c>
      <c r="AI460" s="310">
        <f t="shared" si="130"/>
        <v>0</v>
      </c>
      <c r="AJ460" s="310"/>
      <c r="AK460" s="310"/>
      <c r="AL460" s="310"/>
      <c r="AM460" s="310"/>
      <c r="AN460" s="310">
        <f t="shared" si="131"/>
        <v>0</v>
      </c>
      <c r="AO460" s="310"/>
      <c r="AP460" s="310"/>
      <c r="AQ460" s="310"/>
      <c r="AR460" s="310"/>
      <c r="AS460" s="310">
        <f t="shared" si="132"/>
        <v>513400</v>
      </c>
      <c r="AT460" s="310">
        <v>513400</v>
      </c>
      <c r="AU460" s="310"/>
      <c r="AV460" s="310"/>
      <c r="AW460" s="310"/>
      <c r="AX460" s="310">
        <f t="shared" si="133"/>
        <v>0</v>
      </c>
      <c r="AY460" s="310"/>
      <c r="AZ460" s="310"/>
      <c r="BA460" s="310"/>
      <c r="BB460" s="310"/>
      <c r="BC460" s="310"/>
      <c r="BD460" s="310"/>
      <c r="BE460" s="312"/>
      <c r="BF460" s="127" t="s">
        <v>648</v>
      </c>
      <c r="BG460" s="184" t="s">
        <v>684</v>
      </c>
      <c r="BH460" s="330" t="s">
        <v>157</v>
      </c>
    </row>
    <row r="461" s="77" customFormat="1" ht="15" hidden="1" spans="1:60">
      <c r="A461" s="301">
        <v>454</v>
      </c>
      <c r="B461" s="307" t="s">
        <v>19</v>
      </c>
      <c r="C461" s="307" t="s">
        <v>20</v>
      </c>
      <c r="D461" s="308">
        <v>2023</v>
      </c>
      <c r="E461" s="313" t="s">
        <v>686</v>
      </c>
      <c r="F461" s="308" t="s">
        <v>56</v>
      </c>
      <c r="G461" s="127" t="s">
        <v>56</v>
      </c>
      <c r="H461" s="310">
        <f t="shared" si="122"/>
        <v>9149000</v>
      </c>
      <c r="I461" s="311">
        <f t="shared" si="123"/>
        <v>9149000</v>
      </c>
      <c r="J461" s="310">
        <f t="shared" si="124"/>
        <v>0</v>
      </c>
      <c r="K461" s="310"/>
      <c r="L461" s="310"/>
      <c r="M461" s="310"/>
      <c r="N461" s="310"/>
      <c r="O461" s="310">
        <f t="shared" si="125"/>
        <v>0</v>
      </c>
      <c r="P461" s="310"/>
      <c r="Q461" s="310"/>
      <c r="R461" s="310"/>
      <c r="S461" s="312"/>
      <c r="T461" s="310">
        <f t="shared" si="126"/>
        <v>9149000</v>
      </c>
      <c r="U461" s="391">
        <v>9149000</v>
      </c>
      <c r="V461" s="310"/>
      <c r="W461" s="310"/>
      <c r="X461" s="310"/>
      <c r="Y461" s="310">
        <f t="shared" si="127"/>
        <v>0</v>
      </c>
      <c r="Z461" s="310"/>
      <c r="AA461" s="310"/>
      <c r="AB461" s="310"/>
      <c r="AC461" s="310"/>
      <c r="AD461" s="310"/>
      <c r="AE461" s="310"/>
      <c r="AF461" s="310"/>
      <c r="AG461" s="310">
        <f t="shared" si="128"/>
        <v>9149000</v>
      </c>
      <c r="AH461" s="310">
        <f t="shared" si="129"/>
        <v>9149000</v>
      </c>
      <c r="AI461" s="310">
        <f t="shared" si="130"/>
        <v>0</v>
      </c>
      <c r="AJ461" s="310"/>
      <c r="AK461" s="310"/>
      <c r="AL461" s="310"/>
      <c r="AM461" s="310"/>
      <c r="AN461" s="310">
        <f t="shared" si="131"/>
        <v>0</v>
      </c>
      <c r="AO461" s="310"/>
      <c r="AP461" s="310"/>
      <c r="AQ461" s="310"/>
      <c r="AR461" s="310"/>
      <c r="AS461" s="310">
        <f t="shared" si="132"/>
        <v>9149000</v>
      </c>
      <c r="AT461" s="310">
        <v>9149000</v>
      </c>
      <c r="AU461" s="310"/>
      <c r="AV461" s="310"/>
      <c r="AW461" s="310"/>
      <c r="AX461" s="310">
        <f t="shared" si="133"/>
        <v>0</v>
      </c>
      <c r="AY461" s="310"/>
      <c r="AZ461" s="310"/>
      <c r="BA461" s="310"/>
      <c r="BB461" s="310"/>
      <c r="BC461" s="310"/>
      <c r="BD461" s="310"/>
      <c r="BE461" s="312"/>
      <c r="BF461" s="127" t="s">
        <v>648</v>
      </c>
      <c r="BG461" s="184" t="s">
        <v>684</v>
      </c>
      <c r="BH461" s="330" t="s">
        <v>157</v>
      </c>
    </row>
    <row r="462" ht="15" hidden="1" spans="1:60">
      <c r="A462" s="301">
        <v>455</v>
      </c>
      <c r="B462" s="307" t="s">
        <v>19</v>
      </c>
      <c r="C462" s="307" t="s">
        <v>20</v>
      </c>
      <c r="D462" s="308">
        <v>2022</v>
      </c>
      <c r="E462" s="313" t="s">
        <v>687</v>
      </c>
      <c r="F462" s="308" t="s">
        <v>53</v>
      </c>
      <c r="G462" s="127" t="s">
        <v>56</v>
      </c>
      <c r="H462" s="310">
        <f t="shared" si="122"/>
        <v>289900</v>
      </c>
      <c r="I462" s="311">
        <f t="shared" si="123"/>
        <v>289900</v>
      </c>
      <c r="J462" s="310">
        <f t="shared" si="124"/>
        <v>0</v>
      </c>
      <c r="K462" s="310"/>
      <c r="L462" s="310"/>
      <c r="M462" s="310"/>
      <c r="N462" s="310"/>
      <c r="O462" s="310">
        <f t="shared" si="125"/>
        <v>0</v>
      </c>
      <c r="P462" s="310"/>
      <c r="Q462" s="310"/>
      <c r="R462" s="310"/>
      <c r="S462" s="312"/>
      <c r="T462" s="310">
        <f t="shared" si="126"/>
        <v>289900</v>
      </c>
      <c r="U462" s="391"/>
      <c r="V462" s="310"/>
      <c r="W462" s="310"/>
      <c r="X462" s="310">
        <v>289900</v>
      </c>
      <c r="Y462" s="310">
        <f t="shared" si="127"/>
        <v>0</v>
      </c>
      <c r="Z462" s="310"/>
      <c r="AA462" s="310"/>
      <c r="AB462" s="310"/>
      <c r="AC462" s="310"/>
      <c r="AD462" s="310"/>
      <c r="AE462" s="310"/>
      <c r="AF462" s="310"/>
      <c r="AG462" s="310">
        <f t="shared" si="128"/>
        <v>289900</v>
      </c>
      <c r="AH462" s="310">
        <f t="shared" si="129"/>
        <v>289900</v>
      </c>
      <c r="AI462" s="310">
        <f t="shared" si="130"/>
        <v>0</v>
      </c>
      <c r="AJ462" s="310"/>
      <c r="AK462" s="310"/>
      <c r="AL462" s="310"/>
      <c r="AM462" s="310"/>
      <c r="AN462" s="310">
        <f t="shared" si="131"/>
        <v>0</v>
      </c>
      <c r="AO462" s="310"/>
      <c r="AP462" s="310"/>
      <c r="AQ462" s="310"/>
      <c r="AR462" s="310"/>
      <c r="AS462" s="310">
        <f t="shared" si="132"/>
        <v>289900</v>
      </c>
      <c r="AT462" s="310"/>
      <c r="AU462" s="310"/>
      <c r="AV462" s="310"/>
      <c r="AW462" s="310">
        <v>289900</v>
      </c>
      <c r="AX462" s="310">
        <f t="shared" si="133"/>
        <v>0</v>
      </c>
      <c r="AY462" s="310"/>
      <c r="AZ462" s="310"/>
      <c r="BA462" s="310"/>
      <c r="BB462" s="310"/>
      <c r="BC462" s="310"/>
      <c r="BD462" s="310"/>
      <c r="BE462" s="312"/>
      <c r="BF462" s="134" t="s">
        <v>56</v>
      </c>
      <c r="BG462" s="315" t="s">
        <v>179</v>
      </c>
      <c r="BH462" s="137" t="s">
        <v>104</v>
      </c>
    </row>
    <row r="463" s="77" customFormat="1" ht="15" hidden="1" spans="1:60">
      <c r="A463" s="301">
        <v>456</v>
      </c>
      <c r="B463" s="392" t="s">
        <v>19</v>
      </c>
      <c r="C463" s="392" t="s">
        <v>20</v>
      </c>
      <c r="D463" s="393">
        <v>2017</v>
      </c>
      <c r="E463" s="394" t="s">
        <v>688</v>
      </c>
      <c r="F463" s="393" t="s">
        <v>53</v>
      </c>
      <c r="G463" s="395" t="s">
        <v>56</v>
      </c>
      <c r="H463" s="310">
        <f t="shared" si="122"/>
        <v>2608400</v>
      </c>
      <c r="I463" s="311">
        <f t="shared" si="123"/>
        <v>2608400</v>
      </c>
      <c r="J463" s="310">
        <f t="shared" si="124"/>
        <v>0</v>
      </c>
      <c r="K463" s="396"/>
      <c r="L463" s="396"/>
      <c r="M463" s="396"/>
      <c r="N463" s="396"/>
      <c r="O463" s="310">
        <f t="shared" si="125"/>
        <v>2608400</v>
      </c>
      <c r="P463" s="396">
        <v>2608400</v>
      </c>
      <c r="Q463" s="396"/>
      <c r="R463" s="396"/>
      <c r="S463" s="397"/>
      <c r="T463" s="310">
        <f t="shared" si="126"/>
        <v>0</v>
      </c>
      <c r="U463" s="398"/>
      <c r="V463" s="396"/>
      <c r="W463" s="396"/>
      <c r="X463" s="396"/>
      <c r="Y463" s="310">
        <f t="shared" si="127"/>
        <v>0</v>
      </c>
      <c r="Z463" s="396"/>
      <c r="AA463" s="396"/>
      <c r="AB463" s="396"/>
      <c r="AC463" s="396"/>
      <c r="AD463" s="396"/>
      <c r="AE463" s="396"/>
      <c r="AF463" s="396"/>
      <c r="AG463" s="310">
        <f t="shared" si="128"/>
        <v>2342535.35</v>
      </c>
      <c r="AH463" s="310">
        <f t="shared" si="129"/>
        <v>2342535.35</v>
      </c>
      <c r="AI463" s="310">
        <f t="shared" si="130"/>
        <v>0</v>
      </c>
      <c r="AJ463" s="396"/>
      <c r="AK463" s="396"/>
      <c r="AL463" s="396"/>
      <c r="AM463" s="396"/>
      <c r="AN463" s="310">
        <f t="shared" si="131"/>
        <v>2342535.35</v>
      </c>
      <c r="AO463" s="396">
        <v>2342535.35</v>
      </c>
      <c r="AP463" s="396"/>
      <c r="AQ463" s="396"/>
      <c r="AR463" s="396"/>
      <c r="AS463" s="310">
        <f t="shared" si="132"/>
        <v>0</v>
      </c>
      <c r="AT463" s="396"/>
      <c r="AU463" s="396"/>
      <c r="AV463" s="396"/>
      <c r="AW463" s="396"/>
      <c r="AX463" s="310">
        <f t="shared" si="133"/>
        <v>0</v>
      </c>
      <c r="AY463" s="396"/>
      <c r="AZ463" s="396"/>
      <c r="BA463" s="396"/>
      <c r="BB463" s="396"/>
      <c r="BC463" s="396"/>
      <c r="BD463" s="396"/>
      <c r="BE463" s="397"/>
      <c r="BF463" s="127" t="s">
        <v>139</v>
      </c>
      <c r="BG463" s="128" t="s">
        <v>54</v>
      </c>
      <c r="BH463" s="133" t="s">
        <v>279</v>
      </c>
    </row>
    <row r="464" s="77" customFormat="1" ht="15" hidden="1" spans="1:60">
      <c r="A464" s="301">
        <v>457</v>
      </c>
      <c r="B464" s="392" t="s">
        <v>19</v>
      </c>
      <c r="C464" s="392" t="s">
        <v>20</v>
      </c>
      <c r="D464" s="393">
        <v>2019</v>
      </c>
      <c r="E464" s="394" t="s">
        <v>689</v>
      </c>
      <c r="F464" s="393" t="s">
        <v>53</v>
      </c>
      <c r="G464" s="395" t="s">
        <v>56</v>
      </c>
      <c r="H464" s="310">
        <f t="shared" si="122"/>
        <v>1022400</v>
      </c>
      <c r="I464" s="311">
        <f t="shared" si="123"/>
        <v>1022400</v>
      </c>
      <c r="J464" s="310">
        <f t="shared" si="124"/>
        <v>0</v>
      </c>
      <c r="K464" s="396"/>
      <c r="L464" s="396"/>
      <c r="M464" s="396"/>
      <c r="N464" s="396"/>
      <c r="O464" s="310">
        <f t="shared" si="125"/>
        <v>1022400</v>
      </c>
      <c r="P464" s="396">
        <v>1022400</v>
      </c>
      <c r="Q464" s="396"/>
      <c r="R464" s="396"/>
      <c r="S464" s="397"/>
      <c r="T464" s="310">
        <f t="shared" si="126"/>
        <v>0</v>
      </c>
      <c r="U464" s="398"/>
      <c r="V464" s="396"/>
      <c r="W464" s="396"/>
      <c r="X464" s="396"/>
      <c r="Y464" s="310">
        <f t="shared" si="127"/>
        <v>0</v>
      </c>
      <c r="Z464" s="396"/>
      <c r="AA464" s="396"/>
      <c r="AB464" s="396"/>
      <c r="AC464" s="396"/>
      <c r="AD464" s="396"/>
      <c r="AE464" s="396"/>
      <c r="AF464" s="396"/>
      <c r="AG464" s="310">
        <f t="shared" si="128"/>
        <v>1002651.6</v>
      </c>
      <c r="AH464" s="310">
        <f t="shared" si="129"/>
        <v>1002651.6</v>
      </c>
      <c r="AI464" s="310">
        <f t="shared" si="130"/>
        <v>0</v>
      </c>
      <c r="AJ464" s="396"/>
      <c r="AK464" s="396"/>
      <c r="AL464" s="396"/>
      <c r="AM464" s="396"/>
      <c r="AN464" s="310">
        <f t="shared" si="131"/>
        <v>1002651.6</v>
      </c>
      <c r="AO464" s="396">
        <v>1002651.6</v>
      </c>
      <c r="AP464" s="396"/>
      <c r="AQ464" s="396"/>
      <c r="AR464" s="396"/>
      <c r="AS464" s="310">
        <f t="shared" si="132"/>
        <v>0</v>
      </c>
      <c r="AT464" s="396"/>
      <c r="AU464" s="396"/>
      <c r="AV464" s="396"/>
      <c r="AW464" s="396"/>
      <c r="AX464" s="310">
        <f t="shared" si="133"/>
        <v>0</v>
      </c>
      <c r="AY464" s="396"/>
      <c r="AZ464" s="396"/>
      <c r="BA464" s="396"/>
      <c r="BB464" s="396"/>
      <c r="BC464" s="396"/>
      <c r="BD464" s="396"/>
      <c r="BE464" s="397"/>
      <c r="BF464" s="127" t="s">
        <v>56</v>
      </c>
      <c r="BG464" s="128" t="s">
        <v>690</v>
      </c>
      <c r="BH464" s="133" t="s">
        <v>67</v>
      </c>
    </row>
    <row r="465" s="77" customFormat="1" ht="15" hidden="1" spans="1:60">
      <c r="A465" s="301">
        <v>458</v>
      </c>
      <c r="B465" s="392" t="s">
        <v>19</v>
      </c>
      <c r="C465" s="392" t="s">
        <v>20</v>
      </c>
      <c r="D465" s="399">
        <v>2019</v>
      </c>
      <c r="E465" s="400" t="s">
        <v>691</v>
      </c>
      <c r="F465" s="393" t="s">
        <v>53</v>
      </c>
      <c r="G465" s="395" t="s">
        <v>56</v>
      </c>
      <c r="H465" s="310">
        <f t="shared" si="122"/>
        <v>1600000</v>
      </c>
      <c r="I465" s="311">
        <f t="shared" si="123"/>
        <v>1600000</v>
      </c>
      <c r="J465" s="310">
        <f t="shared" si="124"/>
        <v>0</v>
      </c>
      <c r="K465" s="396"/>
      <c r="L465" s="396"/>
      <c r="M465" s="396"/>
      <c r="N465" s="396"/>
      <c r="O465" s="310">
        <f t="shared" si="125"/>
        <v>1600000</v>
      </c>
      <c r="P465" s="396">
        <v>1600000</v>
      </c>
      <c r="Q465" s="396"/>
      <c r="R465" s="396"/>
      <c r="S465" s="397"/>
      <c r="T465" s="310">
        <f t="shared" si="126"/>
        <v>0</v>
      </c>
      <c r="U465" s="398"/>
      <c r="V465" s="396"/>
      <c r="W465" s="396"/>
      <c r="X465" s="396"/>
      <c r="Y465" s="310">
        <f t="shared" si="127"/>
        <v>0</v>
      </c>
      <c r="Z465" s="396"/>
      <c r="AA465" s="396"/>
      <c r="AB465" s="396"/>
      <c r="AC465" s="396"/>
      <c r="AD465" s="396"/>
      <c r="AE465" s="396"/>
      <c r="AF465" s="396"/>
      <c r="AG465" s="310">
        <f t="shared" si="128"/>
        <v>1523446.19</v>
      </c>
      <c r="AH465" s="310">
        <f t="shared" si="129"/>
        <v>1523446.19</v>
      </c>
      <c r="AI465" s="310">
        <f t="shared" si="130"/>
        <v>0</v>
      </c>
      <c r="AJ465" s="396"/>
      <c r="AK465" s="396"/>
      <c r="AL465" s="396"/>
      <c r="AM465" s="396"/>
      <c r="AN465" s="310">
        <f t="shared" si="131"/>
        <v>1523446.19</v>
      </c>
      <c r="AO465" s="396">
        <v>1523446.19</v>
      </c>
      <c r="AP465" s="396"/>
      <c r="AQ465" s="396"/>
      <c r="AR465" s="396"/>
      <c r="AS465" s="310">
        <f t="shared" si="132"/>
        <v>0</v>
      </c>
      <c r="AT465" s="396"/>
      <c r="AU465" s="396"/>
      <c r="AV465" s="396"/>
      <c r="AW465" s="396"/>
      <c r="AX465" s="310">
        <f t="shared" si="133"/>
        <v>0</v>
      </c>
      <c r="AY465" s="396"/>
      <c r="AZ465" s="396"/>
      <c r="BA465" s="396"/>
      <c r="BB465" s="396"/>
      <c r="BC465" s="396"/>
      <c r="BD465" s="396"/>
      <c r="BE465" s="397"/>
      <c r="BF465" s="127" t="s">
        <v>56</v>
      </c>
      <c r="BG465" s="128" t="s">
        <v>162</v>
      </c>
      <c r="BH465" s="133" t="s">
        <v>585</v>
      </c>
    </row>
    <row r="466" s="77" customFormat="1" ht="15" hidden="1" spans="1:60">
      <c r="A466" s="301">
        <v>459</v>
      </c>
      <c r="B466" s="392" t="s">
        <v>19</v>
      </c>
      <c r="C466" s="392" t="s">
        <v>20</v>
      </c>
      <c r="D466" s="401">
        <v>2014</v>
      </c>
      <c r="E466" s="402" t="s">
        <v>348</v>
      </c>
      <c r="F466" s="403" t="s">
        <v>53</v>
      </c>
      <c r="G466" s="395" t="s">
        <v>56</v>
      </c>
      <c r="H466" s="310">
        <f t="shared" si="122"/>
        <v>500000</v>
      </c>
      <c r="I466" s="311">
        <f t="shared" si="123"/>
        <v>500000</v>
      </c>
      <c r="J466" s="310">
        <f t="shared" si="124"/>
        <v>500000</v>
      </c>
      <c r="K466" s="396"/>
      <c r="L466" s="396"/>
      <c r="M466" s="396">
        <v>500000</v>
      </c>
      <c r="N466" s="396"/>
      <c r="O466" s="310">
        <f t="shared" si="125"/>
        <v>0</v>
      </c>
      <c r="P466" s="396"/>
      <c r="Q466" s="396"/>
      <c r="R466" s="396"/>
      <c r="S466" s="397"/>
      <c r="T466" s="310">
        <f t="shared" si="126"/>
        <v>0</v>
      </c>
      <c r="U466" s="398"/>
      <c r="V466" s="396"/>
      <c r="W466" s="396"/>
      <c r="X466" s="396"/>
      <c r="Y466" s="310">
        <f t="shared" si="127"/>
        <v>0</v>
      </c>
      <c r="Z466" s="396"/>
      <c r="AA466" s="396"/>
      <c r="AB466" s="396"/>
      <c r="AC466" s="396"/>
      <c r="AD466" s="396"/>
      <c r="AE466" s="396"/>
      <c r="AF466" s="396"/>
      <c r="AG466" s="310">
        <f t="shared" si="128"/>
        <v>500000</v>
      </c>
      <c r="AH466" s="310">
        <f t="shared" si="129"/>
        <v>500000</v>
      </c>
      <c r="AI466" s="310">
        <f t="shared" si="130"/>
        <v>500000</v>
      </c>
      <c r="AJ466" s="396"/>
      <c r="AK466" s="396"/>
      <c r="AL466" s="396">
        <v>500000</v>
      </c>
      <c r="AM466" s="396"/>
      <c r="AN466" s="310">
        <f t="shared" si="131"/>
        <v>0</v>
      </c>
      <c r="AO466" s="396"/>
      <c r="AP466" s="396"/>
      <c r="AQ466" s="396"/>
      <c r="AR466" s="396"/>
      <c r="AS466" s="310">
        <f t="shared" si="132"/>
        <v>0</v>
      </c>
      <c r="AT466" s="396"/>
      <c r="AU466" s="396"/>
      <c r="AV466" s="396"/>
      <c r="AW466" s="396"/>
      <c r="AX466" s="310">
        <f t="shared" si="133"/>
        <v>0</v>
      </c>
      <c r="AY466" s="396"/>
      <c r="AZ466" s="396"/>
      <c r="BA466" s="396"/>
      <c r="BB466" s="396"/>
      <c r="BC466" s="396"/>
      <c r="BD466" s="396"/>
      <c r="BE466" s="397"/>
      <c r="BF466" s="127" t="s">
        <v>56</v>
      </c>
      <c r="BG466" s="184" t="s">
        <v>349</v>
      </c>
      <c r="BH466" s="133"/>
    </row>
    <row r="467" s="77" customFormat="1" ht="15" hidden="1" spans="1:60">
      <c r="A467" s="301">
        <v>460</v>
      </c>
      <c r="B467" s="392" t="s">
        <v>19</v>
      </c>
      <c r="C467" s="392" t="s">
        <v>20</v>
      </c>
      <c r="D467" s="393">
        <v>2017</v>
      </c>
      <c r="E467" s="394" t="s">
        <v>692</v>
      </c>
      <c r="F467" s="393" t="s">
        <v>53</v>
      </c>
      <c r="G467" s="395" t="s">
        <v>56</v>
      </c>
      <c r="H467" s="310">
        <f t="shared" si="122"/>
        <v>35000</v>
      </c>
      <c r="I467" s="311">
        <f t="shared" si="123"/>
        <v>35000</v>
      </c>
      <c r="J467" s="310">
        <f t="shared" si="124"/>
        <v>0</v>
      </c>
      <c r="K467" s="396"/>
      <c r="L467" s="396"/>
      <c r="M467" s="396"/>
      <c r="N467" s="396"/>
      <c r="O467" s="310">
        <f t="shared" si="125"/>
        <v>35000</v>
      </c>
      <c r="P467" s="396"/>
      <c r="Q467" s="396"/>
      <c r="R467" s="396"/>
      <c r="S467" s="397">
        <v>35000</v>
      </c>
      <c r="T467" s="310">
        <f t="shared" si="126"/>
        <v>0</v>
      </c>
      <c r="U467" s="398"/>
      <c r="V467" s="396"/>
      <c r="W467" s="396"/>
      <c r="X467" s="396"/>
      <c r="Y467" s="310">
        <f t="shared" si="127"/>
        <v>0</v>
      </c>
      <c r="Z467" s="396"/>
      <c r="AA467" s="396"/>
      <c r="AB467" s="396"/>
      <c r="AC467" s="396"/>
      <c r="AD467" s="396"/>
      <c r="AE467" s="396"/>
      <c r="AF467" s="396"/>
      <c r="AG467" s="310">
        <f t="shared" si="128"/>
        <v>35000</v>
      </c>
      <c r="AH467" s="310">
        <f t="shared" si="129"/>
        <v>35000</v>
      </c>
      <c r="AI467" s="310">
        <f t="shared" si="130"/>
        <v>0</v>
      </c>
      <c r="AJ467" s="396"/>
      <c r="AK467" s="396"/>
      <c r="AL467" s="396"/>
      <c r="AM467" s="396"/>
      <c r="AN467" s="310">
        <f t="shared" si="131"/>
        <v>35000</v>
      </c>
      <c r="AO467" s="396"/>
      <c r="AP467" s="396"/>
      <c r="AQ467" s="396"/>
      <c r="AR467" s="396">
        <v>35000</v>
      </c>
      <c r="AS467" s="310">
        <f t="shared" si="132"/>
        <v>0</v>
      </c>
      <c r="AT467" s="396"/>
      <c r="AU467" s="396"/>
      <c r="AV467" s="396"/>
      <c r="AW467" s="396"/>
      <c r="AX467" s="310">
        <f t="shared" si="133"/>
        <v>0</v>
      </c>
      <c r="AY467" s="396"/>
      <c r="AZ467" s="396"/>
      <c r="BA467" s="396"/>
      <c r="BB467" s="396"/>
      <c r="BC467" s="396"/>
      <c r="BD467" s="396"/>
      <c r="BE467" s="397"/>
      <c r="BF467" s="127" t="s">
        <v>56</v>
      </c>
      <c r="BG467" s="184" t="s">
        <v>349</v>
      </c>
      <c r="BH467" s="133"/>
    </row>
    <row r="468" s="77" customFormat="1" ht="15" hidden="1" spans="1:60">
      <c r="A468" s="301">
        <v>461</v>
      </c>
      <c r="B468" s="392" t="s">
        <v>19</v>
      </c>
      <c r="C468" s="392" t="s">
        <v>20</v>
      </c>
      <c r="D468" s="393">
        <v>2020</v>
      </c>
      <c r="E468" s="394" t="s">
        <v>693</v>
      </c>
      <c r="F468" s="393" t="s">
        <v>53</v>
      </c>
      <c r="G468" s="395" t="s">
        <v>56</v>
      </c>
      <c r="H468" s="310">
        <f t="shared" si="122"/>
        <v>84500</v>
      </c>
      <c r="I468" s="311">
        <f t="shared" si="123"/>
        <v>84500</v>
      </c>
      <c r="J468" s="310">
        <f t="shared" si="124"/>
        <v>0</v>
      </c>
      <c r="K468" s="396"/>
      <c r="L468" s="396"/>
      <c r="M468" s="396"/>
      <c r="N468" s="396"/>
      <c r="O468" s="310">
        <f t="shared" si="125"/>
        <v>84500</v>
      </c>
      <c r="P468" s="396"/>
      <c r="Q468" s="396"/>
      <c r="R468" s="396"/>
      <c r="S468" s="397">
        <v>84500</v>
      </c>
      <c r="T468" s="310">
        <f t="shared" si="126"/>
        <v>0</v>
      </c>
      <c r="U468" s="398"/>
      <c r="V468" s="396"/>
      <c r="W468" s="396"/>
      <c r="X468" s="396"/>
      <c r="Y468" s="310">
        <f t="shared" si="127"/>
        <v>0</v>
      </c>
      <c r="Z468" s="396"/>
      <c r="AA468" s="396"/>
      <c r="AB468" s="396"/>
      <c r="AC468" s="396"/>
      <c r="AD468" s="396"/>
      <c r="AE468" s="396"/>
      <c r="AF468" s="396"/>
      <c r="AG468" s="310">
        <f t="shared" si="128"/>
        <v>84500</v>
      </c>
      <c r="AH468" s="310">
        <f t="shared" si="129"/>
        <v>84500</v>
      </c>
      <c r="AI468" s="310">
        <f t="shared" si="130"/>
        <v>0</v>
      </c>
      <c r="AJ468" s="396"/>
      <c r="AK468" s="396"/>
      <c r="AL468" s="396"/>
      <c r="AM468" s="396"/>
      <c r="AN468" s="310">
        <f t="shared" si="131"/>
        <v>84500</v>
      </c>
      <c r="AO468" s="396"/>
      <c r="AP468" s="396"/>
      <c r="AQ468" s="396"/>
      <c r="AR468" s="396">
        <v>84500</v>
      </c>
      <c r="AS468" s="310">
        <f t="shared" si="132"/>
        <v>0</v>
      </c>
      <c r="AT468" s="396"/>
      <c r="AU468" s="396"/>
      <c r="AV468" s="396"/>
      <c r="AW468" s="396"/>
      <c r="AX468" s="310">
        <f t="shared" si="133"/>
        <v>0</v>
      </c>
      <c r="AY468" s="396"/>
      <c r="AZ468" s="396"/>
      <c r="BA468" s="396"/>
      <c r="BB468" s="396"/>
      <c r="BC468" s="396"/>
      <c r="BD468" s="396"/>
      <c r="BE468" s="397"/>
      <c r="BF468" s="127" t="s">
        <v>56</v>
      </c>
      <c r="BG468" s="184" t="s">
        <v>349</v>
      </c>
      <c r="BH468" s="133"/>
    </row>
    <row r="469" s="77" customFormat="1" ht="15" hidden="1" spans="1:60">
      <c r="A469" s="301">
        <v>462</v>
      </c>
      <c r="B469" s="392" t="s">
        <v>19</v>
      </c>
      <c r="C469" s="392" t="s">
        <v>20</v>
      </c>
      <c r="D469" s="393">
        <v>2017</v>
      </c>
      <c r="E469" s="394" t="s">
        <v>694</v>
      </c>
      <c r="F469" s="393" t="s">
        <v>53</v>
      </c>
      <c r="G469" s="395" t="s">
        <v>56</v>
      </c>
      <c r="H469" s="310">
        <f t="shared" si="122"/>
        <v>3000000</v>
      </c>
      <c r="I469" s="311">
        <f t="shared" si="123"/>
        <v>3000000</v>
      </c>
      <c r="J469" s="310">
        <f t="shared" si="124"/>
        <v>0</v>
      </c>
      <c r="K469" s="396"/>
      <c r="L469" s="396"/>
      <c r="M469" s="396"/>
      <c r="N469" s="396"/>
      <c r="O469" s="310">
        <f t="shared" si="125"/>
        <v>3000000</v>
      </c>
      <c r="P469" s="396"/>
      <c r="Q469" s="396">
        <v>3000000</v>
      </c>
      <c r="R469" s="396"/>
      <c r="S469" s="397"/>
      <c r="T469" s="310">
        <f t="shared" si="126"/>
        <v>0</v>
      </c>
      <c r="U469" s="398"/>
      <c r="V469" s="396"/>
      <c r="W469" s="396"/>
      <c r="X469" s="396"/>
      <c r="Y469" s="310">
        <f t="shared" si="127"/>
        <v>0</v>
      </c>
      <c r="Z469" s="396"/>
      <c r="AA469" s="396"/>
      <c r="AB469" s="396"/>
      <c r="AC469" s="396"/>
      <c r="AD469" s="396"/>
      <c r="AE469" s="396"/>
      <c r="AF469" s="396"/>
      <c r="AG469" s="310">
        <f t="shared" si="128"/>
        <v>2857947.71</v>
      </c>
      <c r="AH469" s="310">
        <f t="shared" si="129"/>
        <v>2857947.71</v>
      </c>
      <c r="AI469" s="310">
        <f t="shared" si="130"/>
        <v>0</v>
      </c>
      <c r="AJ469" s="396"/>
      <c r="AK469" s="396"/>
      <c r="AL469" s="396"/>
      <c r="AM469" s="396"/>
      <c r="AN469" s="310">
        <f t="shared" si="131"/>
        <v>2857947.71</v>
      </c>
      <c r="AO469" s="396"/>
      <c r="AP469" s="396">
        <v>2857947.71</v>
      </c>
      <c r="AQ469" s="396"/>
      <c r="AR469" s="396"/>
      <c r="AS469" s="310">
        <f t="shared" si="132"/>
        <v>0</v>
      </c>
      <c r="AT469" s="396"/>
      <c r="AU469" s="396"/>
      <c r="AV469" s="396"/>
      <c r="AW469" s="396"/>
      <c r="AX469" s="310">
        <f t="shared" si="133"/>
        <v>0</v>
      </c>
      <c r="AY469" s="396"/>
      <c r="AZ469" s="396"/>
      <c r="BA469" s="396"/>
      <c r="BB469" s="396"/>
      <c r="BC469" s="396"/>
      <c r="BD469" s="396"/>
      <c r="BE469" s="397"/>
      <c r="BF469" s="127" t="s">
        <v>56</v>
      </c>
      <c r="BG469" s="128" t="s">
        <v>162</v>
      </c>
      <c r="BH469" s="133" t="s">
        <v>124</v>
      </c>
    </row>
    <row r="470" s="270" customFormat="1" ht="15" hidden="1" spans="1:60">
      <c r="A470" s="301">
        <v>463</v>
      </c>
      <c r="B470" s="404" t="s">
        <v>19</v>
      </c>
      <c r="C470" s="404" t="s">
        <v>20</v>
      </c>
      <c r="D470" s="405">
        <v>2018</v>
      </c>
      <c r="E470" s="406" t="s">
        <v>695</v>
      </c>
      <c r="F470" s="405" t="s">
        <v>53</v>
      </c>
      <c r="G470" s="407" t="s">
        <v>56</v>
      </c>
      <c r="H470" s="304">
        <f t="shared" si="122"/>
        <v>2421300</v>
      </c>
      <c r="I470" s="332">
        <f t="shared" si="123"/>
        <v>2421300</v>
      </c>
      <c r="J470" s="304">
        <f t="shared" si="124"/>
        <v>0</v>
      </c>
      <c r="K470" s="408"/>
      <c r="L470" s="408"/>
      <c r="M470" s="408"/>
      <c r="N470" s="408"/>
      <c r="O470" s="304">
        <f t="shared" si="125"/>
        <v>2421300</v>
      </c>
      <c r="P470" s="408">
        <v>2421300</v>
      </c>
      <c r="Q470" s="408"/>
      <c r="R470" s="408"/>
      <c r="S470" s="409"/>
      <c r="T470" s="304">
        <f t="shared" si="126"/>
        <v>0</v>
      </c>
      <c r="U470" s="410"/>
      <c r="V470" s="408"/>
      <c r="W470" s="408"/>
      <c r="X470" s="408"/>
      <c r="Y470" s="304">
        <f t="shared" si="127"/>
        <v>0</v>
      </c>
      <c r="Z470" s="408"/>
      <c r="AA470" s="408"/>
      <c r="AB470" s="408"/>
      <c r="AC470" s="408"/>
      <c r="AD470" s="408"/>
      <c r="AE470" s="408"/>
      <c r="AF470" s="408"/>
      <c r="AG470" s="304">
        <f t="shared" si="128"/>
        <v>2275590.26</v>
      </c>
      <c r="AH470" s="304">
        <f t="shared" si="129"/>
        <v>2275590.26</v>
      </c>
      <c r="AI470" s="304">
        <f t="shared" si="130"/>
        <v>0</v>
      </c>
      <c r="AJ470" s="408"/>
      <c r="AK470" s="408"/>
      <c r="AL470" s="408"/>
      <c r="AM470" s="408"/>
      <c r="AN470" s="304">
        <f t="shared" si="131"/>
        <v>2275590.26</v>
      </c>
      <c r="AO470" s="408">
        <v>2275590.26</v>
      </c>
      <c r="AP470" s="408"/>
      <c r="AQ470" s="408"/>
      <c r="AR470" s="408"/>
      <c r="AS470" s="304">
        <f t="shared" si="132"/>
        <v>0</v>
      </c>
      <c r="AT470" s="408"/>
      <c r="AU470" s="408"/>
      <c r="AV470" s="408"/>
      <c r="AW470" s="408"/>
      <c r="AX470" s="304">
        <f t="shared" si="133"/>
        <v>0</v>
      </c>
      <c r="AY470" s="408"/>
      <c r="AZ470" s="408"/>
      <c r="BA470" s="408"/>
      <c r="BB470" s="408"/>
      <c r="BC470" s="408"/>
      <c r="BD470" s="408"/>
      <c r="BE470" s="409"/>
      <c r="BF470" s="238" t="s">
        <v>53</v>
      </c>
      <c r="BG470" s="263" t="s">
        <v>54</v>
      </c>
      <c r="BH470" s="306" t="s">
        <v>279</v>
      </c>
    </row>
    <row r="471" s="270" customFormat="1" ht="15" hidden="1" spans="1:60">
      <c r="A471" s="301">
        <v>464</v>
      </c>
      <c r="B471" s="404" t="s">
        <v>19</v>
      </c>
      <c r="C471" s="404" t="s">
        <v>20</v>
      </c>
      <c r="D471" s="405">
        <v>2018</v>
      </c>
      <c r="E471" s="406" t="s">
        <v>696</v>
      </c>
      <c r="F471" s="405" t="s">
        <v>53</v>
      </c>
      <c r="G471" s="407" t="s">
        <v>56</v>
      </c>
      <c r="H471" s="304">
        <f t="shared" si="122"/>
        <v>4992900</v>
      </c>
      <c r="I471" s="332">
        <f t="shared" si="123"/>
        <v>4992900</v>
      </c>
      <c r="J471" s="304">
        <f t="shared" si="124"/>
        <v>0</v>
      </c>
      <c r="K471" s="408"/>
      <c r="L471" s="408"/>
      <c r="M471" s="408"/>
      <c r="N471" s="408"/>
      <c r="O471" s="304">
        <f t="shared" si="125"/>
        <v>4992900</v>
      </c>
      <c r="P471" s="408">
        <v>4992900</v>
      </c>
      <c r="Q471" s="408"/>
      <c r="R471" s="408"/>
      <c r="S471" s="409"/>
      <c r="T471" s="304">
        <f t="shared" si="126"/>
        <v>0</v>
      </c>
      <c r="U471" s="410"/>
      <c r="V471" s="408"/>
      <c r="W471" s="408"/>
      <c r="X471" s="408"/>
      <c r="Y471" s="304">
        <f t="shared" si="127"/>
        <v>0</v>
      </c>
      <c r="Z471" s="408"/>
      <c r="AA471" s="408"/>
      <c r="AB471" s="408"/>
      <c r="AC471" s="408"/>
      <c r="AD471" s="408"/>
      <c r="AE471" s="408"/>
      <c r="AF471" s="408"/>
      <c r="AG471" s="304">
        <f t="shared" si="128"/>
        <v>4630445.97</v>
      </c>
      <c r="AH471" s="304">
        <f t="shared" si="129"/>
        <v>4630445.97</v>
      </c>
      <c r="AI471" s="304">
        <f t="shared" si="130"/>
        <v>0</v>
      </c>
      <c r="AJ471" s="408"/>
      <c r="AK471" s="408"/>
      <c r="AL471" s="408"/>
      <c r="AM471" s="408"/>
      <c r="AN471" s="304">
        <f t="shared" si="131"/>
        <v>4630445.97</v>
      </c>
      <c r="AO471" s="408">
        <v>4630445.97</v>
      </c>
      <c r="AP471" s="408"/>
      <c r="AQ471" s="408"/>
      <c r="AR471" s="408"/>
      <c r="AS471" s="304">
        <f t="shared" si="132"/>
        <v>0</v>
      </c>
      <c r="AT471" s="408"/>
      <c r="AU471" s="408"/>
      <c r="AV471" s="408"/>
      <c r="AW471" s="408"/>
      <c r="AX471" s="304">
        <f t="shared" si="133"/>
        <v>0</v>
      </c>
      <c r="AY471" s="408"/>
      <c r="AZ471" s="408"/>
      <c r="BA471" s="408"/>
      <c r="BB471" s="408"/>
      <c r="BC471" s="408"/>
      <c r="BD471" s="408"/>
      <c r="BE471" s="409"/>
      <c r="BF471" s="238" t="s">
        <v>53</v>
      </c>
      <c r="BG471" s="263" t="s">
        <v>54</v>
      </c>
      <c r="BH471" s="306" t="s">
        <v>63</v>
      </c>
    </row>
    <row r="472" s="77" customFormat="1" ht="15" hidden="1" spans="1:60">
      <c r="A472" s="301">
        <v>465</v>
      </c>
      <c r="B472" s="392" t="s">
        <v>19</v>
      </c>
      <c r="C472" s="392" t="s">
        <v>20</v>
      </c>
      <c r="D472" s="393">
        <v>2017</v>
      </c>
      <c r="E472" s="394" t="s">
        <v>697</v>
      </c>
      <c r="F472" s="393" t="s">
        <v>53</v>
      </c>
      <c r="G472" s="395" t="s">
        <v>53</v>
      </c>
      <c r="H472" s="310">
        <f t="shared" si="122"/>
        <v>2985200</v>
      </c>
      <c r="I472" s="311">
        <f t="shared" si="123"/>
        <v>2985200</v>
      </c>
      <c r="J472" s="310">
        <f t="shared" si="124"/>
        <v>0</v>
      </c>
      <c r="K472" s="396"/>
      <c r="L472" s="396"/>
      <c r="M472" s="396"/>
      <c r="N472" s="396"/>
      <c r="O472" s="310">
        <f t="shared" si="125"/>
        <v>2985200</v>
      </c>
      <c r="P472" s="396"/>
      <c r="Q472" s="396"/>
      <c r="R472" s="396">
        <v>2985200</v>
      </c>
      <c r="S472" s="397"/>
      <c r="T472" s="310">
        <f t="shared" si="126"/>
        <v>0</v>
      </c>
      <c r="U472" s="398"/>
      <c r="V472" s="396"/>
      <c r="W472" s="396"/>
      <c r="X472" s="396"/>
      <c r="Y472" s="310">
        <f t="shared" si="127"/>
        <v>0</v>
      </c>
      <c r="Z472" s="396"/>
      <c r="AA472" s="396"/>
      <c r="AB472" s="396"/>
      <c r="AC472" s="396"/>
      <c r="AD472" s="396"/>
      <c r="AE472" s="396"/>
      <c r="AF472" s="396"/>
      <c r="AG472" s="310">
        <f t="shared" si="128"/>
        <v>2985200</v>
      </c>
      <c r="AH472" s="310">
        <f t="shared" si="129"/>
        <v>2985200</v>
      </c>
      <c r="AI472" s="310">
        <f t="shared" si="130"/>
        <v>0</v>
      </c>
      <c r="AJ472" s="396"/>
      <c r="AK472" s="396"/>
      <c r="AL472" s="396"/>
      <c r="AM472" s="396"/>
      <c r="AN472" s="310">
        <f t="shared" si="131"/>
        <v>2985200</v>
      </c>
      <c r="AO472" s="396"/>
      <c r="AP472" s="396">
        <v>2985200</v>
      </c>
      <c r="AQ472" s="396"/>
      <c r="AR472" s="396"/>
      <c r="AS472" s="310">
        <f t="shared" si="132"/>
        <v>0</v>
      </c>
      <c r="AT472" s="396"/>
      <c r="AU472" s="396"/>
      <c r="AV472" s="396"/>
      <c r="AW472" s="396"/>
      <c r="AX472" s="310">
        <f t="shared" si="133"/>
        <v>0</v>
      </c>
      <c r="AY472" s="396"/>
      <c r="AZ472" s="396"/>
      <c r="BA472" s="396"/>
      <c r="BB472" s="396"/>
      <c r="BC472" s="396"/>
      <c r="BD472" s="396"/>
      <c r="BE472" s="397">
        <v>0</v>
      </c>
      <c r="BF472" s="127" t="s">
        <v>56</v>
      </c>
      <c r="BG472" s="128" t="s">
        <v>698</v>
      </c>
      <c r="BH472" s="133" t="s">
        <v>124</v>
      </c>
    </row>
    <row r="473" s="77" customFormat="1" ht="15" hidden="1" spans="1:60">
      <c r="A473" s="301">
        <v>466</v>
      </c>
      <c r="B473" s="392" t="s">
        <v>19</v>
      </c>
      <c r="C473" s="392" t="s">
        <v>20</v>
      </c>
      <c r="D473" s="393">
        <v>2017</v>
      </c>
      <c r="E473" s="394" t="s">
        <v>699</v>
      </c>
      <c r="F473" s="393" t="s">
        <v>53</v>
      </c>
      <c r="G473" s="395" t="s">
        <v>53</v>
      </c>
      <c r="H473" s="310">
        <f t="shared" si="122"/>
        <v>1766000</v>
      </c>
      <c r="I473" s="311">
        <f t="shared" si="123"/>
        <v>1766000</v>
      </c>
      <c r="J473" s="310">
        <f t="shared" si="124"/>
        <v>0</v>
      </c>
      <c r="K473" s="396"/>
      <c r="L473" s="396"/>
      <c r="M473" s="396"/>
      <c r="N473" s="396"/>
      <c r="O473" s="310">
        <f t="shared" si="125"/>
        <v>1766000</v>
      </c>
      <c r="P473" s="396"/>
      <c r="Q473" s="396"/>
      <c r="R473" s="396">
        <v>1766000</v>
      </c>
      <c r="S473" s="397"/>
      <c r="T473" s="310">
        <f t="shared" si="126"/>
        <v>0</v>
      </c>
      <c r="U473" s="398"/>
      <c r="V473" s="396"/>
      <c r="W473" s="396"/>
      <c r="X473" s="396"/>
      <c r="Y473" s="310">
        <f t="shared" si="127"/>
        <v>0</v>
      </c>
      <c r="Z473" s="396"/>
      <c r="AA473" s="396"/>
      <c r="AB473" s="396"/>
      <c r="AC473" s="396"/>
      <c r="AD473" s="396"/>
      <c r="AE473" s="396"/>
      <c r="AF473" s="396"/>
      <c r="AG473" s="310">
        <f t="shared" si="128"/>
        <v>1766000</v>
      </c>
      <c r="AH473" s="310">
        <f t="shared" si="129"/>
        <v>1766000</v>
      </c>
      <c r="AI473" s="310">
        <f t="shared" si="130"/>
        <v>0</v>
      </c>
      <c r="AJ473" s="396"/>
      <c r="AK473" s="396"/>
      <c r="AL473" s="396"/>
      <c r="AM473" s="396"/>
      <c r="AN473" s="310">
        <f t="shared" si="131"/>
        <v>1766000</v>
      </c>
      <c r="AO473" s="396"/>
      <c r="AP473" s="396">
        <v>1766000</v>
      </c>
      <c r="AQ473" s="396"/>
      <c r="AR473" s="396"/>
      <c r="AS473" s="310">
        <f t="shared" si="132"/>
        <v>0</v>
      </c>
      <c r="AT473" s="396"/>
      <c r="AU473" s="396"/>
      <c r="AV473" s="396"/>
      <c r="AW473" s="396"/>
      <c r="AX473" s="310">
        <f t="shared" si="133"/>
        <v>0</v>
      </c>
      <c r="AY473" s="396"/>
      <c r="AZ473" s="396"/>
      <c r="BA473" s="396"/>
      <c r="BB473" s="396"/>
      <c r="BC473" s="396"/>
      <c r="BD473" s="396"/>
      <c r="BE473" s="397">
        <v>0</v>
      </c>
      <c r="BF473" s="127" t="s">
        <v>56</v>
      </c>
      <c r="BG473" s="128" t="s">
        <v>698</v>
      </c>
      <c r="BH473" s="133" t="s">
        <v>124</v>
      </c>
    </row>
    <row r="474" s="77" customFormat="1" ht="15" hidden="1" spans="1:60">
      <c r="A474" s="301">
        <v>467</v>
      </c>
      <c r="B474" s="392" t="s">
        <v>19</v>
      </c>
      <c r="C474" s="392" t="s">
        <v>20</v>
      </c>
      <c r="D474" s="393">
        <v>2017</v>
      </c>
      <c r="E474" s="394" t="s">
        <v>700</v>
      </c>
      <c r="F474" s="393" t="s">
        <v>53</v>
      </c>
      <c r="G474" s="395" t="s">
        <v>53</v>
      </c>
      <c r="H474" s="310">
        <f t="shared" si="122"/>
        <v>615242.105263158</v>
      </c>
      <c r="I474" s="311">
        <f t="shared" si="123"/>
        <v>615242.105263158</v>
      </c>
      <c r="J474" s="310">
        <f t="shared" si="124"/>
        <v>0</v>
      </c>
      <c r="K474" s="396"/>
      <c r="L474" s="396"/>
      <c r="M474" s="396"/>
      <c r="N474" s="396"/>
      <c r="O474" s="310">
        <f t="shared" si="125"/>
        <v>615242.105263158</v>
      </c>
      <c r="P474" s="396"/>
      <c r="Q474" s="396"/>
      <c r="R474" s="396"/>
      <c r="S474" s="397">
        <v>615242.105263158</v>
      </c>
      <c r="T474" s="310">
        <f t="shared" si="126"/>
        <v>0</v>
      </c>
      <c r="U474" s="398"/>
      <c r="V474" s="396"/>
      <c r="W474" s="396"/>
      <c r="X474" s="396"/>
      <c r="Y474" s="310">
        <f t="shared" si="127"/>
        <v>0</v>
      </c>
      <c r="Z474" s="396"/>
      <c r="AA474" s="396"/>
      <c r="AB474" s="396"/>
      <c r="AC474" s="396"/>
      <c r="AD474" s="396"/>
      <c r="AE474" s="396"/>
      <c r="AF474" s="396"/>
      <c r="AG474" s="310">
        <f t="shared" si="128"/>
        <v>615242.105263158</v>
      </c>
      <c r="AH474" s="310">
        <f t="shared" si="129"/>
        <v>615242.105263158</v>
      </c>
      <c r="AI474" s="310">
        <f t="shared" si="130"/>
        <v>0</v>
      </c>
      <c r="AJ474" s="396"/>
      <c r="AK474" s="396"/>
      <c r="AL474" s="396"/>
      <c r="AM474" s="396"/>
      <c r="AN474" s="310">
        <f t="shared" si="131"/>
        <v>615242.105263158</v>
      </c>
      <c r="AO474" s="396"/>
      <c r="AP474" s="396"/>
      <c r="AQ474" s="396">
        <v>615242.105263158</v>
      </c>
      <c r="AR474" s="396"/>
      <c r="AS474" s="310">
        <f t="shared" si="132"/>
        <v>0</v>
      </c>
      <c r="AT474" s="396"/>
      <c r="AU474" s="396"/>
      <c r="AV474" s="396"/>
      <c r="AW474" s="396"/>
      <c r="AX474" s="310">
        <f t="shared" si="133"/>
        <v>0</v>
      </c>
      <c r="AY474" s="396"/>
      <c r="AZ474" s="396"/>
      <c r="BA474" s="396"/>
      <c r="BB474" s="396"/>
      <c r="BC474" s="396"/>
      <c r="BD474" s="396"/>
      <c r="BE474" s="397">
        <v>0</v>
      </c>
      <c r="BF474" s="127" t="s">
        <v>56</v>
      </c>
      <c r="BG474" s="128" t="s">
        <v>698</v>
      </c>
      <c r="BH474" s="133" t="s">
        <v>124</v>
      </c>
    </row>
    <row r="475" s="77" customFormat="1" ht="15" hidden="1" spans="1:60">
      <c r="A475" s="301">
        <v>468</v>
      </c>
      <c r="B475" s="392" t="s">
        <v>19</v>
      </c>
      <c r="C475" s="392" t="s">
        <v>20</v>
      </c>
      <c r="D475" s="393">
        <v>2017</v>
      </c>
      <c r="E475" s="394" t="s">
        <v>701</v>
      </c>
      <c r="F475" s="393" t="s">
        <v>53</v>
      </c>
      <c r="G475" s="395" t="s">
        <v>53</v>
      </c>
      <c r="H475" s="310">
        <f t="shared" si="122"/>
        <v>212857.894736842</v>
      </c>
      <c r="I475" s="311">
        <f t="shared" si="123"/>
        <v>212857.894736842</v>
      </c>
      <c r="J475" s="310">
        <f t="shared" si="124"/>
        <v>0</v>
      </c>
      <c r="K475" s="396"/>
      <c r="L475" s="396"/>
      <c r="M475" s="396"/>
      <c r="N475" s="396"/>
      <c r="O475" s="310">
        <f t="shared" si="125"/>
        <v>212857.894736842</v>
      </c>
      <c r="P475" s="396"/>
      <c r="Q475" s="396"/>
      <c r="R475" s="396"/>
      <c r="S475" s="397">
        <v>212857.894736842</v>
      </c>
      <c r="T475" s="310">
        <f t="shared" si="126"/>
        <v>0</v>
      </c>
      <c r="U475" s="398"/>
      <c r="V475" s="396"/>
      <c r="W475" s="396"/>
      <c r="X475" s="396"/>
      <c r="Y475" s="310">
        <f t="shared" si="127"/>
        <v>0</v>
      </c>
      <c r="Z475" s="396"/>
      <c r="AA475" s="396"/>
      <c r="AB475" s="396"/>
      <c r="AC475" s="396"/>
      <c r="AD475" s="396"/>
      <c r="AE475" s="396"/>
      <c r="AF475" s="396"/>
      <c r="AG475" s="310">
        <f t="shared" si="128"/>
        <v>212857.894736842</v>
      </c>
      <c r="AH475" s="310">
        <f t="shared" si="129"/>
        <v>212857.894736842</v>
      </c>
      <c r="AI475" s="310">
        <f t="shared" si="130"/>
        <v>0</v>
      </c>
      <c r="AJ475" s="396"/>
      <c r="AK475" s="396"/>
      <c r="AL475" s="396"/>
      <c r="AM475" s="396"/>
      <c r="AN475" s="310">
        <f t="shared" si="131"/>
        <v>212857.894736842</v>
      </c>
      <c r="AO475" s="396"/>
      <c r="AP475" s="396"/>
      <c r="AQ475" s="396">
        <v>212857.894736842</v>
      </c>
      <c r="AR475" s="396"/>
      <c r="AS475" s="310">
        <f t="shared" si="132"/>
        <v>0</v>
      </c>
      <c r="AT475" s="396"/>
      <c r="AU475" s="396"/>
      <c r="AV475" s="396"/>
      <c r="AW475" s="396"/>
      <c r="AX475" s="310">
        <f t="shared" si="133"/>
        <v>0</v>
      </c>
      <c r="AY475" s="396"/>
      <c r="AZ475" s="396"/>
      <c r="BA475" s="396"/>
      <c r="BB475" s="396"/>
      <c r="BC475" s="396"/>
      <c r="BD475" s="396"/>
      <c r="BE475" s="397">
        <v>0</v>
      </c>
      <c r="BF475" s="127" t="s">
        <v>56</v>
      </c>
      <c r="BG475" s="128" t="s">
        <v>698</v>
      </c>
      <c r="BH475" s="133" t="s">
        <v>124</v>
      </c>
    </row>
    <row r="476" s="77" customFormat="1" ht="15" hidden="1" spans="1:60">
      <c r="A476" s="301">
        <v>469</v>
      </c>
      <c r="B476" s="392" t="s">
        <v>19</v>
      </c>
      <c r="C476" s="392" t="s">
        <v>20</v>
      </c>
      <c r="D476" s="393">
        <v>2017</v>
      </c>
      <c r="E476" s="394" t="s">
        <v>702</v>
      </c>
      <c r="F476" s="393" t="s">
        <v>53</v>
      </c>
      <c r="G476" s="395" t="s">
        <v>53</v>
      </c>
      <c r="H476" s="310">
        <f t="shared" si="122"/>
        <v>1948800</v>
      </c>
      <c r="I476" s="311">
        <f t="shared" si="123"/>
        <v>1948800</v>
      </c>
      <c r="J476" s="310">
        <f t="shared" si="124"/>
        <v>0</v>
      </c>
      <c r="K476" s="396"/>
      <c r="L476" s="396"/>
      <c r="M476" s="396"/>
      <c r="N476" s="396"/>
      <c r="O476" s="310">
        <f t="shared" si="125"/>
        <v>1948800</v>
      </c>
      <c r="P476" s="396"/>
      <c r="Q476" s="396"/>
      <c r="R476" s="396">
        <v>1948800</v>
      </c>
      <c r="S476" s="397"/>
      <c r="T476" s="310">
        <f t="shared" si="126"/>
        <v>0</v>
      </c>
      <c r="U476" s="398"/>
      <c r="V476" s="396"/>
      <c r="W476" s="396"/>
      <c r="X476" s="396"/>
      <c r="Y476" s="310">
        <f t="shared" si="127"/>
        <v>0</v>
      </c>
      <c r="Z476" s="396"/>
      <c r="AA476" s="396"/>
      <c r="AB476" s="396"/>
      <c r="AC476" s="396"/>
      <c r="AD476" s="396"/>
      <c r="AE476" s="396"/>
      <c r="AF476" s="396"/>
      <c r="AG476" s="310">
        <f t="shared" si="128"/>
        <v>1948800</v>
      </c>
      <c r="AH476" s="310">
        <f t="shared" si="129"/>
        <v>1948800</v>
      </c>
      <c r="AI476" s="310">
        <f t="shared" si="130"/>
        <v>0</v>
      </c>
      <c r="AJ476" s="396"/>
      <c r="AK476" s="396"/>
      <c r="AL476" s="396"/>
      <c r="AM476" s="396"/>
      <c r="AN476" s="310">
        <f t="shared" si="131"/>
        <v>1948800</v>
      </c>
      <c r="AO476" s="396"/>
      <c r="AP476" s="396">
        <v>1948800</v>
      </c>
      <c r="AQ476" s="396"/>
      <c r="AR476" s="396"/>
      <c r="AS476" s="310">
        <f t="shared" si="132"/>
        <v>0</v>
      </c>
      <c r="AT476" s="396"/>
      <c r="AU476" s="396"/>
      <c r="AV476" s="396"/>
      <c r="AW476" s="396"/>
      <c r="AX476" s="310">
        <f t="shared" si="133"/>
        <v>0</v>
      </c>
      <c r="AY476" s="396"/>
      <c r="AZ476" s="396"/>
      <c r="BA476" s="396"/>
      <c r="BB476" s="396"/>
      <c r="BC476" s="396"/>
      <c r="BD476" s="396"/>
      <c r="BE476" s="397">
        <v>0</v>
      </c>
      <c r="BF476" s="127" t="s">
        <v>56</v>
      </c>
      <c r="BG476" s="128" t="s">
        <v>698</v>
      </c>
      <c r="BH476" s="133" t="s">
        <v>124</v>
      </c>
    </row>
    <row r="477" s="77" customFormat="1" ht="15" hidden="1" spans="1:60">
      <c r="A477" s="301">
        <v>470</v>
      </c>
      <c r="B477" s="392" t="s">
        <v>19</v>
      </c>
      <c r="C477" s="392" t="s">
        <v>20</v>
      </c>
      <c r="D477" s="393">
        <v>2017</v>
      </c>
      <c r="E477" s="394" t="s">
        <v>703</v>
      </c>
      <c r="F477" s="393" t="s">
        <v>53</v>
      </c>
      <c r="G477" s="395" t="s">
        <v>53</v>
      </c>
      <c r="H477" s="310">
        <f t="shared" si="122"/>
        <v>3040600</v>
      </c>
      <c r="I477" s="311">
        <f t="shared" si="123"/>
        <v>3040600</v>
      </c>
      <c r="J477" s="310">
        <f t="shared" si="124"/>
        <v>0</v>
      </c>
      <c r="K477" s="396"/>
      <c r="L477" s="396"/>
      <c r="M477" s="396"/>
      <c r="N477" s="396"/>
      <c r="O477" s="310">
        <f t="shared" si="125"/>
        <v>3040600</v>
      </c>
      <c r="P477" s="396"/>
      <c r="Q477" s="396">
        <v>3040600</v>
      </c>
      <c r="R477" s="396"/>
      <c r="S477" s="397"/>
      <c r="T477" s="310">
        <f t="shared" si="126"/>
        <v>0</v>
      </c>
      <c r="U477" s="398"/>
      <c r="V477" s="396"/>
      <c r="W477" s="396"/>
      <c r="X477" s="396"/>
      <c r="Y477" s="310">
        <f t="shared" si="127"/>
        <v>0</v>
      </c>
      <c r="Z477" s="396"/>
      <c r="AA477" s="396"/>
      <c r="AB477" s="396"/>
      <c r="AC477" s="396"/>
      <c r="AD477" s="396"/>
      <c r="AE477" s="396"/>
      <c r="AF477" s="396"/>
      <c r="AG477" s="310">
        <f t="shared" si="128"/>
        <v>3040600</v>
      </c>
      <c r="AH477" s="310">
        <f t="shared" si="129"/>
        <v>3040600</v>
      </c>
      <c r="AI477" s="310">
        <f t="shared" si="130"/>
        <v>0</v>
      </c>
      <c r="AJ477" s="396"/>
      <c r="AK477" s="396"/>
      <c r="AL477" s="396"/>
      <c r="AM477" s="396"/>
      <c r="AN477" s="310">
        <f t="shared" si="131"/>
        <v>3040600</v>
      </c>
      <c r="AO477" s="396">
        <v>3040600</v>
      </c>
      <c r="AP477" s="396"/>
      <c r="AQ477" s="396"/>
      <c r="AR477" s="396"/>
      <c r="AS477" s="310">
        <f t="shared" si="132"/>
        <v>0</v>
      </c>
      <c r="AT477" s="396"/>
      <c r="AU477" s="396"/>
      <c r="AV477" s="396"/>
      <c r="AW477" s="396"/>
      <c r="AX477" s="310">
        <f t="shared" si="133"/>
        <v>0</v>
      </c>
      <c r="AY477" s="396"/>
      <c r="AZ477" s="396"/>
      <c r="BA477" s="396"/>
      <c r="BB477" s="396"/>
      <c r="BC477" s="396"/>
      <c r="BD477" s="396"/>
      <c r="BE477" s="397">
        <v>0</v>
      </c>
      <c r="BF477" s="127" t="s">
        <v>56</v>
      </c>
      <c r="BG477" s="128" t="s">
        <v>698</v>
      </c>
      <c r="BH477" s="133" t="s">
        <v>124</v>
      </c>
    </row>
    <row r="478" s="77" customFormat="1" ht="28" hidden="1" spans="1:60">
      <c r="A478" s="301">
        <v>471</v>
      </c>
      <c r="B478" s="392" t="s">
        <v>19</v>
      </c>
      <c r="C478" s="392" t="s">
        <v>20</v>
      </c>
      <c r="D478" s="393">
        <v>2018</v>
      </c>
      <c r="E478" s="394" t="s">
        <v>704</v>
      </c>
      <c r="F478" s="393" t="s">
        <v>53</v>
      </c>
      <c r="G478" s="395" t="s">
        <v>53</v>
      </c>
      <c r="H478" s="310">
        <f t="shared" si="122"/>
        <v>537500</v>
      </c>
      <c r="I478" s="311">
        <f t="shared" si="123"/>
        <v>537500</v>
      </c>
      <c r="J478" s="310">
        <f t="shared" si="124"/>
        <v>0</v>
      </c>
      <c r="K478" s="396"/>
      <c r="L478" s="396"/>
      <c r="M478" s="396"/>
      <c r="N478" s="396"/>
      <c r="O478" s="310">
        <f t="shared" si="125"/>
        <v>537500</v>
      </c>
      <c r="P478" s="396"/>
      <c r="Q478" s="396"/>
      <c r="R478" s="396">
        <v>537500</v>
      </c>
      <c r="S478" s="397"/>
      <c r="T478" s="310">
        <f t="shared" si="126"/>
        <v>0</v>
      </c>
      <c r="U478" s="398"/>
      <c r="V478" s="396"/>
      <c r="W478" s="396"/>
      <c r="X478" s="396"/>
      <c r="Y478" s="310">
        <f t="shared" si="127"/>
        <v>0</v>
      </c>
      <c r="Z478" s="396"/>
      <c r="AA478" s="396"/>
      <c r="AB478" s="396"/>
      <c r="AC478" s="396"/>
      <c r="AD478" s="396"/>
      <c r="AE478" s="396"/>
      <c r="AF478" s="396"/>
      <c r="AG478" s="310">
        <f t="shared" si="128"/>
        <v>537500</v>
      </c>
      <c r="AH478" s="310">
        <f t="shared" si="129"/>
        <v>537500</v>
      </c>
      <c r="AI478" s="310">
        <f t="shared" si="130"/>
        <v>0</v>
      </c>
      <c r="AJ478" s="396"/>
      <c r="AK478" s="396"/>
      <c r="AL478" s="396"/>
      <c r="AM478" s="396"/>
      <c r="AN478" s="310">
        <f t="shared" si="131"/>
        <v>537500</v>
      </c>
      <c r="AO478" s="396"/>
      <c r="AP478" s="396"/>
      <c r="AQ478" s="396">
        <v>537500</v>
      </c>
      <c r="AR478" s="396"/>
      <c r="AS478" s="310">
        <f t="shared" si="132"/>
        <v>0</v>
      </c>
      <c r="AT478" s="396"/>
      <c r="AU478" s="396"/>
      <c r="AV478" s="396"/>
      <c r="AW478" s="396"/>
      <c r="AX478" s="310">
        <f t="shared" si="133"/>
        <v>0</v>
      </c>
      <c r="AY478" s="396"/>
      <c r="AZ478" s="396"/>
      <c r="BA478" s="396"/>
      <c r="BB478" s="396"/>
      <c r="BC478" s="396"/>
      <c r="BD478" s="396"/>
      <c r="BE478" s="397">
        <v>0</v>
      </c>
      <c r="BF478" s="127" t="s">
        <v>56</v>
      </c>
      <c r="BG478" s="128" t="s">
        <v>162</v>
      </c>
      <c r="BH478" s="133" t="s">
        <v>705</v>
      </c>
    </row>
    <row r="479" s="77" customFormat="1" hidden="1" customHeight="1" spans="1:60">
      <c r="A479" s="301">
        <v>472</v>
      </c>
      <c r="B479" s="392" t="s">
        <v>19</v>
      </c>
      <c r="C479" s="392" t="s">
        <v>20</v>
      </c>
      <c r="D479" s="411">
        <v>2013</v>
      </c>
      <c r="E479" s="412" t="s">
        <v>706</v>
      </c>
      <c r="F479" s="393" t="s">
        <v>53</v>
      </c>
      <c r="G479" s="393" t="s">
        <v>56</v>
      </c>
      <c r="H479" s="310">
        <f t="shared" si="122"/>
        <v>550000</v>
      </c>
      <c r="I479" s="311">
        <f t="shared" si="123"/>
        <v>500000</v>
      </c>
      <c r="J479" s="310">
        <f t="shared" si="124"/>
        <v>500000</v>
      </c>
      <c r="K479" s="396">
        <v>500000</v>
      </c>
      <c r="L479" s="413"/>
      <c r="M479" s="310"/>
      <c r="N479" s="310"/>
      <c r="O479" s="310">
        <f t="shared" si="125"/>
        <v>0</v>
      </c>
      <c r="P479" s="310"/>
      <c r="Q479" s="310"/>
      <c r="R479" s="310"/>
      <c r="S479" s="312"/>
      <c r="T479" s="310">
        <f t="shared" si="126"/>
        <v>0</v>
      </c>
      <c r="U479" s="391"/>
      <c r="V479" s="310"/>
      <c r="W479" s="310"/>
      <c r="X479" s="310"/>
      <c r="Y479" s="310">
        <f t="shared" si="127"/>
        <v>0</v>
      </c>
      <c r="Z479" s="310"/>
      <c r="AA479" s="310"/>
      <c r="AB479" s="310"/>
      <c r="AC479" s="310"/>
      <c r="AD479" s="310"/>
      <c r="AE479" s="310"/>
      <c r="AF479" s="310">
        <v>50000</v>
      </c>
      <c r="AG479" s="310">
        <f t="shared" si="128"/>
        <v>500000</v>
      </c>
      <c r="AH479" s="310">
        <f t="shared" si="129"/>
        <v>500000</v>
      </c>
      <c r="AI479" s="310">
        <f t="shared" si="130"/>
        <v>500000</v>
      </c>
      <c r="AJ479" s="310">
        <v>500000</v>
      </c>
      <c r="AK479" s="310"/>
      <c r="AL479" s="310"/>
      <c r="AM479" s="310"/>
      <c r="AN479" s="310">
        <f t="shared" si="131"/>
        <v>0</v>
      </c>
      <c r="AO479" s="310"/>
      <c r="AP479" s="310"/>
      <c r="AQ479" s="310"/>
      <c r="AR479" s="310"/>
      <c r="AS479" s="310">
        <f t="shared" si="132"/>
        <v>0</v>
      </c>
      <c r="AT479" s="310"/>
      <c r="AU479" s="310"/>
      <c r="AV479" s="310"/>
      <c r="AW479" s="310"/>
      <c r="AX479" s="310">
        <f t="shared" si="133"/>
        <v>0</v>
      </c>
      <c r="AY479" s="310"/>
      <c r="AZ479" s="310"/>
      <c r="BA479" s="310"/>
      <c r="BB479" s="310"/>
      <c r="BC479" s="310"/>
      <c r="BD479" s="310"/>
      <c r="BE479" s="312"/>
      <c r="BF479" s="127" t="s">
        <v>56</v>
      </c>
      <c r="BG479" s="128" t="s">
        <v>707</v>
      </c>
      <c r="BH479" s="133" t="s">
        <v>173</v>
      </c>
    </row>
    <row r="480" s="270" customFormat="1" ht="15" hidden="1" spans="1:60">
      <c r="A480" s="301">
        <v>473</v>
      </c>
      <c r="B480" s="404" t="s">
        <v>19</v>
      </c>
      <c r="C480" s="404" t="s">
        <v>20</v>
      </c>
      <c r="D480" s="414">
        <v>2013</v>
      </c>
      <c r="E480" s="415" t="s">
        <v>708</v>
      </c>
      <c r="F480" s="405" t="s">
        <v>53</v>
      </c>
      <c r="G480" s="405" t="s">
        <v>56</v>
      </c>
      <c r="H480" s="304">
        <f t="shared" si="122"/>
        <v>300000</v>
      </c>
      <c r="I480" s="332">
        <f t="shared" si="123"/>
        <v>300000</v>
      </c>
      <c r="J480" s="304">
        <f t="shared" si="124"/>
        <v>300000</v>
      </c>
      <c r="K480" s="408"/>
      <c r="L480" s="416">
        <v>300000</v>
      </c>
      <c r="M480" s="304"/>
      <c r="N480" s="304"/>
      <c r="O480" s="304">
        <f t="shared" si="125"/>
        <v>0</v>
      </c>
      <c r="P480" s="304"/>
      <c r="Q480" s="304"/>
      <c r="R480" s="304"/>
      <c r="S480" s="305"/>
      <c r="T480" s="304">
        <f t="shared" si="126"/>
        <v>0</v>
      </c>
      <c r="U480" s="417"/>
      <c r="V480" s="304"/>
      <c r="W480" s="304"/>
      <c r="X480" s="304"/>
      <c r="Y480" s="304">
        <f t="shared" si="127"/>
        <v>0</v>
      </c>
      <c r="Z480" s="304"/>
      <c r="AA480" s="304"/>
      <c r="AB480" s="304"/>
      <c r="AC480" s="304"/>
      <c r="AD480" s="304"/>
      <c r="AE480" s="304"/>
      <c r="AF480" s="304"/>
      <c r="AG480" s="304">
        <f t="shared" si="128"/>
        <v>300000</v>
      </c>
      <c r="AH480" s="304">
        <f t="shared" si="129"/>
        <v>300000</v>
      </c>
      <c r="AI480" s="304">
        <f t="shared" si="130"/>
        <v>300000</v>
      </c>
      <c r="AJ480" s="304"/>
      <c r="AK480" s="304">
        <v>300000</v>
      </c>
      <c r="AL480" s="304"/>
      <c r="AM480" s="304"/>
      <c r="AN480" s="304">
        <f t="shared" si="131"/>
        <v>0</v>
      </c>
      <c r="AO480" s="304"/>
      <c r="AP480" s="304"/>
      <c r="AQ480" s="304"/>
      <c r="AR480" s="304"/>
      <c r="AS480" s="304">
        <f t="shared" si="132"/>
        <v>0</v>
      </c>
      <c r="AT480" s="304"/>
      <c r="AU480" s="304"/>
      <c r="AV480" s="304"/>
      <c r="AW480" s="304"/>
      <c r="AX480" s="304">
        <f t="shared" si="133"/>
        <v>0</v>
      </c>
      <c r="AY480" s="304"/>
      <c r="AZ480" s="304"/>
      <c r="BA480" s="304"/>
      <c r="BB480" s="304"/>
      <c r="BC480" s="304"/>
      <c r="BD480" s="304"/>
      <c r="BE480" s="305"/>
      <c r="BF480" s="238" t="s">
        <v>53</v>
      </c>
      <c r="BG480" s="263" t="s">
        <v>54</v>
      </c>
      <c r="BH480" s="306" t="s">
        <v>173</v>
      </c>
    </row>
    <row r="481" s="77" customFormat="1" ht="15" hidden="1" spans="1:60">
      <c r="A481" s="301">
        <v>474</v>
      </c>
      <c r="B481" s="392" t="s">
        <v>19</v>
      </c>
      <c r="C481" s="392" t="s">
        <v>20</v>
      </c>
      <c r="D481" s="411">
        <v>2013</v>
      </c>
      <c r="E481" s="412" t="s">
        <v>709</v>
      </c>
      <c r="F481" s="393" t="s">
        <v>53</v>
      </c>
      <c r="G481" s="393" t="s">
        <v>56</v>
      </c>
      <c r="H481" s="310">
        <f t="shared" si="122"/>
        <v>500000</v>
      </c>
      <c r="I481" s="311">
        <f t="shared" si="123"/>
        <v>400000</v>
      </c>
      <c r="J481" s="310">
        <f t="shared" si="124"/>
        <v>400000</v>
      </c>
      <c r="K481" s="396">
        <v>400000</v>
      </c>
      <c r="L481" s="413"/>
      <c r="M481" s="310"/>
      <c r="N481" s="310"/>
      <c r="O481" s="310">
        <f t="shared" si="125"/>
        <v>0</v>
      </c>
      <c r="P481" s="310"/>
      <c r="Q481" s="310"/>
      <c r="R481" s="310"/>
      <c r="S481" s="312"/>
      <c r="T481" s="310">
        <f t="shared" si="126"/>
        <v>0</v>
      </c>
      <c r="U481" s="391"/>
      <c r="V481" s="310"/>
      <c r="W481" s="310"/>
      <c r="X481" s="310"/>
      <c r="Y481" s="310">
        <f t="shared" si="127"/>
        <v>0</v>
      </c>
      <c r="Z481" s="310"/>
      <c r="AA481" s="310"/>
      <c r="AB481" s="310"/>
      <c r="AC481" s="310"/>
      <c r="AD481" s="310"/>
      <c r="AE481" s="310"/>
      <c r="AF481" s="310">
        <v>100000</v>
      </c>
      <c r="AG481" s="310">
        <f t="shared" si="128"/>
        <v>500000</v>
      </c>
      <c r="AH481" s="310">
        <f t="shared" si="129"/>
        <v>400000</v>
      </c>
      <c r="AI481" s="310">
        <f t="shared" si="130"/>
        <v>400000</v>
      </c>
      <c r="AJ481" s="310">
        <v>400000</v>
      </c>
      <c r="AK481" s="310"/>
      <c r="AL481" s="310"/>
      <c r="AM481" s="310"/>
      <c r="AN481" s="310">
        <f t="shared" si="131"/>
        <v>0</v>
      </c>
      <c r="AO481" s="310"/>
      <c r="AP481" s="310"/>
      <c r="AQ481" s="310"/>
      <c r="AR481" s="310"/>
      <c r="AS481" s="310">
        <f t="shared" si="132"/>
        <v>0</v>
      </c>
      <c r="AT481" s="310"/>
      <c r="AU481" s="310"/>
      <c r="AV481" s="310"/>
      <c r="AW481" s="310"/>
      <c r="AX481" s="310">
        <f t="shared" si="133"/>
        <v>0</v>
      </c>
      <c r="AY481" s="310"/>
      <c r="AZ481" s="310"/>
      <c r="BA481" s="310"/>
      <c r="BB481" s="310"/>
      <c r="BC481" s="310"/>
      <c r="BD481" s="310"/>
      <c r="BE481" s="312">
        <v>100000</v>
      </c>
      <c r="BF481" s="127" t="s">
        <v>56</v>
      </c>
      <c r="BG481" s="128" t="s">
        <v>707</v>
      </c>
      <c r="BH481" s="133" t="s">
        <v>173</v>
      </c>
    </row>
    <row r="482" s="77" customFormat="1" ht="15" hidden="1" spans="1:60">
      <c r="A482" s="301">
        <v>475</v>
      </c>
      <c r="B482" s="392" t="s">
        <v>19</v>
      </c>
      <c r="C482" s="392" t="s">
        <v>20</v>
      </c>
      <c r="D482" s="411">
        <v>2013</v>
      </c>
      <c r="E482" s="412" t="s">
        <v>710</v>
      </c>
      <c r="F482" s="393" t="s">
        <v>53</v>
      </c>
      <c r="G482" s="393" t="s">
        <v>56</v>
      </c>
      <c r="H482" s="310">
        <f t="shared" si="122"/>
        <v>500000</v>
      </c>
      <c r="I482" s="311">
        <f t="shared" si="123"/>
        <v>450000</v>
      </c>
      <c r="J482" s="310">
        <f t="shared" si="124"/>
        <v>450000</v>
      </c>
      <c r="K482" s="396">
        <v>450000</v>
      </c>
      <c r="L482" s="413"/>
      <c r="M482" s="310"/>
      <c r="N482" s="310"/>
      <c r="O482" s="310">
        <f t="shared" si="125"/>
        <v>0</v>
      </c>
      <c r="P482" s="310"/>
      <c r="Q482" s="310"/>
      <c r="R482" s="310"/>
      <c r="S482" s="312"/>
      <c r="T482" s="310">
        <f t="shared" si="126"/>
        <v>0</v>
      </c>
      <c r="U482" s="391"/>
      <c r="V482" s="310"/>
      <c r="W482" s="310"/>
      <c r="X482" s="310"/>
      <c r="Y482" s="310">
        <f t="shared" si="127"/>
        <v>0</v>
      </c>
      <c r="Z482" s="310"/>
      <c r="AA482" s="310"/>
      <c r="AB482" s="310"/>
      <c r="AC482" s="310"/>
      <c r="AD482" s="310"/>
      <c r="AE482" s="310"/>
      <c r="AF482" s="310">
        <v>50000</v>
      </c>
      <c r="AG482" s="310">
        <f t="shared" si="128"/>
        <v>450000</v>
      </c>
      <c r="AH482" s="310">
        <f t="shared" si="129"/>
        <v>450000</v>
      </c>
      <c r="AI482" s="310">
        <f t="shared" si="130"/>
        <v>450000</v>
      </c>
      <c r="AJ482" s="310">
        <v>450000</v>
      </c>
      <c r="AK482" s="310"/>
      <c r="AL482" s="310"/>
      <c r="AM482" s="310"/>
      <c r="AN482" s="310">
        <f t="shared" si="131"/>
        <v>0</v>
      </c>
      <c r="AO482" s="310"/>
      <c r="AP482" s="310"/>
      <c r="AQ482" s="310"/>
      <c r="AR482" s="310"/>
      <c r="AS482" s="310">
        <f t="shared" si="132"/>
        <v>0</v>
      </c>
      <c r="AT482" s="310"/>
      <c r="AU482" s="310"/>
      <c r="AV482" s="310"/>
      <c r="AW482" s="310"/>
      <c r="AX482" s="310">
        <f t="shared" si="133"/>
        <v>0</v>
      </c>
      <c r="AY482" s="310"/>
      <c r="AZ482" s="310"/>
      <c r="BA482" s="310"/>
      <c r="BB482" s="310"/>
      <c r="BC482" s="310"/>
      <c r="BD482" s="310"/>
      <c r="BE482" s="312"/>
      <c r="BF482" s="127" t="s">
        <v>56</v>
      </c>
      <c r="BG482" s="128" t="s">
        <v>711</v>
      </c>
      <c r="BH482" s="133" t="s">
        <v>173</v>
      </c>
    </row>
    <row r="483" s="270" customFormat="1" ht="15" hidden="1" spans="1:60">
      <c r="A483" s="301">
        <v>476</v>
      </c>
      <c r="B483" s="404" t="s">
        <v>19</v>
      </c>
      <c r="C483" s="404" t="s">
        <v>20</v>
      </c>
      <c r="D483" s="414">
        <v>2013</v>
      </c>
      <c r="E483" s="415" t="s">
        <v>712</v>
      </c>
      <c r="F483" s="405" t="s">
        <v>53</v>
      </c>
      <c r="G483" s="405" t="s">
        <v>56</v>
      </c>
      <c r="H483" s="304">
        <f t="shared" si="122"/>
        <v>420000</v>
      </c>
      <c r="I483" s="332">
        <f t="shared" si="123"/>
        <v>400000</v>
      </c>
      <c r="J483" s="304">
        <f t="shared" si="124"/>
        <v>400000</v>
      </c>
      <c r="K483" s="408">
        <v>400000</v>
      </c>
      <c r="L483" s="416"/>
      <c r="M483" s="304"/>
      <c r="N483" s="304"/>
      <c r="O483" s="304">
        <f t="shared" si="125"/>
        <v>0</v>
      </c>
      <c r="P483" s="304"/>
      <c r="Q483" s="304"/>
      <c r="R483" s="304"/>
      <c r="S483" s="305"/>
      <c r="T483" s="304">
        <f t="shared" si="126"/>
        <v>0</v>
      </c>
      <c r="U483" s="417"/>
      <c r="V483" s="304"/>
      <c r="W483" s="304"/>
      <c r="X483" s="304"/>
      <c r="Y483" s="304">
        <f t="shared" si="127"/>
        <v>0</v>
      </c>
      <c r="Z483" s="304"/>
      <c r="AA483" s="304"/>
      <c r="AB483" s="304"/>
      <c r="AC483" s="304"/>
      <c r="AD483" s="304"/>
      <c r="AE483" s="304"/>
      <c r="AF483" s="304">
        <v>20000</v>
      </c>
      <c r="AG483" s="304">
        <f t="shared" si="128"/>
        <v>420000</v>
      </c>
      <c r="AH483" s="304">
        <f t="shared" si="129"/>
        <v>400000</v>
      </c>
      <c r="AI483" s="304">
        <f t="shared" si="130"/>
        <v>400000</v>
      </c>
      <c r="AJ483" s="304">
        <v>400000</v>
      </c>
      <c r="AK483" s="304"/>
      <c r="AL483" s="304"/>
      <c r="AM483" s="304"/>
      <c r="AN483" s="304">
        <f t="shared" si="131"/>
        <v>0</v>
      </c>
      <c r="AO483" s="304"/>
      <c r="AP483" s="304"/>
      <c r="AQ483" s="304"/>
      <c r="AR483" s="304"/>
      <c r="AS483" s="304">
        <f t="shared" si="132"/>
        <v>0</v>
      </c>
      <c r="AT483" s="304"/>
      <c r="AU483" s="304"/>
      <c r="AV483" s="304"/>
      <c r="AW483" s="304"/>
      <c r="AX483" s="304">
        <f t="shared" si="133"/>
        <v>0</v>
      </c>
      <c r="AY483" s="304"/>
      <c r="AZ483" s="304"/>
      <c r="BA483" s="304"/>
      <c r="BB483" s="304"/>
      <c r="BC483" s="304"/>
      <c r="BD483" s="304"/>
      <c r="BE483" s="305">
        <v>20000</v>
      </c>
      <c r="BF483" s="238" t="s">
        <v>53</v>
      </c>
      <c r="BG483" s="263" t="s">
        <v>713</v>
      </c>
      <c r="BH483" s="306" t="s">
        <v>173</v>
      </c>
    </row>
    <row r="484" s="270" customFormat="1" ht="15" hidden="1" spans="1:60">
      <c r="A484" s="301">
        <v>477</v>
      </c>
      <c r="B484" s="404" t="s">
        <v>19</v>
      </c>
      <c r="C484" s="404" t="s">
        <v>20</v>
      </c>
      <c r="D484" s="414">
        <v>2014</v>
      </c>
      <c r="E484" s="415" t="s">
        <v>714</v>
      </c>
      <c r="F484" s="405" t="s">
        <v>53</v>
      </c>
      <c r="G484" s="405" t="s">
        <v>56</v>
      </c>
      <c r="H484" s="304">
        <f t="shared" si="122"/>
        <v>500000</v>
      </c>
      <c r="I484" s="332">
        <f t="shared" si="123"/>
        <v>480000</v>
      </c>
      <c r="J484" s="304">
        <f t="shared" si="124"/>
        <v>480000</v>
      </c>
      <c r="K484" s="408">
        <v>480000</v>
      </c>
      <c r="L484" s="416"/>
      <c r="M484" s="304"/>
      <c r="N484" s="304"/>
      <c r="O484" s="304">
        <f t="shared" si="125"/>
        <v>0</v>
      </c>
      <c r="P484" s="304"/>
      <c r="Q484" s="304"/>
      <c r="R484" s="304"/>
      <c r="S484" s="305"/>
      <c r="T484" s="304">
        <f t="shared" si="126"/>
        <v>0</v>
      </c>
      <c r="U484" s="417"/>
      <c r="V484" s="304"/>
      <c r="W484" s="304"/>
      <c r="X484" s="304"/>
      <c r="Y484" s="304">
        <f t="shared" si="127"/>
        <v>0</v>
      </c>
      <c r="Z484" s="304"/>
      <c r="AA484" s="304"/>
      <c r="AB484" s="304"/>
      <c r="AC484" s="304"/>
      <c r="AD484" s="304"/>
      <c r="AE484" s="304"/>
      <c r="AF484" s="304">
        <v>20000</v>
      </c>
      <c r="AG484" s="304">
        <f t="shared" si="128"/>
        <v>480000</v>
      </c>
      <c r="AH484" s="304">
        <f t="shared" si="129"/>
        <v>480000</v>
      </c>
      <c r="AI484" s="304">
        <f t="shared" si="130"/>
        <v>480000</v>
      </c>
      <c r="AJ484" s="304">
        <v>480000</v>
      </c>
      <c r="AK484" s="304"/>
      <c r="AL484" s="304"/>
      <c r="AM484" s="304"/>
      <c r="AN484" s="304">
        <f t="shared" si="131"/>
        <v>0</v>
      </c>
      <c r="AO484" s="304"/>
      <c r="AP484" s="304"/>
      <c r="AQ484" s="304"/>
      <c r="AR484" s="304"/>
      <c r="AS484" s="304">
        <f t="shared" si="132"/>
        <v>0</v>
      </c>
      <c r="AT484" s="304"/>
      <c r="AU484" s="304"/>
      <c r="AV484" s="304"/>
      <c r="AW484" s="304"/>
      <c r="AX484" s="304">
        <f t="shared" si="133"/>
        <v>0</v>
      </c>
      <c r="AY484" s="304"/>
      <c r="AZ484" s="304"/>
      <c r="BA484" s="304"/>
      <c r="BB484" s="304"/>
      <c r="BC484" s="304"/>
      <c r="BD484" s="304"/>
      <c r="BE484" s="305"/>
      <c r="BF484" s="238" t="s">
        <v>53</v>
      </c>
      <c r="BG484" s="263" t="s">
        <v>715</v>
      </c>
      <c r="BH484" s="306" t="s">
        <v>173</v>
      </c>
    </row>
    <row r="485" s="77" customFormat="1" ht="15" hidden="1" spans="1:60">
      <c r="A485" s="301">
        <v>478</v>
      </c>
      <c r="B485" s="392" t="s">
        <v>19</v>
      </c>
      <c r="C485" s="392" t="s">
        <v>20</v>
      </c>
      <c r="D485" s="411">
        <v>2013</v>
      </c>
      <c r="E485" s="412" t="s">
        <v>716</v>
      </c>
      <c r="F485" s="393" t="s">
        <v>53</v>
      </c>
      <c r="G485" s="393" t="s">
        <v>56</v>
      </c>
      <c r="H485" s="310">
        <f t="shared" si="122"/>
        <v>600000</v>
      </c>
      <c r="I485" s="311">
        <f t="shared" si="123"/>
        <v>550000</v>
      </c>
      <c r="J485" s="310">
        <f t="shared" si="124"/>
        <v>550000</v>
      </c>
      <c r="K485" s="396">
        <v>550000</v>
      </c>
      <c r="L485" s="413"/>
      <c r="M485" s="310"/>
      <c r="N485" s="310"/>
      <c r="O485" s="310">
        <f t="shared" si="125"/>
        <v>0</v>
      </c>
      <c r="P485" s="310"/>
      <c r="Q485" s="310"/>
      <c r="R485" s="310"/>
      <c r="S485" s="312"/>
      <c r="T485" s="310">
        <f t="shared" si="126"/>
        <v>0</v>
      </c>
      <c r="U485" s="391"/>
      <c r="V485" s="310"/>
      <c r="W485" s="310"/>
      <c r="X485" s="310"/>
      <c r="Y485" s="310">
        <f t="shared" si="127"/>
        <v>0</v>
      </c>
      <c r="Z485" s="310"/>
      <c r="AA485" s="310"/>
      <c r="AB485" s="310"/>
      <c r="AC485" s="310"/>
      <c r="AD485" s="310"/>
      <c r="AE485" s="310"/>
      <c r="AF485" s="310">
        <v>50000</v>
      </c>
      <c r="AG485" s="310">
        <f t="shared" si="128"/>
        <v>550000</v>
      </c>
      <c r="AH485" s="310">
        <f t="shared" si="129"/>
        <v>550000</v>
      </c>
      <c r="AI485" s="310">
        <f t="shared" si="130"/>
        <v>550000</v>
      </c>
      <c r="AJ485" s="310">
        <v>550000</v>
      </c>
      <c r="AK485" s="310"/>
      <c r="AL485" s="310"/>
      <c r="AM485" s="310"/>
      <c r="AN485" s="310">
        <f t="shared" si="131"/>
        <v>0</v>
      </c>
      <c r="AO485" s="310"/>
      <c r="AP485" s="310"/>
      <c r="AQ485" s="310"/>
      <c r="AR485" s="310"/>
      <c r="AS485" s="310">
        <f t="shared" si="132"/>
        <v>0</v>
      </c>
      <c r="AT485" s="310"/>
      <c r="AU485" s="310"/>
      <c r="AV485" s="310"/>
      <c r="AW485" s="310"/>
      <c r="AX485" s="310">
        <f t="shared" si="133"/>
        <v>0</v>
      </c>
      <c r="AY485" s="310"/>
      <c r="AZ485" s="310"/>
      <c r="BA485" s="310"/>
      <c r="BB485" s="310"/>
      <c r="BC485" s="310"/>
      <c r="BD485" s="310"/>
      <c r="BE485" s="312"/>
      <c r="BF485" s="127" t="s">
        <v>56</v>
      </c>
      <c r="BG485" s="128" t="s">
        <v>711</v>
      </c>
      <c r="BH485" s="133" t="s">
        <v>173</v>
      </c>
    </row>
    <row r="486" s="270" customFormat="1" ht="15" hidden="1" spans="1:60">
      <c r="A486" s="301">
        <v>479</v>
      </c>
      <c r="B486" s="404" t="s">
        <v>19</v>
      </c>
      <c r="C486" s="404" t="s">
        <v>20</v>
      </c>
      <c r="D486" s="414">
        <v>2013</v>
      </c>
      <c r="E486" s="415" t="s">
        <v>717</v>
      </c>
      <c r="F486" s="405" t="s">
        <v>53</v>
      </c>
      <c r="G486" s="405" t="s">
        <v>56</v>
      </c>
      <c r="H486" s="304">
        <f t="shared" ref="H486:H494" si="134">I486+AF486</f>
        <v>1150000</v>
      </c>
      <c r="I486" s="332">
        <f t="shared" ref="I486:I494" si="135">O486+J486+T486+Y486+AE486+AC486+AD486</f>
        <v>1050000</v>
      </c>
      <c r="J486" s="304">
        <f t="shared" ref="J486:J494" si="136">N486+M486+L486+K486</f>
        <v>1050000</v>
      </c>
      <c r="K486" s="408">
        <v>1050000</v>
      </c>
      <c r="L486" s="416"/>
      <c r="M486" s="304"/>
      <c r="N486" s="304"/>
      <c r="O486" s="304">
        <f t="shared" ref="O486:O494" si="137">S486+R486+Q486+P486</f>
        <v>0</v>
      </c>
      <c r="P486" s="304"/>
      <c r="Q486" s="304"/>
      <c r="R486" s="304"/>
      <c r="S486" s="305"/>
      <c r="T486" s="304">
        <f t="shared" ref="T486:T494" si="138">U486+V486+W486+X486</f>
        <v>0</v>
      </c>
      <c r="U486" s="417"/>
      <c r="V486" s="304"/>
      <c r="W486" s="304"/>
      <c r="X486" s="304"/>
      <c r="Y486" s="304">
        <f t="shared" ref="Y486:Y494" si="139">AA486+Z486+AB486</f>
        <v>0</v>
      </c>
      <c r="Z486" s="304"/>
      <c r="AA486" s="304"/>
      <c r="AB486" s="304"/>
      <c r="AC486" s="304"/>
      <c r="AD486" s="304"/>
      <c r="AE486" s="304"/>
      <c r="AF486" s="304">
        <v>100000</v>
      </c>
      <c r="AG486" s="304">
        <f t="shared" ref="AG486:AG494" si="140">AH486+BE486</f>
        <v>1150000</v>
      </c>
      <c r="AH486" s="304">
        <f t="shared" ref="AH486:AH494" si="141">AN486+AI486+AS486+AX486+BD486+BB486+BC486</f>
        <v>1050000</v>
      </c>
      <c r="AI486" s="304">
        <f t="shared" ref="AI486:AI494" si="142">AM486+AL486+AK486+AJ486</f>
        <v>1050000</v>
      </c>
      <c r="AJ486" s="304">
        <v>1050000</v>
      </c>
      <c r="AK486" s="304"/>
      <c r="AL486" s="304"/>
      <c r="AM486" s="304"/>
      <c r="AN486" s="304">
        <f t="shared" ref="AN486:AN494" si="143">AR486+AQ486+AP486+AO486</f>
        <v>0</v>
      </c>
      <c r="AO486" s="304"/>
      <c r="AP486" s="304"/>
      <c r="AQ486" s="304"/>
      <c r="AR486" s="304"/>
      <c r="AS486" s="304">
        <f t="shared" ref="AS486:AS494" si="144">AW486+AV486+AU486+AT486</f>
        <v>0</v>
      </c>
      <c r="AT486" s="304"/>
      <c r="AU486" s="304"/>
      <c r="AV486" s="304"/>
      <c r="AW486" s="304"/>
      <c r="AX486" s="304">
        <f t="shared" ref="AX486:AX494" si="145">AZ486+AY486+BA486</f>
        <v>0</v>
      </c>
      <c r="AY486" s="304"/>
      <c r="AZ486" s="304"/>
      <c r="BA486" s="304"/>
      <c r="BB486" s="304"/>
      <c r="BC486" s="304"/>
      <c r="BD486" s="304"/>
      <c r="BE486" s="305">
        <v>100000</v>
      </c>
      <c r="BF486" s="238" t="s">
        <v>53</v>
      </c>
      <c r="BG486" s="263" t="s">
        <v>718</v>
      </c>
      <c r="BH486" s="306" t="s">
        <v>173</v>
      </c>
    </row>
    <row r="487" s="270" customFormat="1" ht="15" hidden="1" spans="1:60">
      <c r="A487" s="301">
        <v>480</v>
      </c>
      <c r="B487" s="404" t="s">
        <v>19</v>
      </c>
      <c r="C487" s="404" t="s">
        <v>20</v>
      </c>
      <c r="D487" s="414">
        <v>2013</v>
      </c>
      <c r="E487" s="415" t="s">
        <v>719</v>
      </c>
      <c r="F487" s="405" t="s">
        <v>53</v>
      </c>
      <c r="G487" s="405" t="s">
        <v>56</v>
      </c>
      <c r="H487" s="304">
        <f t="shared" si="134"/>
        <v>450000</v>
      </c>
      <c r="I487" s="332">
        <f t="shared" si="135"/>
        <v>400000</v>
      </c>
      <c r="J487" s="304">
        <f t="shared" si="136"/>
        <v>400000</v>
      </c>
      <c r="K487" s="408">
        <v>400000</v>
      </c>
      <c r="L487" s="416"/>
      <c r="M487" s="304"/>
      <c r="N487" s="304"/>
      <c r="O487" s="304">
        <f t="shared" si="137"/>
        <v>0</v>
      </c>
      <c r="P487" s="304"/>
      <c r="Q487" s="304"/>
      <c r="R487" s="304"/>
      <c r="S487" s="305"/>
      <c r="T487" s="304">
        <f t="shared" si="138"/>
        <v>0</v>
      </c>
      <c r="U487" s="417"/>
      <c r="V487" s="304"/>
      <c r="W487" s="304"/>
      <c r="X487" s="304"/>
      <c r="Y487" s="304">
        <f t="shared" si="139"/>
        <v>0</v>
      </c>
      <c r="Z487" s="304"/>
      <c r="AA487" s="304"/>
      <c r="AB487" s="304"/>
      <c r="AC487" s="304"/>
      <c r="AD487" s="304"/>
      <c r="AE487" s="304"/>
      <c r="AF487" s="304">
        <v>50000</v>
      </c>
      <c r="AG487" s="304">
        <f t="shared" si="140"/>
        <v>450000</v>
      </c>
      <c r="AH487" s="304">
        <f t="shared" si="141"/>
        <v>400000</v>
      </c>
      <c r="AI487" s="304">
        <f t="shared" si="142"/>
        <v>400000</v>
      </c>
      <c r="AJ487" s="304">
        <v>400000</v>
      </c>
      <c r="AK487" s="304"/>
      <c r="AL487" s="304"/>
      <c r="AM487" s="304"/>
      <c r="AN487" s="304">
        <f t="shared" si="143"/>
        <v>0</v>
      </c>
      <c r="AO487" s="304"/>
      <c r="AP487" s="304"/>
      <c r="AQ487" s="304"/>
      <c r="AR487" s="304"/>
      <c r="AS487" s="304">
        <f t="shared" si="144"/>
        <v>0</v>
      </c>
      <c r="AT487" s="304"/>
      <c r="AU487" s="304"/>
      <c r="AV487" s="304"/>
      <c r="AW487" s="304"/>
      <c r="AX487" s="304">
        <f t="shared" si="145"/>
        <v>0</v>
      </c>
      <c r="AY487" s="304"/>
      <c r="AZ487" s="304"/>
      <c r="BA487" s="304"/>
      <c r="BB487" s="304"/>
      <c r="BC487" s="304"/>
      <c r="BD487" s="304"/>
      <c r="BE487" s="305">
        <v>50000</v>
      </c>
      <c r="BF487" s="238" t="s">
        <v>53</v>
      </c>
      <c r="BG487" s="263" t="s">
        <v>713</v>
      </c>
      <c r="BH487" s="306" t="s">
        <v>173</v>
      </c>
    </row>
    <row r="488" s="270" customFormat="1" ht="15" hidden="1" spans="1:60">
      <c r="A488" s="301">
        <v>481</v>
      </c>
      <c r="B488" s="404" t="s">
        <v>19</v>
      </c>
      <c r="C488" s="404" t="s">
        <v>20</v>
      </c>
      <c r="D488" s="333">
        <v>2013</v>
      </c>
      <c r="E488" s="418" t="s">
        <v>720</v>
      </c>
      <c r="F488" s="419" t="s">
        <v>53</v>
      </c>
      <c r="G488" s="419" t="s">
        <v>56</v>
      </c>
      <c r="H488" s="420">
        <f t="shared" si="134"/>
        <v>500000</v>
      </c>
      <c r="I488" s="421">
        <f t="shared" si="135"/>
        <v>450000</v>
      </c>
      <c r="J488" s="420">
        <f t="shared" si="136"/>
        <v>450000</v>
      </c>
      <c r="K488" s="422">
        <v>450000</v>
      </c>
      <c r="L488" s="423"/>
      <c r="M488" s="420"/>
      <c r="N488" s="420"/>
      <c r="O488" s="304">
        <f t="shared" si="137"/>
        <v>0</v>
      </c>
      <c r="P488" s="420"/>
      <c r="Q488" s="420"/>
      <c r="R488" s="420"/>
      <c r="S488" s="424"/>
      <c r="T488" s="304">
        <f t="shared" si="138"/>
        <v>0</v>
      </c>
      <c r="U488" s="425"/>
      <c r="V488" s="420"/>
      <c r="W488" s="420"/>
      <c r="X488" s="420"/>
      <c r="Y488" s="304">
        <f t="shared" si="139"/>
        <v>0</v>
      </c>
      <c r="Z488" s="420"/>
      <c r="AA488" s="420"/>
      <c r="AB488" s="420"/>
      <c r="AC488" s="420"/>
      <c r="AD488" s="420"/>
      <c r="AE488" s="420"/>
      <c r="AF488" s="420">
        <v>50000</v>
      </c>
      <c r="AG488" s="420">
        <f t="shared" si="140"/>
        <v>500000</v>
      </c>
      <c r="AH488" s="420">
        <f t="shared" si="141"/>
        <v>450000</v>
      </c>
      <c r="AI488" s="420">
        <f t="shared" si="142"/>
        <v>450000</v>
      </c>
      <c r="AJ488" s="420">
        <v>450000</v>
      </c>
      <c r="AK488" s="420"/>
      <c r="AL488" s="420"/>
      <c r="AM488" s="420"/>
      <c r="AN488" s="304">
        <f t="shared" si="143"/>
        <v>0</v>
      </c>
      <c r="AO488" s="420"/>
      <c r="AP488" s="420"/>
      <c r="AQ488" s="420"/>
      <c r="AR488" s="420"/>
      <c r="AS488" s="304">
        <f t="shared" si="144"/>
        <v>0</v>
      </c>
      <c r="AT488" s="420"/>
      <c r="AU488" s="420"/>
      <c r="AV488" s="420"/>
      <c r="AW488" s="420"/>
      <c r="AX488" s="304">
        <f t="shared" si="145"/>
        <v>0</v>
      </c>
      <c r="AY488" s="420"/>
      <c r="AZ488" s="420"/>
      <c r="BA488" s="420"/>
      <c r="BB488" s="420"/>
      <c r="BC488" s="420"/>
      <c r="BD488" s="420"/>
      <c r="BE488" s="424">
        <v>50000</v>
      </c>
      <c r="BF488" s="238" t="s">
        <v>53</v>
      </c>
      <c r="BG488" s="263" t="s">
        <v>713</v>
      </c>
      <c r="BH488" s="306" t="s">
        <v>173</v>
      </c>
    </row>
    <row r="489" s="270" customFormat="1" ht="15" hidden="1" spans="1:60">
      <c r="A489" s="301">
        <v>482</v>
      </c>
      <c r="B489" s="404" t="s">
        <v>19</v>
      </c>
      <c r="C489" s="404" t="s">
        <v>20</v>
      </c>
      <c r="D489" s="333">
        <v>2016</v>
      </c>
      <c r="E489" s="263" t="s">
        <v>721</v>
      </c>
      <c r="F489" s="419" t="s">
        <v>53</v>
      </c>
      <c r="G489" s="238" t="s">
        <v>53</v>
      </c>
      <c r="H489" s="304">
        <f t="shared" si="134"/>
        <v>13757600</v>
      </c>
      <c r="I489" s="332">
        <f t="shared" si="135"/>
        <v>13757600</v>
      </c>
      <c r="J489" s="420">
        <f t="shared" si="136"/>
        <v>13757600</v>
      </c>
      <c r="K489" s="304"/>
      <c r="L489" s="304"/>
      <c r="M489" s="304"/>
      <c r="N489" s="422">
        <f>1375.76*10000</f>
        <v>13757600</v>
      </c>
      <c r="O489" s="304">
        <f t="shared" si="137"/>
        <v>0</v>
      </c>
      <c r="P489" s="304"/>
      <c r="Q489" s="304"/>
      <c r="R489" s="304"/>
      <c r="S489" s="305"/>
      <c r="T489" s="304">
        <f t="shared" si="138"/>
        <v>0</v>
      </c>
      <c r="U489" s="417"/>
      <c r="V489" s="304"/>
      <c r="W489" s="304"/>
      <c r="X489" s="304"/>
      <c r="Y489" s="304">
        <f t="shared" si="139"/>
        <v>0</v>
      </c>
      <c r="Z489" s="304"/>
      <c r="AA489" s="304"/>
      <c r="AB489" s="304"/>
      <c r="AC489" s="304"/>
      <c r="AD489" s="304"/>
      <c r="AE489" s="304"/>
      <c r="AF489" s="304"/>
      <c r="AG489" s="304">
        <f t="shared" si="140"/>
        <v>12828329.53</v>
      </c>
      <c r="AH489" s="420">
        <f t="shared" si="141"/>
        <v>12828329.53</v>
      </c>
      <c r="AI489" s="420">
        <f t="shared" si="142"/>
        <v>12828329.53</v>
      </c>
      <c r="AJ489" s="304"/>
      <c r="AK489" s="304"/>
      <c r="AL489" s="304"/>
      <c r="AM489" s="304">
        <v>12828329.53</v>
      </c>
      <c r="AN489" s="304">
        <f t="shared" si="143"/>
        <v>0</v>
      </c>
      <c r="AO489" s="304"/>
      <c r="AP489" s="304"/>
      <c r="AQ489" s="304"/>
      <c r="AR489" s="304"/>
      <c r="AS489" s="304">
        <f t="shared" si="144"/>
        <v>0</v>
      </c>
      <c r="AT489" s="304"/>
      <c r="AU489" s="304"/>
      <c r="AV489" s="304"/>
      <c r="AW489" s="304"/>
      <c r="AX489" s="304">
        <f t="shared" si="145"/>
        <v>0</v>
      </c>
      <c r="AY489" s="304"/>
      <c r="AZ489" s="304"/>
      <c r="BA489" s="304"/>
      <c r="BB489" s="304"/>
      <c r="BC489" s="304"/>
      <c r="BD489" s="304"/>
      <c r="BE489" s="305"/>
      <c r="BF489" s="238" t="s">
        <v>53</v>
      </c>
      <c r="BG489" s="263" t="s">
        <v>520</v>
      </c>
      <c r="BH489" s="306"/>
    </row>
    <row r="490" s="270" customFormat="1" ht="15" hidden="1" spans="1:60">
      <c r="A490" s="301">
        <v>483</v>
      </c>
      <c r="B490" s="404" t="s">
        <v>19</v>
      </c>
      <c r="C490" s="404" t="s">
        <v>20</v>
      </c>
      <c r="D490" s="333">
        <v>2016</v>
      </c>
      <c r="E490" s="263" t="s">
        <v>722</v>
      </c>
      <c r="F490" s="419" t="s">
        <v>53</v>
      </c>
      <c r="G490" s="238" t="s">
        <v>53</v>
      </c>
      <c r="H490" s="304">
        <f t="shared" si="134"/>
        <v>8031500</v>
      </c>
      <c r="I490" s="332">
        <f t="shared" si="135"/>
        <v>8031500</v>
      </c>
      <c r="J490" s="420">
        <f t="shared" si="136"/>
        <v>8031500</v>
      </c>
      <c r="K490" s="304"/>
      <c r="L490" s="304"/>
      <c r="M490" s="304"/>
      <c r="N490" s="304">
        <v>8031500</v>
      </c>
      <c r="O490" s="304">
        <f t="shared" si="137"/>
        <v>0</v>
      </c>
      <c r="P490" s="304"/>
      <c r="Q490" s="304"/>
      <c r="R490" s="304"/>
      <c r="S490" s="305"/>
      <c r="T490" s="304">
        <f t="shared" si="138"/>
        <v>0</v>
      </c>
      <c r="U490" s="417"/>
      <c r="V490" s="304"/>
      <c r="W490" s="304"/>
      <c r="X490" s="304"/>
      <c r="Y490" s="304">
        <f t="shared" si="139"/>
        <v>0</v>
      </c>
      <c r="Z490" s="304"/>
      <c r="AA490" s="304"/>
      <c r="AB490" s="304"/>
      <c r="AC490" s="304"/>
      <c r="AD490" s="304"/>
      <c r="AE490" s="304"/>
      <c r="AF490" s="304"/>
      <c r="AG490" s="304">
        <f t="shared" si="140"/>
        <v>7552049.67</v>
      </c>
      <c r="AH490" s="420">
        <f t="shared" si="141"/>
        <v>7552049.67</v>
      </c>
      <c r="AI490" s="420">
        <f t="shared" si="142"/>
        <v>7552049.67</v>
      </c>
      <c r="AJ490" s="304"/>
      <c r="AK490" s="304"/>
      <c r="AL490" s="304"/>
      <c r="AM490" s="304">
        <v>7552049.67</v>
      </c>
      <c r="AN490" s="304">
        <f t="shared" si="143"/>
        <v>0</v>
      </c>
      <c r="AO490" s="304"/>
      <c r="AP490" s="304"/>
      <c r="AQ490" s="304"/>
      <c r="AR490" s="304"/>
      <c r="AS490" s="304">
        <f t="shared" si="144"/>
        <v>0</v>
      </c>
      <c r="AT490" s="304"/>
      <c r="AU490" s="304"/>
      <c r="AV490" s="304"/>
      <c r="AW490" s="304"/>
      <c r="AX490" s="304">
        <f t="shared" si="145"/>
        <v>0</v>
      </c>
      <c r="AY490" s="304"/>
      <c r="AZ490" s="304"/>
      <c r="BA490" s="304"/>
      <c r="BB490" s="304"/>
      <c r="BC490" s="304"/>
      <c r="BD490" s="304"/>
      <c r="BE490" s="305"/>
      <c r="BF490" s="238" t="s">
        <v>53</v>
      </c>
      <c r="BG490" s="263" t="s">
        <v>723</v>
      </c>
      <c r="BH490" s="306"/>
    </row>
    <row r="491" s="270" customFormat="1" ht="15" hidden="1" spans="1:60">
      <c r="A491" s="301">
        <v>484</v>
      </c>
      <c r="B491" s="404" t="s">
        <v>19</v>
      </c>
      <c r="C491" s="404" t="s">
        <v>20</v>
      </c>
      <c r="D491" s="333">
        <v>2017</v>
      </c>
      <c r="E491" s="426" t="s">
        <v>724</v>
      </c>
      <c r="F491" s="419" t="s">
        <v>53</v>
      </c>
      <c r="G491" s="238" t="s">
        <v>53</v>
      </c>
      <c r="H491" s="304">
        <f t="shared" si="134"/>
        <v>1050427</v>
      </c>
      <c r="I491" s="332">
        <f t="shared" si="135"/>
        <v>1050427</v>
      </c>
      <c r="J491" s="420">
        <f t="shared" si="136"/>
        <v>1050427</v>
      </c>
      <c r="K491" s="304"/>
      <c r="L491" s="304"/>
      <c r="M491" s="304"/>
      <c r="N491" s="304">
        <v>1050427</v>
      </c>
      <c r="O491" s="304">
        <f t="shared" si="137"/>
        <v>0</v>
      </c>
      <c r="P491" s="304"/>
      <c r="Q491" s="304"/>
      <c r="R491" s="304"/>
      <c r="S491" s="305"/>
      <c r="T491" s="304">
        <f t="shared" si="138"/>
        <v>0</v>
      </c>
      <c r="U491" s="417"/>
      <c r="V491" s="304"/>
      <c r="W491" s="304"/>
      <c r="X491" s="304"/>
      <c r="Y491" s="304">
        <f t="shared" si="139"/>
        <v>0</v>
      </c>
      <c r="Z491" s="304"/>
      <c r="AA491" s="304"/>
      <c r="AB491" s="304"/>
      <c r="AC491" s="304"/>
      <c r="AD491" s="304"/>
      <c r="AE491" s="304"/>
      <c r="AF491" s="304"/>
      <c r="AG491" s="304">
        <f t="shared" si="140"/>
        <v>1050427</v>
      </c>
      <c r="AH491" s="420">
        <f t="shared" si="141"/>
        <v>1050427</v>
      </c>
      <c r="AI491" s="420">
        <f t="shared" si="142"/>
        <v>1050427</v>
      </c>
      <c r="AJ491" s="304"/>
      <c r="AK491" s="304"/>
      <c r="AL491" s="304"/>
      <c r="AM491" s="304">
        <v>1050427</v>
      </c>
      <c r="AN491" s="304">
        <f t="shared" si="143"/>
        <v>0</v>
      </c>
      <c r="AO491" s="304"/>
      <c r="AP491" s="304"/>
      <c r="AQ491" s="304"/>
      <c r="AR491" s="304"/>
      <c r="AS491" s="304">
        <f t="shared" si="144"/>
        <v>0</v>
      </c>
      <c r="AT491" s="304"/>
      <c r="AU491" s="304"/>
      <c r="AV491" s="304"/>
      <c r="AW491" s="304"/>
      <c r="AX491" s="304">
        <f t="shared" si="145"/>
        <v>0</v>
      </c>
      <c r="AY491" s="304"/>
      <c r="AZ491" s="304"/>
      <c r="BA491" s="304"/>
      <c r="BB491" s="304"/>
      <c r="BC491" s="304"/>
      <c r="BD491" s="304"/>
      <c r="BE491" s="305"/>
      <c r="BF491" s="238" t="s">
        <v>53</v>
      </c>
      <c r="BG491" s="263" t="s">
        <v>54</v>
      </c>
      <c r="BH491" s="306" t="s">
        <v>725</v>
      </c>
    </row>
    <row r="492" s="270" customFormat="1" ht="15" hidden="1" spans="1:60">
      <c r="A492" s="301">
        <v>485</v>
      </c>
      <c r="B492" s="404" t="s">
        <v>19</v>
      </c>
      <c r="C492" s="404" t="s">
        <v>20</v>
      </c>
      <c r="D492" s="333">
        <v>2017</v>
      </c>
      <c r="E492" s="263" t="s">
        <v>726</v>
      </c>
      <c r="F492" s="419" t="s">
        <v>53</v>
      </c>
      <c r="G492" s="238" t="s">
        <v>53</v>
      </c>
      <c r="H492" s="304">
        <f t="shared" si="134"/>
        <v>78000000</v>
      </c>
      <c r="I492" s="332">
        <f t="shared" si="135"/>
        <v>78000000</v>
      </c>
      <c r="J492" s="420">
        <f t="shared" si="136"/>
        <v>78000000</v>
      </c>
      <c r="K492" s="304"/>
      <c r="L492" s="304"/>
      <c r="M492" s="304">
        <v>78000000</v>
      </c>
      <c r="N492" s="304"/>
      <c r="O492" s="304">
        <f t="shared" si="137"/>
        <v>0</v>
      </c>
      <c r="P492" s="304"/>
      <c r="Q492" s="304"/>
      <c r="R492" s="304"/>
      <c r="S492" s="305"/>
      <c r="T492" s="304">
        <f t="shared" si="138"/>
        <v>0</v>
      </c>
      <c r="U492" s="417"/>
      <c r="V492" s="304"/>
      <c r="W492" s="304"/>
      <c r="X492" s="304"/>
      <c r="Y492" s="304">
        <f t="shared" si="139"/>
        <v>0</v>
      </c>
      <c r="Z492" s="304"/>
      <c r="AA492" s="304"/>
      <c r="AB492" s="304"/>
      <c r="AC492" s="304"/>
      <c r="AD492" s="304"/>
      <c r="AE492" s="304"/>
      <c r="AF492" s="304"/>
      <c r="AG492" s="304">
        <f t="shared" si="140"/>
        <v>78000000</v>
      </c>
      <c r="AH492" s="304">
        <f t="shared" si="141"/>
        <v>78000000</v>
      </c>
      <c r="AI492" s="304">
        <f t="shared" si="142"/>
        <v>78000000</v>
      </c>
      <c r="AJ492" s="304"/>
      <c r="AK492" s="304"/>
      <c r="AL492" s="304">
        <v>78000000</v>
      </c>
      <c r="AM492" s="304"/>
      <c r="AN492" s="304">
        <f t="shared" si="143"/>
        <v>0</v>
      </c>
      <c r="AO492" s="304"/>
      <c r="AP492" s="304"/>
      <c r="AQ492" s="304"/>
      <c r="AR492" s="304"/>
      <c r="AS492" s="304">
        <f t="shared" si="144"/>
        <v>0</v>
      </c>
      <c r="AT492" s="304"/>
      <c r="AU492" s="304"/>
      <c r="AV492" s="304"/>
      <c r="AW492" s="304"/>
      <c r="AX492" s="304">
        <f t="shared" si="145"/>
        <v>0</v>
      </c>
      <c r="AY492" s="304"/>
      <c r="AZ492" s="304"/>
      <c r="BA492" s="304"/>
      <c r="BB492" s="304"/>
      <c r="BC492" s="304"/>
      <c r="BD492" s="304"/>
      <c r="BE492" s="305"/>
      <c r="BF492" s="238" t="s">
        <v>53</v>
      </c>
      <c r="BG492" s="263" t="s">
        <v>103</v>
      </c>
      <c r="BH492" s="306" t="s">
        <v>121</v>
      </c>
    </row>
    <row r="493" s="77" customFormat="1" ht="15" hidden="1" spans="1:60">
      <c r="A493" s="301">
        <v>486</v>
      </c>
      <c r="B493" s="427" t="s">
        <v>19</v>
      </c>
      <c r="C493" s="427" t="s">
        <v>20</v>
      </c>
      <c r="D493" s="399">
        <v>2019</v>
      </c>
      <c r="E493" s="400" t="s">
        <v>727</v>
      </c>
      <c r="F493" s="399" t="s">
        <v>53</v>
      </c>
      <c r="G493" s="428" t="s">
        <v>53</v>
      </c>
      <c r="H493" s="429">
        <f t="shared" si="134"/>
        <v>2251000</v>
      </c>
      <c r="I493" s="429">
        <f t="shared" si="135"/>
        <v>2251000</v>
      </c>
      <c r="J493" s="429">
        <f t="shared" si="136"/>
        <v>0</v>
      </c>
      <c r="K493" s="429"/>
      <c r="L493" s="429"/>
      <c r="M493" s="429"/>
      <c r="N493" s="429"/>
      <c r="O493" s="377">
        <f t="shared" si="137"/>
        <v>2251000</v>
      </c>
      <c r="P493" s="429"/>
      <c r="Q493" s="429">
        <v>2251000</v>
      </c>
      <c r="R493" s="429"/>
      <c r="S493" s="429"/>
      <c r="T493" s="429">
        <f t="shared" si="138"/>
        <v>0</v>
      </c>
      <c r="U493" s="429"/>
      <c r="V493" s="429"/>
      <c r="W493" s="429"/>
      <c r="X493" s="429"/>
      <c r="Y493" s="429">
        <f t="shared" si="139"/>
        <v>0</v>
      </c>
      <c r="Z493" s="429"/>
      <c r="AA493" s="429"/>
      <c r="AB493" s="429"/>
      <c r="AC493" s="429"/>
      <c r="AD493" s="429"/>
      <c r="AE493" s="429"/>
      <c r="AF493" s="429"/>
      <c r="AG493" s="429">
        <f t="shared" si="140"/>
        <v>2208203.73</v>
      </c>
      <c r="AH493" s="429">
        <f t="shared" si="141"/>
        <v>2208203.73</v>
      </c>
      <c r="AI493" s="429">
        <f t="shared" si="142"/>
        <v>0</v>
      </c>
      <c r="AJ493" s="429"/>
      <c r="AK493" s="429"/>
      <c r="AL493" s="429"/>
      <c r="AM493" s="429"/>
      <c r="AN493" s="377">
        <f t="shared" si="143"/>
        <v>2208203.73</v>
      </c>
      <c r="AO493" s="429"/>
      <c r="AP493" s="430">
        <v>2208203.73</v>
      </c>
      <c r="AQ493" s="429"/>
      <c r="AR493" s="429"/>
      <c r="AS493" s="429">
        <f t="shared" si="144"/>
        <v>0</v>
      </c>
      <c r="AT493" s="429"/>
      <c r="AU493" s="429"/>
      <c r="AV493" s="429"/>
      <c r="AW493" s="429"/>
      <c r="AX493" s="429">
        <f t="shared" si="145"/>
        <v>0</v>
      </c>
      <c r="AY493" s="429"/>
      <c r="AZ493" s="429"/>
      <c r="BA493" s="429"/>
      <c r="BB493" s="429"/>
      <c r="BC493" s="429"/>
      <c r="BD493" s="429"/>
      <c r="BE493" s="431">
        <v>0</v>
      </c>
      <c r="BF493" s="127" t="s">
        <v>56</v>
      </c>
      <c r="BG493" s="128" t="s">
        <v>62</v>
      </c>
      <c r="BH493" s="133" t="s">
        <v>456</v>
      </c>
    </row>
    <row r="494" ht="15" hidden="1" spans="1:60">
      <c r="A494" s="301">
        <v>487</v>
      </c>
      <c r="B494" s="127" t="s">
        <v>19</v>
      </c>
      <c r="C494" s="127" t="s">
        <v>20</v>
      </c>
      <c r="D494" s="432">
        <v>2020</v>
      </c>
      <c r="E494" s="128" t="s">
        <v>728</v>
      </c>
      <c r="F494" s="433" t="s">
        <v>53</v>
      </c>
      <c r="G494" s="241" t="s">
        <v>53</v>
      </c>
      <c r="H494" s="310">
        <f t="shared" ref="H494:H505" si="146">I494+AF494</f>
        <v>8960000</v>
      </c>
      <c r="I494" s="310">
        <f t="shared" ref="I494:I505" si="147">O494+J494+T494+Y494+AE494+AC494+AD494</f>
        <v>8960000</v>
      </c>
      <c r="J494" s="310">
        <f t="shared" ref="J494:J505" si="148">N494+M494+L494+K494</f>
        <v>0</v>
      </c>
      <c r="K494" s="434"/>
      <c r="L494" s="434"/>
      <c r="M494" s="434"/>
      <c r="N494" s="434"/>
      <c r="O494" s="377">
        <f t="shared" ref="O494:O505" si="149">S494+R494+Q494+P494</f>
        <v>8960000</v>
      </c>
      <c r="P494" s="434"/>
      <c r="Q494" s="434"/>
      <c r="R494" s="310"/>
      <c r="S494" s="434">
        <v>8960000</v>
      </c>
      <c r="T494" s="377">
        <f t="shared" ref="T494:T505" si="150">U494+V494+W494+X494</f>
        <v>0</v>
      </c>
      <c r="U494" s="434"/>
      <c r="V494" s="434"/>
      <c r="W494" s="434"/>
      <c r="X494" s="434"/>
      <c r="Y494" s="377">
        <f t="shared" ref="Y494:Y505" si="151">AA494+Z494+AB494</f>
        <v>0</v>
      </c>
      <c r="Z494" s="434"/>
      <c r="AA494" s="434"/>
      <c r="AB494" s="434"/>
      <c r="AC494" s="434"/>
      <c r="AD494" s="434"/>
      <c r="AE494" s="434"/>
      <c r="AF494" s="434"/>
      <c r="AG494" s="377">
        <f t="shared" ref="AG494:AG505" si="152">AH494+BE494</f>
        <v>8133813.96</v>
      </c>
      <c r="AH494" s="377">
        <f t="shared" ref="AH494:AH505" si="153">AN494+AI494+AS494+AX494+BD494+BB494+BC494</f>
        <v>8133813.96</v>
      </c>
      <c r="AI494" s="377">
        <f t="shared" ref="AI494:AI505" si="154">AM494+AL494+AK494+AJ494</f>
        <v>0</v>
      </c>
      <c r="AJ494" s="434"/>
      <c r="AK494" s="434"/>
      <c r="AL494" s="434"/>
      <c r="AM494" s="434"/>
      <c r="AN494" s="377">
        <f t="shared" ref="AN494:AN505" si="155">AR494+AQ494+AP494+AO494</f>
        <v>8133813.96</v>
      </c>
      <c r="AO494" s="434"/>
      <c r="AP494" s="434"/>
      <c r="AQ494" s="434"/>
      <c r="AR494" s="434">
        <f>813.381396*10000</f>
        <v>8133813.96</v>
      </c>
      <c r="AS494" s="377">
        <f t="shared" ref="AS494:AS505" si="156">AW494+AV494+AU494+AT494</f>
        <v>0</v>
      </c>
      <c r="AT494" s="434"/>
      <c r="AU494" s="434"/>
      <c r="AV494" s="434"/>
      <c r="AW494" s="434"/>
      <c r="AX494" s="377">
        <f t="shared" ref="AX494:AX505" si="157">AZ494+AY494+BA494</f>
        <v>0</v>
      </c>
      <c r="AY494" s="434"/>
      <c r="AZ494" s="434"/>
      <c r="BA494" s="434"/>
      <c r="BB494" s="434"/>
      <c r="BC494" s="434"/>
      <c r="BD494" s="434"/>
      <c r="BE494" s="435"/>
      <c r="BF494" s="134" t="s">
        <v>56</v>
      </c>
      <c r="BG494" s="315" t="s">
        <v>729</v>
      </c>
      <c r="BH494" s="137" t="s">
        <v>131</v>
      </c>
    </row>
    <row r="495" ht="15" hidden="1" spans="1:60">
      <c r="A495" s="301">
        <v>488</v>
      </c>
      <c r="B495" s="127" t="s">
        <v>19</v>
      </c>
      <c r="C495" s="127" t="s">
        <v>20</v>
      </c>
      <c r="D495" s="432">
        <v>2022</v>
      </c>
      <c r="E495" s="128" t="s">
        <v>730</v>
      </c>
      <c r="F495" s="433" t="s">
        <v>53</v>
      </c>
      <c r="G495" s="241" t="s">
        <v>53</v>
      </c>
      <c r="H495" s="310">
        <f t="shared" si="146"/>
        <v>2983500</v>
      </c>
      <c r="I495" s="310">
        <f t="shared" si="147"/>
        <v>2983500</v>
      </c>
      <c r="J495" s="310">
        <f t="shared" si="148"/>
        <v>0</v>
      </c>
      <c r="K495" s="434"/>
      <c r="L495" s="434"/>
      <c r="M495" s="434"/>
      <c r="N495" s="434"/>
      <c r="O495" s="377">
        <f t="shared" si="149"/>
        <v>0</v>
      </c>
      <c r="P495" s="434"/>
      <c r="Q495" s="434"/>
      <c r="R495" s="434"/>
      <c r="S495" s="434"/>
      <c r="T495" s="377">
        <f t="shared" si="150"/>
        <v>2983500</v>
      </c>
      <c r="U495" s="434"/>
      <c r="V495" s="434"/>
      <c r="W495" s="434"/>
      <c r="X495" s="434">
        <v>2983500</v>
      </c>
      <c r="Y495" s="377">
        <f t="shared" si="151"/>
        <v>0</v>
      </c>
      <c r="Z495" s="434"/>
      <c r="AA495" s="434"/>
      <c r="AB495" s="434"/>
      <c r="AC495" s="434"/>
      <c r="AD495" s="434"/>
      <c r="AE495" s="434"/>
      <c r="AF495" s="434"/>
      <c r="AG495" s="377">
        <f t="shared" si="152"/>
        <v>2983500</v>
      </c>
      <c r="AH495" s="377">
        <f t="shared" si="153"/>
        <v>2983500</v>
      </c>
      <c r="AI495" s="377">
        <f t="shared" si="154"/>
        <v>0</v>
      </c>
      <c r="AJ495" s="434"/>
      <c r="AK495" s="434"/>
      <c r="AL495" s="434"/>
      <c r="AM495" s="434"/>
      <c r="AN495" s="377">
        <f t="shared" si="155"/>
        <v>0</v>
      </c>
      <c r="AO495" s="434"/>
      <c r="AP495" s="434"/>
      <c r="AQ495" s="434"/>
      <c r="AR495" s="434"/>
      <c r="AS495" s="377">
        <f t="shared" si="156"/>
        <v>2983500</v>
      </c>
      <c r="AT495" s="434"/>
      <c r="AU495" s="434"/>
      <c r="AV495" s="434"/>
      <c r="AW495" s="434">
        <v>2983500</v>
      </c>
      <c r="AX495" s="377">
        <f t="shared" si="157"/>
        <v>0</v>
      </c>
      <c r="AY495" s="434"/>
      <c r="AZ495" s="434"/>
      <c r="BA495" s="434"/>
      <c r="BB495" s="434"/>
      <c r="BC495" s="434"/>
      <c r="BD495" s="434"/>
      <c r="BE495" s="435"/>
      <c r="BF495" s="134" t="s">
        <v>56</v>
      </c>
      <c r="BG495" s="315" t="s">
        <v>497</v>
      </c>
      <c r="BH495" s="137" t="s">
        <v>101</v>
      </c>
    </row>
    <row r="496" ht="15" hidden="1" spans="1:60">
      <c r="A496" s="301">
        <v>489</v>
      </c>
      <c r="B496" s="127" t="s">
        <v>19</v>
      </c>
      <c r="C496" s="127" t="s">
        <v>20</v>
      </c>
      <c r="D496" s="432">
        <v>2020</v>
      </c>
      <c r="E496" s="128" t="s">
        <v>731</v>
      </c>
      <c r="F496" s="433" t="s">
        <v>53</v>
      </c>
      <c r="G496" s="241" t="s">
        <v>53</v>
      </c>
      <c r="H496" s="310">
        <f t="shared" si="146"/>
        <v>28585770</v>
      </c>
      <c r="I496" s="310">
        <f t="shared" si="147"/>
        <v>28585770</v>
      </c>
      <c r="J496" s="310">
        <f t="shared" si="148"/>
        <v>0</v>
      </c>
      <c r="K496" s="434"/>
      <c r="L496" s="434"/>
      <c r="M496" s="434"/>
      <c r="N496" s="434"/>
      <c r="O496" s="377">
        <f t="shared" si="149"/>
        <v>0</v>
      </c>
      <c r="P496" s="434"/>
      <c r="Q496" s="434"/>
      <c r="R496" s="434"/>
      <c r="S496" s="434"/>
      <c r="T496" s="377">
        <f t="shared" si="150"/>
        <v>28585770</v>
      </c>
      <c r="U496" s="434"/>
      <c r="V496" s="434"/>
      <c r="W496" s="434"/>
      <c r="X496" s="434">
        <v>28585770</v>
      </c>
      <c r="Y496" s="377">
        <f t="shared" si="151"/>
        <v>0</v>
      </c>
      <c r="Z496" s="434"/>
      <c r="AA496" s="434"/>
      <c r="AB496" s="434"/>
      <c r="AC496" s="434"/>
      <c r="AD496" s="434"/>
      <c r="AE496" s="434"/>
      <c r="AF496" s="434"/>
      <c r="AG496" s="377">
        <f t="shared" si="152"/>
        <v>25641781.54</v>
      </c>
      <c r="AH496" s="377">
        <f t="shared" si="153"/>
        <v>25641781.54</v>
      </c>
      <c r="AI496" s="377">
        <f t="shared" si="154"/>
        <v>0</v>
      </c>
      <c r="AJ496" s="434"/>
      <c r="AK496" s="434"/>
      <c r="AL496" s="434"/>
      <c r="AM496" s="434"/>
      <c r="AN496" s="377">
        <f t="shared" si="155"/>
        <v>0</v>
      </c>
      <c r="AO496" s="434"/>
      <c r="AP496" s="434"/>
      <c r="AQ496" s="434"/>
      <c r="AR496" s="434"/>
      <c r="AS496" s="377">
        <f t="shared" si="156"/>
        <v>25641781.54</v>
      </c>
      <c r="AT496" s="434"/>
      <c r="AU496" s="434"/>
      <c r="AV496" s="434"/>
      <c r="AW496" s="434">
        <v>25641781.54</v>
      </c>
      <c r="AX496" s="377">
        <f t="shared" si="157"/>
        <v>0</v>
      </c>
      <c r="AY496" s="434"/>
      <c r="AZ496" s="434"/>
      <c r="BA496" s="434"/>
      <c r="BB496" s="434"/>
      <c r="BC496" s="434"/>
      <c r="BD496" s="434"/>
      <c r="BE496" s="435"/>
      <c r="BF496" s="134" t="s">
        <v>56</v>
      </c>
      <c r="BG496" s="315" t="s">
        <v>732</v>
      </c>
      <c r="BH496" s="137" t="s">
        <v>101</v>
      </c>
    </row>
    <row r="497" s="78" customFormat="1" ht="15" hidden="1" spans="1:60">
      <c r="A497" s="301">
        <v>490</v>
      </c>
      <c r="B497" s="127" t="s">
        <v>19</v>
      </c>
      <c r="C497" s="127" t="s">
        <v>20</v>
      </c>
      <c r="D497" s="432">
        <v>2020</v>
      </c>
      <c r="E497" s="128" t="s">
        <v>733</v>
      </c>
      <c r="F497" s="433" t="s">
        <v>53</v>
      </c>
      <c r="G497" s="241" t="s">
        <v>53</v>
      </c>
      <c r="H497" s="310">
        <f t="shared" si="146"/>
        <v>56775288</v>
      </c>
      <c r="I497" s="310">
        <f t="shared" si="147"/>
        <v>56775288</v>
      </c>
      <c r="J497" s="310">
        <f t="shared" si="148"/>
        <v>0</v>
      </c>
      <c r="K497" s="434"/>
      <c r="L497" s="434"/>
      <c r="M497" s="434"/>
      <c r="N497" s="434"/>
      <c r="O497" s="377">
        <f t="shared" si="149"/>
        <v>0</v>
      </c>
      <c r="P497" s="434"/>
      <c r="Q497" s="434"/>
      <c r="R497" s="434"/>
      <c r="S497" s="434"/>
      <c r="T497" s="377">
        <f t="shared" si="150"/>
        <v>56775288</v>
      </c>
      <c r="U497" s="434"/>
      <c r="V497" s="434"/>
      <c r="W497" s="434"/>
      <c r="X497" s="434">
        <v>56775288</v>
      </c>
      <c r="Y497" s="377">
        <f t="shared" si="151"/>
        <v>0</v>
      </c>
      <c r="Z497" s="434"/>
      <c r="AA497" s="434"/>
      <c r="AB497" s="434"/>
      <c r="AC497" s="434"/>
      <c r="AD497" s="434"/>
      <c r="AE497" s="434"/>
      <c r="AF497" s="434"/>
      <c r="AG497" s="377">
        <f t="shared" si="152"/>
        <v>55379625.09</v>
      </c>
      <c r="AH497" s="377">
        <f t="shared" si="153"/>
        <v>55379625.09</v>
      </c>
      <c r="AI497" s="377">
        <f t="shared" si="154"/>
        <v>0</v>
      </c>
      <c r="AJ497" s="434"/>
      <c r="AK497" s="434"/>
      <c r="AL497" s="434"/>
      <c r="AM497" s="434"/>
      <c r="AN497" s="377">
        <f t="shared" si="155"/>
        <v>0</v>
      </c>
      <c r="AO497" s="434"/>
      <c r="AP497" s="434"/>
      <c r="AQ497" s="434"/>
      <c r="AR497" s="434"/>
      <c r="AS497" s="377">
        <f t="shared" si="156"/>
        <v>55379625.09</v>
      </c>
      <c r="AT497" s="434"/>
      <c r="AU497" s="434"/>
      <c r="AV497" s="434"/>
      <c r="AW497" s="434">
        <v>55379625.09</v>
      </c>
      <c r="AX497" s="377">
        <f t="shared" si="157"/>
        <v>0</v>
      </c>
      <c r="AY497" s="434"/>
      <c r="AZ497" s="434"/>
      <c r="BA497" s="434"/>
      <c r="BB497" s="434"/>
      <c r="BC497" s="434"/>
      <c r="BD497" s="434"/>
      <c r="BE497" s="435"/>
      <c r="BF497" s="134" t="s">
        <v>56</v>
      </c>
      <c r="BG497" s="315" t="s">
        <v>732</v>
      </c>
      <c r="BH497" s="137" t="s">
        <v>101</v>
      </c>
    </row>
    <row r="498" s="77" customFormat="1" ht="15" hidden="1" spans="1:60">
      <c r="A498" s="301">
        <v>491</v>
      </c>
      <c r="B498" s="127" t="s">
        <v>19</v>
      </c>
      <c r="C498" s="127" t="s">
        <v>20</v>
      </c>
      <c r="D498" s="257">
        <v>2020</v>
      </c>
      <c r="E498" s="128" t="s">
        <v>734</v>
      </c>
      <c r="F498" s="433" t="s">
        <v>53</v>
      </c>
      <c r="G498" s="241" t="s">
        <v>53</v>
      </c>
      <c r="H498" s="310">
        <f t="shared" si="146"/>
        <v>2109500</v>
      </c>
      <c r="I498" s="310">
        <f t="shared" si="147"/>
        <v>2109500</v>
      </c>
      <c r="J498" s="310">
        <f t="shared" si="148"/>
        <v>0</v>
      </c>
      <c r="K498" s="310"/>
      <c r="L498" s="310"/>
      <c r="M498" s="310"/>
      <c r="N498" s="310"/>
      <c r="O498" s="377">
        <f t="shared" si="149"/>
        <v>2109500</v>
      </c>
      <c r="P498" s="310"/>
      <c r="Q498" s="310"/>
      <c r="R498" s="310">
        <v>2109500</v>
      </c>
      <c r="S498" s="310"/>
      <c r="T498" s="377">
        <f t="shared" si="150"/>
        <v>0</v>
      </c>
      <c r="U498" s="310"/>
      <c r="V498" s="310"/>
      <c r="W498" s="310"/>
      <c r="X498" s="310"/>
      <c r="Y498" s="377">
        <f t="shared" si="151"/>
        <v>0</v>
      </c>
      <c r="Z498" s="310"/>
      <c r="AA498" s="310"/>
      <c r="AB498" s="310"/>
      <c r="AC498" s="310"/>
      <c r="AD498" s="310"/>
      <c r="AE498" s="310"/>
      <c r="AF498" s="310"/>
      <c r="AG498" s="377">
        <f t="shared" si="152"/>
        <v>2108829.94</v>
      </c>
      <c r="AH498" s="377">
        <f t="shared" si="153"/>
        <v>2108829.94</v>
      </c>
      <c r="AI498" s="377">
        <f t="shared" si="154"/>
        <v>0</v>
      </c>
      <c r="AJ498" s="310"/>
      <c r="AK498" s="310"/>
      <c r="AL498" s="310"/>
      <c r="AM498" s="310"/>
      <c r="AN498" s="377">
        <f t="shared" si="155"/>
        <v>2108829.94</v>
      </c>
      <c r="AO498" s="310"/>
      <c r="AP498" s="310"/>
      <c r="AQ498" s="310">
        <v>2108829.94</v>
      </c>
      <c r="AR498" s="310"/>
      <c r="AS498" s="377">
        <f t="shared" si="156"/>
        <v>0</v>
      </c>
      <c r="AT498" s="310"/>
      <c r="AU498" s="310"/>
      <c r="AV498" s="310"/>
      <c r="AW498" s="310"/>
      <c r="AX498" s="377">
        <f t="shared" si="157"/>
        <v>0</v>
      </c>
      <c r="AY498" s="310"/>
      <c r="AZ498" s="310"/>
      <c r="BA498" s="310"/>
      <c r="BB498" s="310"/>
      <c r="BC498" s="310"/>
      <c r="BD498" s="310"/>
      <c r="BE498" s="312"/>
      <c r="BF498" s="127" t="s">
        <v>56</v>
      </c>
      <c r="BG498" s="128" t="s">
        <v>239</v>
      </c>
      <c r="BH498" s="133" t="s">
        <v>131</v>
      </c>
    </row>
    <row r="499" ht="15" hidden="1" spans="1:60">
      <c r="A499" s="301">
        <v>492</v>
      </c>
      <c r="B499" s="127" t="s">
        <v>19</v>
      </c>
      <c r="C499" s="127" t="s">
        <v>20</v>
      </c>
      <c r="D499" s="432">
        <v>2022</v>
      </c>
      <c r="E499" s="128" t="s">
        <v>735</v>
      </c>
      <c r="F499" s="433" t="s">
        <v>53</v>
      </c>
      <c r="G499" s="241" t="s">
        <v>53</v>
      </c>
      <c r="H499" s="310">
        <f t="shared" si="146"/>
        <v>4911500</v>
      </c>
      <c r="I499" s="310">
        <f t="shared" si="147"/>
        <v>4911500</v>
      </c>
      <c r="J499" s="310">
        <f t="shared" si="148"/>
        <v>0</v>
      </c>
      <c r="K499" s="434"/>
      <c r="L499" s="434"/>
      <c r="M499" s="434"/>
      <c r="N499" s="434"/>
      <c r="O499" s="377">
        <f t="shared" si="149"/>
        <v>0</v>
      </c>
      <c r="P499" s="434"/>
      <c r="Q499" s="434"/>
      <c r="R499" s="434"/>
      <c r="S499" s="434"/>
      <c r="T499" s="377">
        <f t="shared" si="150"/>
        <v>4911500</v>
      </c>
      <c r="U499" s="434"/>
      <c r="V499" s="434"/>
      <c r="W499" s="434"/>
      <c r="X499" s="434">
        <v>4911500</v>
      </c>
      <c r="Y499" s="377">
        <f t="shared" si="151"/>
        <v>0</v>
      </c>
      <c r="Z499" s="434"/>
      <c r="AA499" s="434"/>
      <c r="AB499" s="434"/>
      <c r="AC499" s="434"/>
      <c r="AD499" s="434"/>
      <c r="AE499" s="434"/>
      <c r="AF499" s="434"/>
      <c r="AG499" s="377">
        <f t="shared" si="152"/>
        <v>4911500</v>
      </c>
      <c r="AH499" s="377">
        <f t="shared" si="153"/>
        <v>4911500</v>
      </c>
      <c r="AI499" s="377">
        <f t="shared" si="154"/>
        <v>0</v>
      </c>
      <c r="AJ499" s="434"/>
      <c r="AK499" s="434"/>
      <c r="AL499" s="434"/>
      <c r="AM499" s="434"/>
      <c r="AN499" s="377">
        <f t="shared" si="155"/>
        <v>0</v>
      </c>
      <c r="AO499" s="434"/>
      <c r="AP499" s="434"/>
      <c r="AQ499" s="434"/>
      <c r="AR499" s="434"/>
      <c r="AS499" s="377">
        <f t="shared" si="156"/>
        <v>4911500</v>
      </c>
      <c r="AT499" s="434"/>
      <c r="AU499" s="434"/>
      <c r="AV499" s="434"/>
      <c r="AW499" s="434">
        <v>4911500</v>
      </c>
      <c r="AX499" s="377">
        <f t="shared" si="157"/>
        <v>0</v>
      </c>
      <c r="AY499" s="434"/>
      <c r="AZ499" s="434"/>
      <c r="BA499" s="434"/>
      <c r="BB499" s="434"/>
      <c r="BC499" s="434"/>
      <c r="BD499" s="434"/>
      <c r="BE499" s="435"/>
      <c r="BF499" s="134" t="s">
        <v>56</v>
      </c>
      <c r="BG499" s="315" t="s">
        <v>497</v>
      </c>
      <c r="BH499" s="137" t="s">
        <v>101</v>
      </c>
    </row>
    <row r="500" s="77" customFormat="1" ht="15" hidden="1" spans="1:60">
      <c r="A500" s="301">
        <v>493</v>
      </c>
      <c r="B500" s="127" t="s">
        <v>19</v>
      </c>
      <c r="C500" s="127" t="s">
        <v>20</v>
      </c>
      <c r="D500" s="257">
        <v>2020</v>
      </c>
      <c r="E500" s="128" t="s">
        <v>736</v>
      </c>
      <c r="F500" s="433" t="s">
        <v>53</v>
      </c>
      <c r="G500" s="241" t="s">
        <v>53</v>
      </c>
      <c r="H500" s="310">
        <f t="shared" si="146"/>
        <v>14219006.17</v>
      </c>
      <c r="I500" s="310">
        <f t="shared" si="147"/>
        <v>14219006.17</v>
      </c>
      <c r="J500" s="310">
        <f t="shared" si="148"/>
        <v>0</v>
      </c>
      <c r="K500" s="310"/>
      <c r="L500" s="310"/>
      <c r="M500" s="310"/>
      <c r="N500" s="310"/>
      <c r="O500" s="377">
        <f t="shared" si="149"/>
        <v>14219006.17</v>
      </c>
      <c r="P500" s="310"/>
      <c r="Q500" s="310"/>
      <c r="R500" s="310">
        <v>14219006.17</v>
      </c>
      <c r="S500" s="310"/>
      <c r="T500" s="377">
        <f t="shared" si="150"/>
        <v>0</v>
      </c>
      <c r="U500" s="310"/>
      <c r="V500" s="310"/>
      <c r="W500" s="310"/>
      <c r="X500" s="310"/>
      <c r="Y500" s="377">
        <f t="shared" si="151"/>
        <v>0</v>
      </c>
      <c r="Z500" s="310"/>
      <c r="AA500" s="310"/>
      <c r="AB500" s="310"/>
      <c r="AC500" s="310"/>
      <c r="AD500" s="310"/>
      <c r="AE500" s="310"/>
      <c r="AF500" s="310"/>
      <c r="AG500" s="377">
        <f t="shared" si="152"/>
        <v>13892293.04</v>
      </c>
      <c r="AH500" s="377">
        <f t="shared" si="153"/>
        <v>13892293.04</v>
      </c>
      <c r="AI500" s="377">
        <f t="shared" si="154"/>
        <v>0</v>
      </c>
      <c r="AJ500" s="310"/>
      <c r="AK500" s="310"/>
      <c r="AL500" s="310"/>
      <c r="AM500" s="310"/>
      <c r="AN500" s="377">
        <f t="shared" si="155"/>
        <v>13892293.04</v>
      </c>
      <c r="AO500" s="310"/>
      <c r="AP500" s="310"/>
      <c r="AQ500" s="310">
        <v>13892293.04</v>
      </c>
      <c r="AR500" s="310"/>
      <c r="AS500" s="377">
        <f t="shared" si="156"/>
        <v>0</v>
      </c>
      <c r="AT500" s="310"/>
      <c r="AU500" s="310"/>
      <c r="AV500" s="310"/>
      <c r="AW500" s="310"/>
      <c r="AX500" s="377">
        <f t="shared" si="157"/>
        <v>0</v>
      </c>
      <c r="AY500" s="310"/>
      <c r="AZ500" s="310"/>
      <c r="BA500" s="310"/>
      <c r="BB500" s="310"/>
      <c r="BC500" s="310"/>
      <c r="BD500" s="310"/>
      <c r="BE500" s="312"/>
      <c r="BF500" s="127" t="s">
        <v>56</v>
      </c>
      <c r="BG500" s="184" t="s">
        <v>737</v>
      </c>
      <c r="BH500" s="133" t="s">
        <v>131</v>
      </c>
    </row>
    <row r="501" s="77" customFormat="1" ht="15" hidden="1" spans="1:60">
      <c r="A501" s="301">
        <v>494</v>
      </c>
      <c r="B501" s="127" t="s">
        <v>19</v>
      </c>
      <c r="C501" s="127" t="s">
        <v>20</v>
      </c>
      <c r="D501" s="257">
        <v>2022</v>
      </c>
      <c r="E501" s="128" t="s">
        <v>738</v>
      </c>
      <c r="F501" s="433" t="s">
        <v>53</v>
      </c>
      <c r="G501" s="241" t="s">
        <v>53</v>
      </c>
      <c r="H501" s="310">
        <f t="shared" si="146"/>
        <v>7741900</v>
      </c>
      <c r="I501" s="310">
        <f t="shared" si="147"/>
        <v>7741900</v>
      </c>
      <c r="J501" s="310">
        <f t="shared" si="148"/>
        <v>0</v>
      </c>
      <c r="K501" s="310"/>
      <c r="L501" s="310"/>
      <c r="M501" s="310"/>
      <c r="N501" s="310"/>
      <c r="O501" s="377">
        <f t="shared" si="149"/>
        <v>0</v>
      </c>
      <c r="P501" s="310"/>
      <c r="Q501" s="310"/>
      <c r="R501" s="310"/>
      <c r="S501" s="310"/>
      <c r="T501" s="377">
        <f t="shared" si="150"/>
        <v>7741900</v>
      </c>
      <c r="U501" s="310"/>
      <c r="V501" s="310">
        <v>7741900</v>
      </c>
      <c r="W501" s="310"/>
      <c r="X501" s="310"/>
      <c r="Y501" s="377">
        <f t="shared" si="151"/>
        <v>0</v>
      </c>
      <c r="Z501" s="310"/>
      <c r="AA501" s="310"/>
      <c r="AB501" s="310"/>
      <c r="AC501" s="310"/>
      <c r="AD501" s="310"/>
      <c r="AE501" s="310"/>
      <c r="AF501" s="310"/>
      <c r="AG501" s="377">
        <f t="shared" si="152"/>
        <v>7196049.37</v>
      </c>
      <c r="AH501" s="377">
        <f t="shared" si="153"/>
        <v>7196049.37</v>
      </c>
      <c r="AI501" s="377">
        <f t="shared" si="154"/>
        <v>0</v>
      </c>
      <c r="AJ501" s="310"/>
      <c r="AK501" s="310"/>
      <c r="AL501" s="310"/>
      <c r="AM501" s="310"/>
      <c r="AN501" s="377">
        <f t="shared" si="155"/>
        <v>0</v>
      </c>
      <c r="AO501" s="310"/>
      <c r="AP501" s="310"/>
      <c r="AQ501" s="310"/>
      <c r="AR501" s="310"/>
      <c r="AS501" s="377">
        <f t="shared" si="156"/>
        <v>7196049.37</v>
      </c>
      <c r="AT501" s="310"/>
      <c r="AU501" s="310">
        <v>7196049.37</v>
      </c>
      <c r="AV501" s="310"/>
      <c r="AW501" s="310"/>
      <c r="AX501" s="377">
        <f t="shared" si="157"/>
        <v>0</v>
      </c>
      <c r="AY501" s="310"/>
      <c r="AZ501" s="310"/>
      <c r="BA501" s="310"/>
      <c r="BB501" s="310"/>
      <c r="BC501" s="310"/>
      <c r="BD501" s="310"/>
      <c r="BE501" s="312"/>
      <c r="BF501" s="127" t="s">
        <v>56</v>
      </c>
      <c r="BG501" s="128" t="s">
        <v>314</v>
      </c>
      <c r="BH501" s="133" t="s">
        <v>131</v>
      </c>
    </row>
    <row r="502" s="77" customFormat="1" ht="15" hidden="1" spans="1:60">
      <c r="A502" s="301">
        <v>495</v>
      </c>
      <c r="B502" s="127" t="s">
        <v>19</v>
      </c>
      <c r="C502" s="127" t="s">
        <v>20</v>
      </c>
      <c r="D502" s="257">
        <v>2019</v>
      </c>
      <c r="E502" s="128" t="s">
        <v>739</v>
      </c>
      <c r="F502" s="433" t="s">
        <v>53</v>
      </c>
      <c r="G502" s="241" t="s">
        <v>53</v>
      </c>
      <c r="H502" s="310">
        <f t="shared" si="146"/>
        <v>3394700</v>
      </c>
      <c r="I502" s="310">
        <f t="shared" si="147"/>
        <v>3394700</v>
      </c>
      <c r="J502" s="310">
        <f t="shared" si="148"/>
        <v>0</v>
      </c>
      <c r="K502" s="310"/>
      <c r="L502" s="310"/>
      <c r="M502" s="310"/>
      <c r="N502" s="310"/>
      <c r="O502" s="377">
        <f t="shared" si="149"/>
        <v>3394700</v>
      </c>
      <c r="P502" s="310"/>
      <c r="Q502" s="310"/>
      <c r="R502" s="310">
        <v>3394700</v>
      </c>
      <c r="S502" s="310"/>
      <c r="T502" s="377">
        <f t="shared" si="150"/>
        <v>0</v>
      </c>
      <c r="U502" s="310"/>
      <c r="V502" s="310"/>
      <c r="W502" s="310"/>
      <c r="X502" s="310"/>
      <c r="Y502" s="377">
        <f t="shared" si="151"/>
        <v>0</v>
      </c>
      <c r="Z502" s="310"/>
      <c r="AA502" s="310"/>
      <c r="AB502" s="310"/>
      <c r="AC502" s="310"/>
      <c r="AD502" s="310"/>
      <c r="AE502" s="310"/>
      <c r="AF502" s="310"/>
      <c r="AG502" s="377">
        <f t="shared" si="152"/>
        <v>3341975.68</v>
      </c>
      <c r="AH502" s="377">
        <f t="shared" si="153"/>
        <v>3341975.68</v>
      </c>
      <c r="AI502" s="377">
        <f t="shared" si="154"/>
        <v>0</v>
      </c>
      <c r="AJ502" s="310"/>
      <c r="AK502" s="310"/>
      <c r="AL502" s="310"/>
      <c r="AM502" s="310"/>
      <c r="AN502" s="377">
        <f t="shared" si="155"/>
        <v>3341975.68</v>
      </c>
      <c r="AO502" s="310"/>
      <c r="AP502" s="310"/>
      <c r="AQ502" s="310">
        <v>3341975.68</v>
      </c>
      <c r="AR502" s="310"/>
      <c r="AS502" s="377">
        <f t="shared" si="156"/>
        <v>0</v>
      </c>
      <c r="AT502" s="310"/>
      <c r="AU502" s="310"/>
      <c r="AV502" s="310"/>
      <c r="AW502" s="310"/>
      <c r="AX502" s="377">
        <f t="shared" si="157"/>
        <v>0</v>
      </c>
      <c r="AY502" s="310"/>
      <c r="AZ502" s="310"/>
      <c r="BA502" s="310"/>
      <c r="BB502" s="310"/>
      <c r="BC502" s="310"/>
      <c r="BD502" s="310"/>
      <c r="BE502" s="312"/>
      <c r="BF502" s="127" t="s">
        <v>56</v>
      </c>
      <c r="BG502" s="128" t="s">
        <v>239</v>
      </c>
      <c r="BH502" s="133" t="s">
        <v>456</v>
      </c>
    </row>
    <row r="503" s="77" customFormat="1" ht="15" hidden="1" spans="1:60">
      <c r="A503" s="301">
        <v>496</v>
      </c>
      <c r="B503" s="127" t="s">
        <v>19</v>
      </c>
      <c r="C503" s="127" t="s">
        <v>20</v>
      </c>
      <c r="D503" s="257">
        <v>2019</v>
      </c>
      <c r="E503" s="128" t="s">
        <v>740</v>
      </c>
      <c r="F503" s="433" t="s">
        <v>53</v>
      </c>
      <c r="G503" s="241" t="s">
        <v>53</v>
      </c>
      <c r="H503" s="310">
        <f t="shared" si="146"/>
        <v>6687500</v>
      </c>
      <c r="I503" s="310">
        <f t="shared" si="147"/>
        <v>6687500</v>
      </c>
      <c r="J503" s="310">
        <f t="shared" si="148"/>
        <v>0</v>
      </c>
      <c r="K503" s="310"/>
      <c r="L503" s="310"/>
      <c r="M503" s="310"/>
      <c r="N503" s="310"/>
      <c r="O503" s="377">
        <f t="shared" si="149"/>
        <v>6687500</v>
      </c>
      <c r="P503" s="310"/>
      <c r="Q503" s="310"/>
      <c r="R503" s="310">
        <v>6687500</v>
      </c>
      <c r="S503" s="310"/>
      <c r="T503" s="377">
        <f t="shared" si="150"/>
        <v>0</v>
      </c>
      <c r="U503" s="310"/>
      <c r="V503" s="310"/>
      <c r="W503" s="310"/>
      <c r="X503" s="310"/>
      <c r="Y503" s="377">
        <f t="shared" si="151"/>
        <v>0</v>
      </c>
      <c r="Z503" s="310"/>
      <c r="AA503" s="310"/>
      <c r="AB503" s="310"/>
      <c r="AC503" s="310"/>
      <c r="AD503" s="310"/>
      <c r="AE503" s="310"/>
      <c r="AF503" s="310"/>
      <c r="AG503" s="377">
        <f t="shared" si="152"/>
        <v>6537187.76</v>
      </c>
      <c r="AH503" s="377">
        <f t="shared" si="153"/>
        <v>6537187.76</v>
      </c>
      <c r="AI503" s="377">
        <f t="shared" si="154"/>
        <v>0</v>
      </c>
      <c r="AJ503" s="310"/>
      <c r="AK503" s="310"/>
      <c r="AL503" s="310"/>
      <c r="AM503" s="310"/>
      <c r="AN503" s="377">
        <f t="shared" si="155"/>
        <v>6537187.76</v>
      </c>
      <c r="AO503" s="310"/>
      <c r="AP503" s="310"/>
      <c r="AQ503" s="310">
        <f>653.718776*10000</f>
        <v>6537187.76</v>
      </c>
      <c r="AR503" s="310"/>
      <c r="AS503" s="377">
        <f t="shared" si="156"/>
        <v>0</v>
      </c>
      <c r="AT503" s="310"/>
      <c r="AU503" s="310"/>
      <c r="AV503" s="310"/>
      <c r="AW503" s="310"/>
      <c r="AX503" s="377">
        <f t="shared" si="157"/>
        <v>0</v>
      </c>
      <c r="AY503" s="310"/>
      <c r="AZ503" s="310"/>
      <c r="BA503" s="310"/>
      <c r="BB503" s="310"/>
      <c r="BC503" s="310"/>
      <c r="BD503" s="310"/>
      <c r="BE503" s="312"/>
      <c r="BF503" s="127" t="s">
        <v>56</v>
      </c>
      <c r="BG503" s="128" t="s">
        <v>239</v>
      </c>
      <c r="BH503" s="133" t="s">
        <v>456</v>
      </c>
    </row>
    <row r="504" ht="15" hidden="1" spans="1:60">
      <c r="A504" s="301">
        <v>497</v>
      </c>
      <c r="B504" s="127" t="s">
        <v>19</v>
      </c>
      <c r="C504" s="127" t="s">
        <v>20</v>
      </c>
      <c r="D504" s="432">
        <v>2022</v>
      </c>
      <c r="E504" s="128" t="s">
        <v>741</v>
      </c>
      <c r="F504" s="433" t="s">
        <v>53</v>
      </c>
      <c r="G504" s="241" t="s">
        <v>53</v>
      </c>
      <c r="H504" s="310">
        <f t="shared" si="146"/>
        <v>3907400</v>
      </c>
      <c r="I504" s="310">
        <f t="shared" si="147"/>
        <v>3907400</v>
      </c>
      <c r="J504" s="310">
        <f t="shared" si="148"/>
        <v>0</v>
      </c>
      <c r="K504" s="434"/>
      <c r="L504" s="434"/>
      <c r="M504" s="434"/>
      <c r="N504" s="434"/>
      <c r="O504" s="377">
        <f t="shared" si="149"/>
        <v>0</v>
      </c>
      <c r="P504" s="434"/>
      <c r="Q504" s="434"/>
      <c r="R504" s="434"/>
      <c r="S504" s="434"/>
      <c r="T504" s="377">
        <f t="shared" si="150"/>
        <v>3907400</v>
      </c>
      <c r="U504" s="434"/>
      <c r="V504" s="434"/>
      <c r="W504" s="434">
        <v>3907400</v>
      </c>
      <c r="X504" s="434"/>
      <c r="Y504" s="377">
        <f t="shared" si="151"/>
        <v>0</v>
      </c>
      <c r="Z504" s="434"/>
      <c r="AA504" s="434"/>
      <c r="AB504" s="434"/>
      <c r="AC504" s="434"/>
      <c r="AD504" s="434"/>
      <c r="AE504" s="434"/>
      <c r="AF504" s="434"/>
      <c r="AG504" s="377">
        <f t="shared" si="152"/>
        <v>3856264.85</v>
      </c>
      <c r="AH504" s="377">
        <f t="shared" si="153"/>
        <v>3856264.85</v>
      </c>
      <c r="AI504" s="377">
        <f t="shared" si="154"/>
        <v>0</v>
      </c>
      <c r="AJ504" s="434"/>
      <c r="AK504" s="434"/>
      <c r="AL504" s="434"/>
      <c r="AM504" s="434"/>
      <c r="AN504" s="377">
        <f t="shared" si="155"/>
        <v>0</v>
      </c>
      <c r="AO504" s="434"/>
      <c r="AP504" s="434"/>
      <c r="AQ504" s="434"/>
      <c r="AR504" s="434"/>
      <c r="AS504" s="377">
        <f t="shared" si="156"/>
        <v>3856264.85</v>
      </c>
      <c r="AT504" s="434"/>
      <c r="AU504" s="434"/>
      <c r="AV504" s="434">
        <f>385.626485*10000</f>
        <v>3856264.85</v>
      </c>
      <c r="AW504" s="434"/>
      <c r="AX504" s="377">
        <f t="shared" si="157"/>
        <v>0</v>
      </c>
      <c r="AY504" s="434"/>
      <c r="AZ504" s="434"/>
      <c r="BA504" s="434"/>
      <c r="BB504" s="434"/>
      <c r="BC504" s="434"/>
      <c r="BD504" s="434"/>
      <c r="BE504" s="435"/>
      <c r="BF504" s="134" t="s">
        <v>56</v>
      </c>
      <c r="BG504" s="315" t="s">
        <v>742</v>
      </c>
      <c r="BH504" s="137" t="s">
        <v>131</v>
      </c>
    </row>
    <row r="505" s="77" customFormat="1" ht="15" hidden="1" spans="1:60">
      <c r="A505" s="301">
        <v>498</v>
      </c>
      <c r="B505" s="127" t="s">
        <v>19</v>
      </c>
      <c r="C505" s="127" t="s">
        <v>20</v>
      </c>
      <c r="D505" s="257">
        <v>2023</v>
      </c>
      <c r="E505" s="128" t="s">
        <v>743</v>
      </c>
      <c r="F505" s="433" t="s">
        <v>53</v>
      </c>
      <c r="G505" s="156" t="s">
        <v>56</v>
      </c>
      <c r="H505" s="310">
        <f t="shared" si="146"/>
        <v>38323500</v>
      </c>
      <c r="I505" s="310">
        <f t="shared" si="147"/>
        <v>38323500</v>
      </c>
      <c r="J505" s="310">
        <f t="shared" si="148"/>
        <v>0</v>
      </c>
      <c r="K505" s="310"/>
      <c r="L505" s="310"/>
      <c r="M505" s="310"/>
      <c r="N505" s="310"/>
      <c r="O505" s="377">
        <f t="shared" si="149"/>
        <v>0</v>
      </c>
      <c r="P505" s="310"/>
      <c r="Q505" s="310"/>
      <c r="R505" s="310"/>
      <c r="S505" s="310"/>
      <c r="T505" s="377">
        <f t="shared" si="150"/>
        <v>33653500</v>
      </c>
      <c r="U505" s="310"/>
      <c r="V505" s="310"/>
      <c r="W505" s="310">
        <v>33653500</v>
      </c>
      <c r="X505" s="310"/>
      <c r="Y505" s="377">
        <f t="shared" si="151"/>
        <v>0</v>
      </c>
      <c r="Z505" s="310"/>
      <c r="AA505" s="310"/>
      <c r="AB505" s="310"/>
      <c r="AC505" s="310"/>
      <c r="AD505" s="310">
        <v>4670000</v>
      </c>
      <c r="AE505" s="310"/>
      <c r="AF505" s="310"/>
      <c r="AG505" s="377">
        <f t="shared" si="152"/>
        <v>38323500</v>
      </c>
      <c r="AH505" s="377">
        <f t="shared" si="153"/>
        <v>38323500</v>
      </c>
      <c r="AI505" s="377">
        <f t="shared" si="154"/>
        <v>0</v>
      </c>
      <c r="AJ505" s="310"/>
      <c r="AK505" s="310"/>
      <c r="AL505" s="310"/>
      <c r="AM505" s="310"/>
      <c r="AN505" s="377">
        <f t="shared" si="155"/>
        <v>0</v>
      </c>
      <c r="AO505" s="310"/>
      <c r="AP505" s="310"/>
      <c r="AQ505" s="310"/>
      <c r="AR505" s="310"/>
      <c r="AS505" s="377">
        <f t="shared" si="156"/>
        <v>33653500</v>
      </c>
      <c r="AT505" s="310"/>
      <c r="AU505" s="310"/>
      <c r="AV505" s="310">
        <v>33653500</v>
      </c>
      <c r="AW505" s="310"/>
      <c r="AX505" s="377">
        <f t="shared" si="157"/>
        <v>0</v>
      </c>
      <c r="AY505" s="310"/>
      <c r="AZ505" s="310"/>
      <c r="BA505" s="310"/>
      <c r="BB505" s="310"/>
      <c r="BC505" s="310">
        <v>4670000</v>
      </c>
      <c r="BD505" s="310"/>
      <c r="BE505" s="312"/>
      <c r="BF505" s="127" t="s">
        <v>56</v>
      </c>
      <c r="BG505" s="128" t="s">
        <v>744</v>
      </c>
      <c r="BH505" s="133" t="s">
        <v>90</v>
      </c>
    </row>
    <row r="506" s="77" customFormat="1" ht="15" hidden="1" spans="1:60">
      <c r="A506" s="301">
        <v>499</v>
      </c>
      <c r="B506" s="127" t="s">
        <v>19</v>
      </c>
      <c r="C506" s="127" t="s">
        <v>20</v>
      </c>
      <c r="D506" s="257">
        <v>2019</v>
      </c>
      <c r="E506" s="128" t="s">
        <v>745</v>
      </c>
      <c r="F506" s="433" t="s">
        <v>53</v>
      </c>
      <c r="G506" s="433" t="s">
        <v>53</v>
      </c>
      <c r="H506" s="310">
        <f t="shared" ref="H506:H516" si="158">I506+AF506</f>
        <v>18660000</v>
      </c>
      <c r="I506" s="310">
        <f t="shared" ref="I506:I516" si="159">O506+J506+T506+Y506+AE506+AC506+AD506</f>
        <v>18660000</v>
      </c>
      <c r="J506" s="310">
        <f t="shared" ref="J506:J516" si="160">N506+M506+L506+K506</f>
        <v>0</v>
      </c>
      <c r="K506" s="310"/>
      <c r="L506" s="310"/>
      <c r="M506" s="310"/>
      <c r="N506" s="310"/>
      <c r="O506" s="377">
        <f t="shared" ref="O506:O516" si="161">S506+R506+Q506+P506</f>
        <v>18660000</v>
      </c>
      <c r="P506" s="310">
        <v>2164900</v>
      </c>
      <c r="Q506" s="310"/>
      <c r="R506" s="310"/>
      <c r="S506" s="310">
        <f>16435100+60000</f>
        <v>16495100</v>
      </c>
      <c r="T506" s="377">
        <f t="shared" ref="T506:T516" si="162">U506+V506+W506+X506</f>
        <v>0</v>
      </c>
      <c r="U506" s="310"/>
      <c r="V506" s="310"/>
      <c r="W506" s="310"/>
      <c r="X506" s="310"/>
      <c r="Y506" s="377">
        <f t="shared" ref="Y506:Y516" si="163">AA506+Z506+AB506</f>
        <v>0</v>
      </c>
      <c r="Z506" s="310"/>
      <c r="AA506" s="310"/>
      <c r="AB506" s="310"/>
      <c r="AC506" s="310"/>
      <c r="AD506" s="310"/>
      <c r="AE506" s="310"/>
      <c r="AF506" s="310"/>
      <c r="AG506" s="377">
        <f t="shared" ref="AG506:AG516" si="164">AH506+BE506</f>
        <v>18660000</v>
      </c>
      <c r="AH506" s="377">
        <f t="shared" ref="AH506:AH516" si="165">AN506+AI506+AS506+AX506+BD506+BB506+BC506</f>
        <v>18660000</v>
      </c>
      <c r="AI506" s="377">
        <f t="shared" ref="AI506:AI516" si="166">AM506+AL506+AK506+AJ506</f>
        <v>0</v>
      </c>
      <c r="AJ506" s="310"/>
      <c r="AK506" s="310"/>
      <c r="AL506" s="310"/>
      <c r="AM506" s="310"/>
      <c r="AN506" s="377">
        <f t="shared" ref="AN506:AN516" si="167">AR506+AQ506+AP506+AO506</f>
        <v>18660000</v>
      </c>
      <c r="AO506" s="310">
        <v>2164900</v>
      </c>
      <c r="AP506" s="310"/>
      <c r="AQ506" s="310"/>
      <c r="AR506" s="310">
        <f>16435100+60000</f>
        <v>16495100</v>
      </c>
      <c r="AS506" s="377">
        <f t="shared" ref="AS506:AS516" si="168">AW506+AV506+AU506+AT506</f>
        <v>0</v>
      </c>
      <c r="AT506" s="310"/>
      <c r="AU506" s="310"/>
      <c r="AV506" s="310"/>
      <c r="AW506" s="310"/>
      <c r="AX506" s="377">
        <f t="shared" ref="AX506:AX516" si="169">AZ506+AY506+BA506</f>
        <v>0</v>
      </c>
      <c r="AY506" s="310"/>
      <c r="AZ506" s="310"/>
      <c r="BA506" s="310"/>
      <c r="BB506" s="310"/>
      <c r="BC506" s="310"/>
      <c r="BD506" s="310"/>
      <c r="BE506" s="312"/>
      <c r="BF506" s="127" t="s">
        <v>56</v>
      </c>
      <c r="BG506" s="128" t="s">
        <v>746</v>
      </c>
      <c r="BH506" s="133" t="s">
        <v>131</v>
      </c>
    </row>
    <row r="507" s="77" customFormat="1" ht="15" hidden="1" spans="1:60">
      <c r="A507" s="301">
        <v>500</v>
      </c>
      <c r="B507" s="127" t="s">
        <v>19</v>
      </c>
      <c r="C507" s="127" t="s">
        <v>20</v>
      </c>
      <c r="D507" s="257">
        <v>2021</v>
      </c>
      <c r="E507" s="128" t="s">
        <v>747</v>
      </c>
      <c r="F507" s="433" t="s">
        <v>53</v>
      </c>
      <c r="G507" s="433" t="s">
        <v>53</v>
      </c>
      <c r="H507" s="310">
        <f t="shared" si="158"/>
        <v>2940000</v>
      </c>
      <c r="I507" s="310">
        <f t="shared" si="159"/>
        <v>2940000</v>
      </c>
      <c r="J507" s="310">
        <f t="shared" si="160"/>
        <v>0</v>
      </c>
      <c r="K507" s="310"/>
      <c r="L507" s="310"/>
      <c r="M507" s="310"/>
      <c r="N507" s="310"/>
      <c r="O507" s="377">
        <f t="shared" si="161"/>
        <v>0</v>
      </c>
      <c r="P507" s="310"/>
      <c r="Q507" s="310"/>
      <c r="R507" s="310"/>
      <c r="S507" s="310"/>
      <c r="T507" s="377">
        <f t="shared" si="162"/>
        <v>2940000</v>
      </c>
      <c r="U507" s="310"/>
      <c r="V507" s="310"/>
      <c r="W507" s="310"/>
      <c r="X507" s="310">
        <v>2940000</v>
      </c>
      <c r="Y507" s="377">
        <f t="shared" si="163"/>
        <v>0</v>
      </c>
      <c r="Z507" s="310"/>
      <c r="AA507" s="310"/>
      <c r="AB507" s="310"/>
      <c r="AC507" s="310"/>
      <c r="AD507" s="310"/>
      <c r="AE507" s="310"/>
      <c r="AF507" s="310"/>
      <c r="AG507" s="377">
        <f t="shared" si="164"/>
        <v>2597372.67</v>
      </c>
      <c r="AH507" s="377">
        <f t="shared" si="165"/>
        <v>2597372.67</v>
      </c>
      <c r="AI507" s="377">
        <f t="shared" si="166"/>
        <v>0</v>
      </c>
      <c r="AJ507" s="310"/>
      <c r="AK507" s="310"/>
      <c r="AL507" s="310"/>
      <c r="AM507" s="310"/>
      <c r="AN507" s="377">
        <f t="shared" si="167"/>
        <v>0</v>
      </c>
      <c r="AO507" s="310"/>
      <c r="AP507" s="310"/>
      <c r="AQ507" s="310"/>
      <c r="AR507" s="310"/>
      <c r="AS507" s="377">
        <f t="shared" si="168"/>
        <v>2597372.67</v>
      </c>
      <c r="AT507" s="310"/>
      <c r="AU507" s="310"/>
      <c r="AV507" s="310"/>
      <c r="AW507" s="310">
        <v>2597372.67</v>
      </c>
      <c r="AX507" s="377">
        <f t="shared" si="169"/>
        <v>0</v>
      </c>
      <c r="AY507" s="310"/>
      <c r="AZ507" s="310"/>
      <c r="BA507" s="310"/>
      <c r="BB507" s="310"/>
      <c r="BC507" s="310"/>
      <c r="BD507" s="310"/>
      <c r="BE507" s="312"/>
      <c r="BF507" s="127" t="s">
        <v>56</v>
      </c>
      <c r="BG507" s="128" t="s">
        <v>314</v>
      </c>
      <c r="BH507" s="133" t="s">
        <v>131</v>
      </c>
    </row>
    <row r="508" ht="15" hidden="1" spans="1:60">
      <c r="A508" s="301">
        <v>501</v>
      </c>
      <c r="B508" s="127" t="s">
        <v>19</v>
      </c>
      <c r="C508" s="127" t="s">
        <v>20</v>
      </c>
      <c r="D508" s="432">
        <v>2019</v>
      </c>
      <c r="E508" s="128" t="s">
        <v>748</v>
      </c>
      <c r="F508" s="433" t="s">
        <v>53</v>
      </c>
      <c r="G508" s="433" t="s">
        <v>53</v>
      </c>
      <c r="H508" s="310">
        <f t="shared" si="158"/>
        <v>2449200</v>
      </c>
      <c r="I508" s="310">
        <f t="shared" si="159"/>
        <v>2449200</v>
      </c>
      <c r="J508" s="310">
        <f t="shared" si="160"/>
        <v>0</v>
      </c>
      <c r="K508" s="434"/>
      <c r="L508" s="434"/>
      <c r="M508" s="434"/>
      <c r="N508" s="434"/>
      <c r="O508" s="377">
        <f t="shared" si="161"/>
        <v>2449200</v>
      </c>
      <c r="P508" s="434"/>
      <c r="Q508" s="434"/>
      <c r="R508" s="434">
        <v>2449200</v>
      </c>
      <c r="S508" s="434"/>
      <c r="T508" s="377">
        <f t="shared" si="162"/>
        <v>0</v>
      </c>
      <c r="U508" s="434"/>
      <c r="V508" s="434"/>
      <c r="W508" s="434"/>
      <c r="X508" s="434"/>
      <c r="Y508" s="377">
        <f t="shared" si="163"/>
        <v>0</v>
      </c>
      <c r="Z508" s="434"/>
      <c r="AA508" s="434"/>
      <c r="AB508" s="434"/>
      <c r="AC508" s="434"/>
      <c r="AD508" s="434"/>
      <c r="AE508" s="434"/>
      <c r="AF508" s="434"/>
      <c r="AG508" s="377">
        <f t="shared" si="164"/>
        <v>2347474.48</v>
      </c>
      <c r="AH508" s="377">
        <f t="shared" si="165"/>
        <v>2347474.48</v>
      </c>
      <c r="AI508" s="377">
        <f t="shared" si="166"/>
        <v>0</v>
      </c>
      <c r="AJ508" s="434"/>
      <c r="AK508" s="434"/>
      <c r="AL508" s="434"/>
      <c r="AM508" s="434"/>
      <c r="AN508" s="377">
        <f t="shared" si="167"/>
        <v>2347474.48</v>
      </c>
      <c r="AO508" s="434"/>
      <c r="AP508" s="434"/>
      <c r="AQ508" s="434">
        <v>2347474.48</v>
      </c>
      <c r="AR508" s="434"/>
      <c r="AS508" s="377">
        <f t="shared" si="168"/>
        <v>0</v>
      </c>
      <c r="AT508" s="434"/>
      <c r="AU508" s="434"/>
      <c r="AV508" s="434"/>
      <c r="AW508" s="434"/>
      <c r="AX508" s="377">
        <f t="shared" si="169"/>
        <v>0</v>
      </c>
      <c r="AY508" s="434"/>
      <c r="AZ508" s="434"/>
      <c r="BA508" s="434"/>
      <c r="BB508" s="434"/>
      <c r="BC508" s="434"/>
      <c r="BD508" s="434"/>
      <c r="BE508" s="435"/>
      <c r="BF508" s="134" t="s">
        <v>56</v>
      </c>
      <c r="BG508" s="315" t="s">
        <v>749</v>
      </c>
      <c r="BH508" s="137" t="s">
        <v>456</v>
      </c>
    </row>
    <row r="509" ht="15" hidden="1" spans="1:60">
      <c r="A509" s="301">
        <v>502</v>
      </c>
      <c r="B509" s="127" t="s">
        <v>19</v>
      </c>
      <c r="C509" s="127" t="s">
        <v>20</v>
      </c>
      <c r="D509" s="134">
        <v>2019</v>
      </c>
      <c r="E509" s="128" t="s">
        <v>750</v>
      </c>
      <c r="F509" s="433" t="s">
        <v>53</v>
      </c>
      <c r="G509" s="433" t="s">
        <v>53</v>
      </c>
      <c r="H509" s="310">
        <f t="shared" si="158"/>
        <v>10040000</v>
      </c>
      <c r="I509" s="310">
        <f t="shared" si="159"/>
        <v>10040000</v>
      </c>
      <c r="J509" s="310">
        <f t="shared" si="160"/>
        <v>0</v>
      </c>
      <c r="K509" s="434"/>
      <c r="L509" s="434"/>
      <c r="M509" s="434"/>
      <c r="N509" s="434"/>
      <c r="O509" s="377">
        <f t="shared" si="161"/>
        <v>10040000</v>
      </c>
      <c r="P509" s="434"/>
      <c r="Q509" s="434"/>
      <c r="R509" s="434"/>
      <c r="S509" s="434">
        <v>10040000</v>
      </c>
      <c r="T509" s="377">
        <f t="shared" si="162"/>
        <v>0</v>
      </c>
      <c r="U509" s="434"/>
      <c r="V509" s="434"/>
      <c r="W509" s="434"/>
      <c r="X509" s="434"/>
      <c r="Y509" s="377">
        <f t="shared" si="163"/>
        <v>0</v>
      </c>
      <c r="Z509" s="434"/>
      <c r="AA509" s="434"/>
      <c r="AB509" s="434"/>
      <c r="AC509" s="434"/>
      <c r="AD509" s="434"/>
      <c r="AE509" s="434"/>
      <c r="AF509" s="434"/>
      <c r="AG509" s="377">
        <f t="shared" si="164"/>
        <v>9210385.66</v>
      </c>
      <c r="AH509" s="377">
        <f t="shared" si="165"/>
        <v>9210385.66</v>
      </c>
      <c r="AI509" s="377">
        <f t="shared" si="166"/>
        <v>0</v>
      </c>
      <c r="AJ509" s="434"/>
      <c r="AK509" s="434"/>
      <c r="AL509" s="434"/>
      <c r="AM509" s="434"/>
      <c r="AN509" s="377">
        <f t="shared" si="167"/>
        <v>9210385.66</v>
      </c>
      <c r="AO509" s="434"/>
      <c r="AP509" s="434"/>
      <c r="AQ509" s="434"/>
      <c r="AR509" s="434">
        <v>9210385.66</v>
      </c>
      <c r="AS509" s="377">
        <f t="shared" si="168"/>
        <v>0</v>
      </c>
      <c r="AT509" s="434"/>
      <c r="AU509" s="434"/>
      <c r="AV509" s="434"/>
      <c r="AW509" s="434"/>
      <c r="AX509" s="377">
        <f t="shared" si="169"/>
        <v>0</v>
      </c>
      <c r="AY509" s="434"/>
      <c r="AZ509" s="434"/>
      <c r="BA509" s="434"/>
      <c r="BB509" s="434"/>
      <c r="BC509" s="434"/>
      <c r="BD509" s="434"/>
      <c r="BE509" s="435"/>
      <c r="BF509" s="134" t="s">
        <v>56</v>
      </c>
      <c r="BG509" s="315" t="s">
        <v>553</v>
      </c>
      <c r="BH509" s="137" t="s">
        <v>131</v>
      </c>
    </row>
    <row r="510" s="77" customFormat="1" ht="15" hidden="1" spans="1:60">
      <c r="A510" s="301">
        <v>503</v>
      </c>
      <c r="B510" s="127" t="s">
        <v>19</v>
      </c>
      <c r="C510" s="127" t="s">
        <v>20</v>
      </c>
      <c r="D510" s="127">
        <v>2020</v>
      </c>
      <c r="E510" s="128" t="s">
        <v>751</v>
      </c>
      <c r="F510" s="433" t="s">
        <v>53</v>
      </c>
      <c r="G510" s="433" t="s">
        <v>53</v>
      </c>
      <c r="H510" s="310">
        <f t="shared" si="158"/>
        <v>8000000</v>
      </c>
      <c r="I510" s="310">
        <f t="shared" si="159"/>
        <v>8000000</v>
      </c>
      <c r="J510" s="310">
        <f t="shared" si="160"/>
        <v>0</v>
      </c>
      <c r="K510" s="310"/>
      <c r="L510" s="310"/>
      <c r="M510" s="310"/>
      <c r="N510" s="310"/>
      <c r="O510" s="377">
        <f t="shared" si="161"/>
        <v>0</v>
      </c>
      <c r="P510" s="310"/>
      <c r="Q510" s="310"/>
      <c r="R510" s="310"/>
      <c r="S510" s="310"/>
      <c r="T510" s="377">
        <f t="shared" si="162"/>
        <v>8000000</v>
      </c>
      <c r="U510" s="310"/>
      <c r="V510" s="310"/>
      <c r="W510" s="310">
        <v>8000000</v>
      </c>
      <c r="X510" s="310"/>
      <c r="Y510" s="377">
        <f t="shared" si="163"/>
        <v>0</v>
      </c>
      <c r="Z510" s="310"/>
      <c r="AA510" s="310"/>
      <c r="AB510" s="310"/>
      <c r="AC510" s="310"/>
      <c r="AD510" s="310"/>
      <c r="AE510" s="310"/>
      <c r="AF510" s="310"/>
      <c r="AG510" s="377">
        <f t="shared" si="164"/>
        <v>7883621.97</v>
      </c>
      <c r="AH510" s="377">
        <f t="shared" si="165"/>
        <v>7883621.97</v>
      </c>
      <c r="AI510" s="377">
        <f t="shared" si="166"/>
        <v>0</v>
      </c>
      <c r="AJ510" s="310"/>
      <c r="AK510" s="310"/>
      <c r="AL510" s="310"/>
      <c r="AM510" s="310"/>
      <c r="AN510" s="377">
        <f t="shared" si="167"/>
        <v>0</v>
      </c>
      <c r="AO510" s="310"/>
      <c r="AP510" s="310"/>
      <c r="AQ510" s="310"/>
      <c r="AR510" s="310"/>
      <c r="AS510" s="377">
        <f t="shared" si="168"/>
        <v>7883621.97</v>
      </c>
      <c r="AT510" s="310"/>
      <c r="AU510" s="310"/>
      <c r="AV510" s="310">
        <v>7883621.97</v>
      </c>
      <c r="AW510" s="310"/>
      <c r="AX510" s="377">
        <f t="shared" si="169"/>
        <v>0</v>
      </c>
      <c r="AY510" s="310"/>
      <c r="AZ510" s="310"/>
      <c r="BA510" s="310"/>
      <c r="BB510" s="310"/>
      <c r="BC510" s="310"/>
      <c r="BD510" s="310"/>
      <c r="BE510" s="312"/>
      <c r="BF510" s="127" t="s">
        <v>56</v>
      </c>
      <c r="BG510" s="140" t="s">
        <v>239</v>
      </c>
      <c r="BH510" s="133" t="s">
        <v>131</v>
      </c>
    </row>
    <row r="511" ht="15" hidden="1" spans="1:60">
      <c r="A511" s="301">
        <v>504</v>
      </c>
      <c r="B511" s="127" t="s">
        <v>19</v>
      </c>
      <c r="C511" s="127" t="s">
        <v>20</v>
      </c>
      <c r="D511" s="134">
        <v>2021</v>
      </c>
      <c r="E511" s="128" t="s">
        <v>752</v>
      </c>
      <c r="F511" s="433" t="s">
        <v>53</v>
      </c>
      <c r="G511" s="433" t="s">
        <v>53</v>
      </c>
      <c r="H511" s="310">
        <f t="shared" si="158"/>
        <v>3000000</v>
      </c>
      <c r="I511" s="310">
        <f t="shared" si="159"/>
        <v>3000000</v>
      </c>
      <c r="J511" s="310">
        <f t="shared" si="160"/>
        <v>0</v>
      </c>
      <c r="K511" s="434"/>
      <c r="L511" s="434"/>
      <c r="M511" s="434"/>
      <c r="N511" s="434"/>
      <c r="O511" s="377">
        <f t="shared" si="161"/>
        <v>0</v>
      </c>
      <c r="P511" s="434"/>
      <c r="Q511" s="434"/>
      <c r="R511" s="434"/>
      <c r="S511" s="434"/>
      <c r="T511" s="377">
        <f t="shared" si="162"/>
        <v>3000000</v>
      </c>
      <c r="U511" s="434"/>
      <c r="V511" s="434"/>
      <c r="W511" s="434"/>
      <c r="X511" s="434">
        <v>3000000</v>
      </c>
      <c r="Y511" s="377">
        <f t="shared" si="163"/>
        <v>0</v>
      </c>
      <c r="Z511" s="434"/>
      <c r="AA511" s="434"/>
      <c r="AB511" s="434"/>
      <c r="AC511" s="434"/>
      <c r="AD511" s="434"/>
      <c r="AE511" s="434"/>
      <c r="AF511" s="434"/>
      <c r="AG511" s="377">
        <f t="shared" si="164"/>
        <v>2802977.41</v>
      </c>
      <c r="AH511" s="377">
        <f t="shared" si="165"/>
        <v>2802977.41</v>
      </c>
      <c r="AI511" s="377">
        <f t="shared" si="166"/>
        <v>0</v>
      </c>
      <c r="AJ511" s="434"/>
      <c r="AK511" s="434"/>
      <c r="AL511" s="434"/>
      <c r="AM511" s="434"/>
      <c r="AN511" s="377">
        <f t="shared" si="167"/>
        <v>0</v>
      </c>
      <c r="AO511" s="434"/>
      <c r="AP511" s="434"/>
      <c r="AQ511" s="434"/>
      <c r="AR511" s="434"/>
      <c r="AS511" s="377">
        <f t="shared" si="168"/>
        <v>2802977.41</v>
      </c>
      <c r="AT511" s="434"/>
      <c r="AU511" s="434"/>
      <c r="AV511" s="434"/>
      <c r="AW511" s="434">
        <f>280.297741*10000</f>
        <v>2802977.41</v>
      </c>
      <c r="AX511" s="377">
        <f t="shared" si="169"/>
        <v>0</v>
      </c>
      <c r="AY511" s="434"/>
      <c r="AZ511" s="434"/>
      <c r="BA511" s="434"/>
      <c r="BB511" s="434"/>
      <c r="BC511" s="434"/>
      <c r="BD511" s="434"/>
      <c r="BE511" s="435"/>
      <c r="BF511" s="134" t="s">
        <v>56</v>
      </c>
      <c r="BG511" s="137" t="s">
        <v>729</v>
      </c>
      <c r="BH511" s="137"/>
    </row>
    <row r="512" s="77" customFormat="1" ht="15" hidden="1" spans="1:60">
      <c r="A512" s="301">
        <v>505</v>
      </c>
      <c r="B512" s="127" t="s">
        <v>19</v>
      </c>
      <c r="C512" s="127" t="s">
        <v>20</v>
      </c>
      <c r="D512" s="257">
        <v>2018</v>
      </c>
      <c r="E512" s="128" t="s">
        <v>753</v>
      </c>
      <c r="F512" s="433" t="s">
        <v>53</v>
      </c>
      <c r="G512" s="433" t="s">
        <v>53</v>
      </c>
      <c r="H512" s="310">
        <f t="shared" si="158"/>
        <v>1699800</v>
      </c>
      <c r="I512" s="310">
        <f t="shared" si="159"/>
        <v>1699800</v>
      </c>
      <c r="J512" s="310">
        <f t="shared" si="160"/>
        <v>0</v>
      </c>
      <c r="K512" s="310"/>
      <c r="L512" s="310"/>
      <c r="M512" s="310"/>
      <c r="N512" s="310"/>
      <c r="O512" s="377">
        <f t="shared" si="161"/>
        <v>1699800</v>
      </c>
      <c r="P512" s="310"/>
      <c r="Q512" s="310"/>
      <c r="R512" s="310"/>
      <c r="S512" s="310">
        <v>1699800</v>
      </c>
      <c r="T512" s="377">
        <f t="shared" si="162"/>
        <v>0</v>
      </c>
      <c r="U512" s="310"/>
      <c r="V512" s="310"/>
      <c r="W512" s="310"/>
      <c r="X512" s="310"/>
      <c r="Y512" s="377">
        <f t="shared" si="163"/>
        <v>0</v>
      </c>
      <c r="Z512" s="310"/>
      <c r="AA512" s="310"/>
      <c r="AB512" s="310"/>
      <c r="AC512" s="310"/>
      <c r="AD512" s="310"/>
      <c r="AE512" s="310"/>
      <c r="AF512" s="310"/>
      <c r="AG512" s="377">
        <f t="shared" si="164"/>
        <v>1607648.74</v>
      </c>
      <c r="AH512" s="377">
        <f t="shared" si="165"/>
        <v>1607648.74</v>
      </c>
      <c r="AI512" s="377">
        <f t="shared" si="166"/>
        <v>0</v>
      </c>
      <c r="AJ512" s="310"/>
      <c r="AK512" s="310"/>
      <c r="AL512" s="310"/>
      <c r="AM512" s="310"/>
      <c r="AN512" s="377">
        <f t="shared" si="167"/>
        <v>1607648.74</v>
      </c>
      <c r="AO512" s="310"/>
      <c r="AP512" s="310"/>
      <c r="AQ512" s="310"/>
      <c r="AR512" s="310">
        <v>1607648.74</v>
      </c>
      <c r="AS512" s="377">
        <f t="shared" si="168"/>
        <v>0</v>
      </c>
      <c r="AT512" s="310"/>
      <c r="AU512" s="310"/>
      <c r="AV512" s="310"/>
      <c r="AW512" s="310"/>
      <c r="AX512" s="377">
        <f t="shared" si="169"/>
        <v>0</v>
      </c>
      <c r="AY512" s="310"/>
      <c r="AZ512" s="310"/>
      <c r="BA512" s="310"/>
      <c r="BB512" s="310"/>
      <c r="BC512" s="310"/>
      <c r="BD512" s="310"/>
      <c r="BE512" s="312"/>
      <c r="BF512" s="127" t="s">
        <v>56</v>
      </c>
      <c r="BG512" s="184" t="s">
        <v>239</v>
      </c>
      <c r="BH512" s="133" t="s">
        <v>131</v>
      </c>
    </row>
    <row r="513" ht="15" hidden="1" spans="1:60">
      <c r="A513" s="301">
        <v>506</v>
      </c>
      <c r="B513" s="127" t="s">
        <v>19</v>
      </c>
      <c r="C513" s="127" t="s">
        <v>20</v>
      </c>
      <c r="D513" s="432">
        <v>2018</v>
      </c>
      <c r="E513" s="128" t="s">
        <v>754</v>
      </c>
      <c r="F513" s="433" t="s">
        <v>53</v>
      </c>
      <c r="G513" s="433" t="s">
        <v>53</v>
      </c>
      <c r="H513" s="310">
        <f t="shared" si="158"/>
        <v>2651000</v>
      </c>
      <c r="I513" s="310">
        <f t="shared" si="159"/>
        <v>2651000</v>
      </c>
      <c r="J513" s="310">
        <f t="shared" si="160"/>
        <v>0</v>
      </c>
      <c r="K513" s="434"/>
      <c r="L513" s="434"/>
      <c r="M513" s="434"/>
      <c r="N513" s="434"/>
      <c r="O513" s="377">
        <f t="shared" si="161"/>
        <v>2651000</v>
      </c>
      <c r="P513" s="434"/>
      <c r="Q513" s="434"/>
      <c r="R513" s="434"/>
      <c r="S513" s="434">
        <v>2651000</v>
      </c>
      <c r="T513" s="377">
        <f t="shared" si="162"/>
        <v>0</v>
      </c>
      <c r="U513" s="434"/>
      <c r="V513" s="434"/>
      <c r="W513" s="434"/>
      <c r="X513" s="434"/>
      <c r="Y513" s="377">
        <f t="shared" si="163"/>
        <v>0</v>
      </c>
      <c r="Z513" s="434"/>
      <c r="AA513" s="434"/>
      <c r="AB513" s="434"/>
      <c r="AC513" s="434"/>
      <c r="AD513" s="434"/>
      <c r="AE513" s="434"/>
      <c r="AF513" s="434"/>
      <c r="AG513" s="377">
        <f t="shared" si="164"/>
        <v>2546718.51</v>
      </c>
      <c r="AH513" s="377">
        <f t="shared" si="165"/>
        <v>2546718.51</v>
      </c>
      <c r="AI513" s="377">
        <f t="shared" si="166"/>
        <v>0</v>
      </c>
      <c r="AJ513" s="434"/>
      <c r="AK513" s="434"/>
      <c r="AL513" s="434"/>
      <c r="AM513" s="434"/>
      <c r="AN513" s="377">
        <f t="shared" si="167"/>
        <v>2546718.51</v>
      </c>
      <c r="AO513" s="434"/>
      <c r="AP513" s="434"/>
      <c r="AQ513" s="434"/>
      <c r="AR513" s="434">
        <v>2546718.51</v>
      </c>
      <c r="AS513" s="377">
        <f t="shared" si="168"/>
        <v>0</v>
      </c>
      <c r="AT513" s="434"/>
      <c r="AU513" s="434"/>
      <c r="AV513" s="434"/>
      <c r="AW513" s="434"/>
      <c r="AX513" s="377">
        <f t="shared" si="169"/>
        <v>0</v>
      </c>
      <c r="AY513" s="434"/>
      <c r="AZ513" s="434"/>
      <c r="BA513" s="434"/>
      <c r="BB513" s="434"/>
      <c r="BC513" s="434"/>
      <c r="BD513" s="434"/>
      <c r="BE513" s="435"/>
      <c r="BF513" s="134" t="s">
        <v>56</v>
      </c>
      <c r="BG513" s="315" t="s">
        <v>755</v>
      </c>
      <c r="BH513" s="137" t="s">
        <v>288</v>
      </c>
    </row>
    <row r="514" s="77" customFormat="1" ht="15" hidden="1" spans="1:60">
      <c r="A514" s="301">
        <v>507</v>
      </c>
      <c r="B514" s="127" t="s">
        <v>19</v>
      </c>
      <c r="C514" s="127" t="s">
        <v>20</v>
      </c>
      <c r="D514" s="257">
        <v>2022</v>
      </c>
      <c r="E514" s="128" t="s">
        <v>756</v>
      </c>
      <c r="F514" s="433" t="s">
        <v>53</v>
      </c>
      <c r="G514" s="433" t="s">
        <v>53</v>
      </c>
      <c r="H514" s="310">
        <f t="shared" si="158"/>
        <v>3000000</v>
      </c>
      <c r="I514" s="310">
        <f t="shared" si="159"/>
        <v>3000000</v>
      </c>
      <c r="J514" s="310">
        <f t="shared" si="160"/>
        <v>0</v>
      </c>
      <c r="K514" s="310"/>
      <c r="L514" s="310"/>
      <c r="M514" s="310"/>
      <c r="N514" s="310"/>
      <c r="O514" s="377">
        <f t="shared" si="161"/>
        <v>0</v>
      </c>
      <c r="P514" s="310"/>
      <c r="Q514" s="310"/>
      <c r="R514" s="310"/>
      <c r="S514" s="310"/>
      <c r="T514" s="377">
        <f t="shared" si="162"/>
        <v>3000000</v>
      </c>
      <c r="U514" s="310">
        <v>3000000</v>
      </c>
      <c r="V514" s="310"/>
      <c r="W514" s="310"/>
      <c r="X514" s="310"/>
      <c r="Y514" s="377">
        <f t="shared" si="163"/>
        <v>0</v>
      </c>
      <c r="Z514" s="310"/>
      <c r="AA514" s="310"/>
      <c r="AB514" s="310"/>
      <c r="AC514" s="310"/>
      <c r="AD514" s="310"/>
      <c r="AE514" s="310"/>
      <c r="AF514" s="310"/>
      <c r="AG514" s="377">
        <f t="shared" si="164"/>
        <v>3000000</v>
      </c>
      <c r="AH514" s="377">
        <f t="shared" si="165"/>
        <v>3000000</v>
      </c>
      <c r="AI514" s="377">
        <f t="shared" si="166"/>
        <v>0</v>
      </c>
      <c r="AJ514" s="310"/>
      <c r="AK514" s="310"/>
      <c r="AL514" s="310"/>
      <c r="AM514" s="310"/>
      <c r="AN514" s="377">
        <f t="shared" si="167"/>
        <v>0</v>
      </c>
      <c r="AO514" s="310"/>
      <c r="AP514" s="310"/>
      <c r="AQ514" s="310"/>
      <c r="AR514" s="310"/>
      <c r="AS514" s="377">
        <f t="shared" si="168"/>
        <v>3000000</v>
      </c>
      <c r="AT514" s="310">
        <v>3000000</v>
      </c>
      <c r="AU514" s="310"/>
      <c r="AV514" s="310"/>
      <c r="AW514" s="310"/>
      <c r="AX514" s="377">
        <f t="shared" si="169"/>
        <v>0</v>
      </c>
      <c r="AY514" s="310"/>
      <c r="AZ514" s="310"/>
      <c r="BA514" s="310"/>
      <c r="BB514" s="310"/>
      <c r="BC514" s="310"/>
      <c r="BD514" s="310"/>
      <c r="BE514" s="312"/>
      <c r="BF514" s="127" t="s">
        <v>56</v>
      </c>
      <c r="BG514" s="128" t="s">
        <v>317</v>
      </c>
      <c r="BH514" s="133" t="s">
        <v>131</v>
      </c>
    </row>
    <row r="515" s="78" customFormat="1" ht="15" hidden="1" spans="1:60">
      <c r="A515" s="301">
        <v>508</v>
      </c>
      <c r="B515" s="127" t="s">
        <v>19</v>
      </c>
      <c r="C515" s="127" t="s">
        <v>20</v>
      </c>
      <c r="D515" s="432">
        <v>2019</v>
      </c>
      <c r="E515" s="128" t="s">
        <v>757</v>
      </c>
      <c r="F515" s="433" t="s">
        <v>53</v>
      </c>
      <c r="G515" s="433" t="s">
        <v>53</v>
      </c>
      <c r="H515" s="310">
        <f t="shared" si="158"/>
        <v>5220000</v>
      </c>
      <c r="I515" s="310">
        <f t="shared" si="159"/>
        <v>5220000</v>
      </c>
      <c r="J515" s="310">
        <f t="shared" si="160"/>
        <v>0</v>
      </c>
      <c r="K515" s="434"/>
      <c r="L515" s="434"/>
      <c r="M515" s="434"/>
      <c r="N515" s="434"/>
      <c r="O515" s="377">
        <f t="shared" si="161"/>
        <v>5220000</v>
      </c>
      <c r="P515" s="434"/>
      <c r="Q515" s="434"/>
      <c r="R515" s="434">
        <v>5220000</v>
      </c>
      <c r="S515" s="434"/>
      <c r="T515" s="377">
        <f t="shared" si="162"/>
        <v>0</v>
      </c>
      <c r="U515" s="434"/>
      <c r="V515" s="434"/>
      <c r="W515" s="434"/>
      <c r="X515" s="434"/>
      <c r="Y515" s="377">
        <f t="shared" si="163"/>
        <v>0</v>
      </c>
      <c r="Z515" s="434"/>
      <c r="AA515" s="434"/>
      <c r="AB515" s="434"/>
      <c r="AC515" s="434"/>
      <c r="AD515" s="434"/>
      <c r="AE515" s="434"/>
      <c r="AF515" s="434"/>
      <c r="AG515" s="377">
        <f t="shared" si="164"/>
        <v>5183481.14</v>
      </c>
      <c r="AH515" s="377">
        <f t="shared" si="165"/>
        <v>5183481.14</v>
      </c>
      <c r="AI515" s="377">
        <f t="shared" si="166"/>
        <v>0</v>
      </c>
      <c r="AJ515" s="434"/>
      <c r="AK515" s="434"/>
      <c r="AL515" s="434"/>
      <c r="AM515" s="434"/>
      <c r="AN515" s="377">
        <f t="shared" si="167"/>
        <v>5183481.14</v>
      </c>
      <c r="AO515" s="434"/>
      <c r="AP515" s="434"/>
      <c r="AQ515" s="434">
        <v>5183481.14</v>
      </c>
      <c r="AR515" s="434"/>
      <c r="AS515" s="377">
        <f t="shared" si="168"/>
        <v>0</v>
      </c>
      <c r="AT515" s="434"/>
      <c r="AU515" s="434"/>
      <c r="AV515" s="434"/>
      <c r="AW515" s="434"/>
      <c r="AX515" s="377">
        <f t="shared" si="169"/>
        <v>0</v>
      </c>
      <c r="AY515" s="434"/>
      <c r="AZ515" s="434"/>
      <c r="BA515" s="434"/>
      <c r="BB515" s="434"/>
      <c r="BC515" s="434"/>
      <c r="BD515" s="434"/>
      <c r="BE515" s="435"/>
      <c r="BF515" s="134" t="s">
        <v>56</v>
      </c>
      <c r="BG515" s="315" t="s">
        <v>758</v>
      </c>
      <c r="BH515" s="137" t="s">
        <v>216</v>
      </c>
    </row>
    <row r="516" s="77" customFormat="1" ht="15" hidden="1" spans="1:60">
      <c r="A516" s="301">
        <v>509</v>
      </c>
      <c r="B516" s="127" t="s">
        <v>19</v>
      </c>
      <c r="C516" s="127" t="s">
        <v>20</v>
      </c>
      <c r="D516" s="257">
        <v>2019</v>
      </c>
      <c r="E516" s="128" t="s">
        <v>759</v>
      </c>
      <c r="F516" s="433" t="s">
        <v>53</v>
      </c>
      <c r="G516" s="433" t="s">
        <v>53</v>
      </c>
      <c r="H516" s="310">
        <f t="shared" si="158"/>
        <v>7870000</v>
      </c>
      <c r="I516" s="310">
        <f t="shared" si="159"/>
        <v>7870000</v>
      </c>
      <c r="J516" s="310">
        <f t="shared" si="160"/>
        <v>0</v>
      </c>
      <c r="K516" s="310"/>
      <c r="L516" s="310"/>
      <c r="M516" s="310"/>
      <c r="N516" s="310"/>
      <c r="O516" s="377">
        <f t="shared" si="161"/>
        <v>7870000</v>
      </c>
      <c r="P516" s="310"/>
      <c r="Q516" s="310"/>
      <c r="R516" s="310">
        <v>7870000</v>
      </c>
      <c r="S516" s="310"/>
      <c r="T516" s="377">
        <f t="shared" si="162"/>
        <v>0</v>
      </c>
      <c r="U516" s="310"/>
      <c r="V516" s="310"/>
      <c r="W516" s="310"/>
      <c r="X516" s="310"/>
      <c r="Y516" s="377">
        <f t="shared" si="163"/>
        <v>0</v>
      </c>
      <c r="Z516" s="310"/>
      <c r="AA516" s="310"/>
      <c r="AB516" s="310"/>
      <c r="AC516" s="310"/>
      <c r="AD516" s="310"/>
      <c r="AE516" s="310"/>
      <c r="AF516" s="310"/>
      <c r="AG516" s="377">
        <f t="shared" si="164"/>
        <v>7585661.62</v>
      </c>
      <c r="AH516" s="377">
        <f t="shared" si="165"/>
        <v>7585661.62</v>
      </c>
      <c r="AI516" s="377">
        <f t="shared" si="166"/>
        <v>0</v>
      </c>
      <c r="AJ516" s="310"/>
      <c r="AK516" s="310"/>
      <c r="AL516" s="310"/>
      <c r="AM516" s="310"/>
      <c r="AN516" s="377">
        <f t="shared" si="167"/>
        <v>7585661.62</v>
      </c>
      <c r="AO516" s="310"/>
      <c r="AP516" s="310"/>
      <c r="AQ516" s="310">
        <v>7585661.62</v>
      </c>
      <c r="AR516" s="310"/>
      <c r="AS516" s="377">
        <f t="shared" si="168"/>
        <v>0</v>
      </c>
      <c r="AT516" s="310"/>
      <c r="AU516" s="310"/>
      <c r="AV516" s="310"/>
      <c r="AW516" s="310"/>
      <c r="AX516" s="377">
        <f t="shared" si="169"/>
        <v>0</v>
      </c>
      <c r="AY516" s="310"/>
      <c r="AZ516" s="310"/>
      <c r="BA516" s="310"/>
      <c r="BB516" s="310"/>
      <c r="BC516" s="310"/>
      <c r="BD516" s="310"/>
      <c r="BE516" s="312"/>
      <c r="BF516" s="127" t="s">
        <v>56</v>
      </c>
      <c r="BG516" s="128" t="s">
        <v>758</v>
      </c>
      <c r="BH516" s="133" t="s">
        <v>216</v>
      </c>
    </row>
    <row r="517" s="77" customFormat="1" ht="15" hidden="1" spans="1:60">
      <c r="A517" s="301">
        <v>510</v>
      </c>
      <c r="B517" s="127" t="s">
        <v>19</v>
      </c>
      <c r="C517" s="127" t="s">
        <v>20</v>
      </c>
      <c r="D517" s="257">
        <v>2020</v>
      </c>
      <c r="E517" s="58" t="s">
        <v>760</v>
      </c>
      <c r="F517" s="433" t="s">
        <v>53</v>
      </c>
      <c r="G517" s="127" t="s">
        <v>56</v>
      </c>
      <c r="H517" s="310">
        <f t="shared" ref="H517:H526" si="170">I517+AF517</f>
        <v>122908200</v>
      </c>
      <c r="I517" s="310">
        <f t="shared" ref="I517:I526" si="171">O517+J517+T517+Y517+AE517+AC517+AD517</f>
        <v>122908200</v>
      </c>
      <c r="J517" s="310">
        <f t="shared" ref="J517:J526" si="172">N517+M517+L517+K517</f>
        <v>0</v>
      </c>
      <c r="K517" s="310"/>
      <c r="L517" s="310"/>
      <c r="M517" s="310"/>
      <c r="N517" s="310"/>
      <c r="O517" s="310">
        <f t="shared" ref="O517:O526" si="173">S517+R517+Q517+P517</f>
        <v>0</v>
      </c>
      <c r="P517" s="310"/>
      <c r="Q517" s="310"/>
      <c r="R517" s="310"/>
      <c r="S517" s="310"/>
      <c r="T517" s="310">
        <f t="shared" ref="T517:T526" si="174">U517+V517+W517+X517</f>
        <v>0</v>
      </c>
      <c r="U517" s="310"/>
      <c r="V517" s="310"/>
      <c r="W517" s="310"/>
      <c r="X517" s="310"/>
      <c r="Y517" s="310">
        <f t="shared" ref="Y517:Y526" si="175">AA517+Z517+AB517</f>
        <v>0</v>
      </c>
      <c r="Z517" s="310"/>
      <c r="AA517" s="310"/>
      <c r="AB517" s="310"/>
      <c r="AC517" s="310"/>
      <c r="AD517" s="436">
        <v>122908200</v>
      </c>
      <c r="AE517" s="310"/>
      <c r="AF517" s="310"/>
      <c r="AG517" s="310">
        <f t="shared" ref="AG517:AG526" si="176">AH517+BE517</f>
        <v>122908200</v>
      </c>
      <c r="AH517" s="310">
        <f t="shared" ref="AH517:AH526" si="177">AN517+AI517+AS517+AX517+BD517+BB517+BC517</f>
        <v>122908200</v>
      </c>
      <c r="AI517" s="310">
        <f t="shared" ref="AI517:AI526" si="178">AM517+AL517+AK517+AJ517</f>
        <v>0</v>
      </c>
      <c r="AJ517" s="310"/>
      <c r="AK517" s="310"/>
      <c r="AL517" s="310"/>
      <c r="AM517" s="310"/>
      <c r="AN517" s="310">
        <f t="shared" ref="AN517:AN526" si="179">AR517+AQ517+AP517+AO517</f>
        <v>0</v>
      </c>
      <c r="AO517" s="310"/>
      <c r="AP517" s="310"/>
      <c r="AQ517" s="310"/>
      <c r="AR517" s="310"/>
      <c r="AS517" s="310">
        <f t="shared" ref="AS517:AS526" si="180">AW517+AV517+AU517+AT517</f>
        <v>0</v>
      </c>
      <c r="AT517" s="310"/>
      <c r="AU517" s="310"/>
      <c r="AV517" s="310"/>
      <c r="AW517" s="310"/>
      <c r="AX517" s="310">
        <f t="shared" ref="AX517:AX526" si="181">AZ517+AY517+BA517</f>
        <v>0</v>
      </c>
      <c r="AY517" s="310"/>
      <c r="AZ517" s="310"/>
      <c r="BA517" s="310"/>
      <c r="BB517" s="310"/>
      <c r="BC517" s="310">
        <v>122908200</v>
      </c>
      <c r="BD517" s="310"/>
      <c r="BE517" s="312"/>
      <c r="BF517" s="127" t="s">
        <v>56</v>
      </c>
      <c r="BG517" s="128" t="s">
        <v>761</v>
      </c>
      <c r="BH517" s="133" t="s">
        <v>762</v>
      </c>
    </row>
    <row r="518" s="77" customFormat="1" ht="15" hidden="1" spans="1:60">
      <c r="A518" s="301">
        <v>511</v>
      </c>
      <c r="B518" s="127" t="s">
        <v>19</v>
      </c>
      <c r="C518" s="127" t="s">
        <v>20</v>
      </c>
      <c r="D518" s="257">
        <v>2020</v>
      </c>
      <c r="E518" s="128" t="s">
        <v>763</v>
      </c>
      <c r="F518" s="433" t="s">
        <v>53</v>
      </c>
      <c r="G518" s="127" t="s">
        <v>56</v>
      </c>
      <c r="H518" s="310">
        <f t="shared" si="170"/>
        <v>101792100</v>
      </c>
      <c r="I518" s="310">
        <f t="shared" si="171"/>
        <v>101792100</v>
      </c>
      <c r="J518" s="310">
        <f t="shared" si="172"/>
        <v>0</v>
      </c>
      <c r="K518" s="310"/>
      <c r="L518" s="310"/>
      <c r="M518" s="310"/>
      <c r="N518" s="310"/>
      <c r="O518" s="310">
        <f t="shared" si="173"/>
        <v>0</v>
      </c>
      <c r="P518" s="310"/>
      <c r="Q518" s="310"/>
      <c r="R518" s="310"/>
      <c r="S518" s="310"/>
      <c r="T518" s="310">
        <f t="shared" si="174"/>
        <v>0</v>
      </c>
      <c r="U518" s="310"/>
      <c r="V518" s="310"/>
      <c r="W518" s="310"/>
      <c r="X518" s="310"/>
      <c r="Y518" s="310">
        <f t="shared" si="175"/>
        <v>0</v>
      </c>
      <c r="Z518" s="310"/>
      <c r="AA518" s="310"/>
      <c r="AB518" s="310"/>
      <c r="AC518" s="310"/>
      <c r="AD518" s="436">
        <v>101792100</v>
      </c>
      <c r="AE518" s="310"/>
      <c r="AF518" s="310"/>
      <c r="AG518" s="310">
        <f t="shared" si="176"/>
        <v>101792100</v>
      </c>
      <c r="AH518" s="310">
        <f t="shared" si="177"/>
        <v>101792100</v>
      </c>
      <c r="AI518" s="310">
        <f t="shared" si="178"/>
        <v>0</v>
      </c>
      <c r="AJ518" s="310"/>
      <c r="AK518" s="310"/>
      <c r="AL518" s="310"/>
      <c r="AM518" s="310"/>
      <c r="AN518" s="310">
        <f t="shared" si="179"/>
        <v>0</v>
      </c>
      <c r="AO518" s="310"/>
      <c r="AP518" s="310"/>
      <c r="AQ518" s="310"/>
      <c r="AR518" s="310"/>
      <c r="AS518" s="310">
        <f t="shared" si="180"/>
        <v>0</v>
      </c>
      <c r="AT518" s="310"/>
      <c r="AU518" s="310"/>
      <c r="AV518" s="310"/>
      <c r="AW518" s="310"/>
      <c r="AX518" s="310">
        <f t="shared" si="181"/>
        <v>0</v>
      </c>
      <c r="AY518" s="310"/>
      <c r="AZ518" s="310"/>
      <c r="BA518" s="310"/>
      <c r="BB518" s="310"/>
      <c r="BC518" s="310">
        <v>101792100</v>
      </c>
      <c r="BD518" s="310"/>
      <c r="BE518" s="312"/>
      <c r="BF518" s="127" t="s">
        <v>56</v>
      </c>
      <c r="BG518" s="128" t="s">
        <v>761</v>
      </c>
      <c r="BH518" s="133" t="s">
        <v>762</v>
      </c>
    </row>
    <row r="519" s="77" customFormat="1" ht="15" hidden="1" spans="1:60">
      <c r="A519" s="301">
        <v>512</v>
      </c>
      <c r="B519" s="127" t="s">
        <v>19</v>
      </c>
      <c r="C519" s="127" t="s">
        <v>20</v>
      </c>
      <c r="D519" s="257">
        <v>2020</v>
      </c>
      <c r="E519" s="128" t="s">
        <v>764</v>
      </c>
      <c r="F519" s="433" t="s">
        <v>53</v>
      </c>
      <c r="G519" s="127" t="s">
        <v>56</v>
      </c>
      <c r="H519" s="310">
        <f t="shared" si="170"/>
        <v>60783300</v>
      </c>
      <c r="I519" s="310">
        <f t="shared" si="171"/>
        <v>60783300</v>
      </c>
      <c r="J519" s="310">
        <f t="shared" si="172"/>
        <v>0</v>
      </c>
      <c r="K519" s="310"/>
      <c r="L519" s="310"/>
      <c r="M519" s="310"/>
      <c r="N519" s="310"/>
      <c r="O519" s="310">
        <f t="shared" si="173"/>
        <v>0</v>
      </c>
      <c r="P519" s="310"/>
      <c r="Q519" s="310"/>
      <c r="R519" s="310"/>
      <c r="S519" s="310"/>
      <c r="T519" s="310">
        <f t="shared" si="174"/>
        <v>0</v>
      </c>
      <c r="U519" s="310"/>
      <c r="V519" s="310"/>
      <c r="W519" s="310"/>
      <c r="X519" s="310"/>
      <c r="Y519" s="310">
        <f t="shared" si="175"/>
        <v>0</v>
      </c>
      <c r="Z519" s="310"/>
      <c r="AA519" s="310"/>
      <c r="AB519" s="310"/>
      <c r="AC519" s="310"/>
      <c r="AD519" s="436">
        <v>60783300</v>
      </c>
      <c r="AE519" s="310"/>
      <c r="AF519" s="310"/>
      <c r="AG519" s="310">
        <f t="shared" si="176"/>
        <v>60783300</v>
      </c>
      <c r="AH519" s="310">
        <f t="shared" si="177"/>
        <v>60783300</v>
      </c>
      <c r="AI519" s="310">
        <f t="shared" si="178"/>
        <v>0</v>
      </c>
      <c r="AJ519" s="310"/>
      <c r="AK519" s="310"/>
      <c r="AL519" s="310"/>
      <c r="AM519" s="310"/>
      <c r="AN519" s="310">
        <f t="shared" si="179"/>
        <v>0</v>
      </c>
      <c r="AO519" s="310"/>
      <c r="AP519" s="310"/>
      <c r="AQ519" s="310"/>
      <c r="AR519" s="310"/>
      <c r="AS519" s="310">
        <f t="shared" si="180"/>
        <v>0</v>
      </c>
      <c r="AT519" s="310"/>
      <c r="AU519" s="310"/>
      <c r="AV519" s="310"/>
      <c r="AW519" s="310"/>
      <c r="AX519" s="310">
        <f t="shared" si="181"/>
        <v>0</v>
      </c>
      <c r="AY519" s="310"/>
      <c r="AZ519" s="310"/>
      <c r="BA519" s="310"/>
      <c r="BB519" s="310"/>
      <c r="BC519" s="310">
        <v>60783300</v>
      </c>
      <c r="BD519" s="310"/>
      <c r="BE519" s="312"/>
      <c r="BF519" s="127" t="s">
        <v>56</v>
      </c>
      <c r="BG519" s="128" t="s">
        <v>761</v>
      </c>
      <c r="BH519" s="133" t="s">
        <v>762</v>
      </c>
    </row>
    <row r="520" s="77" customFormat="1" ht="15" hidden="1" spans="1:60">
      <c r="A520" s="301">
        <v>513</v>
      </c>
      <c r="B520" s="127" t="s">
        <v>19</v>
      </c>
      <c r="C520" s="127" t="s">
        <v>20</v>
      </c>
      <c r="D520" s="257">
        <v>2020</v>
      </c>
      <c r="E520" s="128" t="s">
        <v>765</v>
      </c>
      <c r="F520" s="433" t="s">
        <v>53</v>
      </c>
      <c r="G520" s="127" t="s">
        <v>56</v>
      </c>
      <c r="H520" s="310">
        <f t="shared" si="170"/>
        <v>4115100</v>
      </c>
      <c r="I520" s="310">
        <f t="shared" si="171"/>
        <v>4115100</v>
      </c>
      <c r="J520" s="310">
        <f t="shared" si="172"/>
        <v>0</v>
      </c>
      <c r="K520" s="310"/>
      <c r="L520" s="310"/>
      <c r="M520" s="310"/>
      <c r="N520" s="310"/>
      <c r="O520" s="310">
        <f t="shared" si="173"/>
        <v>0</v>
      </c>
      <c r="P520" s="310"/>
      <c r="Q520" s="310"/>
      <c r="R520" s="310"/>
      <c r="S520" s="310"/>
      <c r="T520" s="310">
        <f t="shared" si="174"/>
        <v>0</v>
      </c>
      <c r="U520" s="310"/>
      <c r="V520" s="310"/>
      <c r="W520" s="310"/>
      <c r="X520" s="310"/>
      <c r="Y520" s="310">
        <f t="shared" si="175"/>
        <v>0</v>
      </c>
      <c r="Z520" s="310"/>
      <c r="AA520" s="310"/>
      <c r="AB520" s="310"/>
      <c r="AC520" s="310"/>
      <c r="AD520" s="436">
        <v>4115100</v>
      </c>
      <c r="AE520" s="310"/>
      <c r="AF520" s="310"/>
      <c r="AG520" s="310">
        <f t="shared" si="176"/>
        <v>4115100</v>
      </c>
      <c r="AH520" s="310">
        <f t="shared" si="177"/>
        <v>4115100</v>
      </c>
      <c r="AI520" s="310">
        <f t="shared" si="178"/>
        <v>0</v>
      </c>
      <c r="AJ520" s="310"/>
      <c r="AK520" s="310"/>
      <c r="AL520" s="310"/>
      <c r="AM520" s="310"/>
      <c r="AN520" s="310">
        <f t="shared" si="179"/>
        <v>0</v>
      </c>
      <c r="AO520" s="310"/>
      <c r="AP520" s="310"/>
      <c r="AQ520" s="310"/>
      <c r="AR520" s="310"/>
      <c r="AS520" s="310">
        <f t="shared" si="180"/>
        <v>0</v>
      </c>
      <c r="AT520" s="310"/>
      <c r="AU520" s="310"/>
      <c r="AV520" s="310"/>
      <c r="AW520" s="310"/>
      <c r="AX520" s="310">
        <f t="shared" si="181"/>
        <v>0</v>
      </c>
      <c r="AY520" s="310"/>
      <c r="AZ520" s="310"/>
      <c r="BA520" s="310"/>
      <c r="BB520" s="310"/>
      <c r="BC520" s="310">
        <v>4115100</v>
      </c>
      <c r="BD520" s="310"/>
      <c r="BE520" s="312"/>
      <c r="BF520" s="127" t="s">
        <v>56</v>
      </c>
      <c r="BG520" s="128" t="s">
        <v>761</v>
      </c>
      <c r="BH520" s="133" t="s">
        <v>762</v>
      </c>
    </row>
    <row r="521" s="272" customFormat="1" ht="15" hidden="1" spans="1:60">
      <c r="A521" s="301">
        <v>514</v>
      </c>
      <c r="B521" s="327" t="s">
        <v>19</v>
      </c>
      <c r="C521" s="327" t="s">
        <v>20</v>
      </c>
      <c r="D521" s="437">
        <v>2020</v>
      </c>
      <c r="E521" s="438" t="s">
        <v>766</v>
      </c>
      <c r="F521" s="439" t="s">
        <v>53</v>
      </c>
      <c r="G521" s="327" t="s">
        <v>56</v>
      </c>
      <c r="H521" s="328">
        <f t="shared" si="170"/>
        <v>655100</v>
      </c>
      <c r="I521" s="328">
        <f t="shared" si="171"/>
        <v>655100</v>
      </c>
      <c r="J521" s="328">
        <f t="shared" si="172"/>
        <v>0</v>
      </c>
      <c r="K521" s="328"/>
      <c r="L521" s="328"/>
      <c r="M521" s="328"/>
      <c r="N521" s="328"/>
      <c r="O521" s="328">
        <f t="shared" si="173"/>
        <v>0</v>
      </c>
      <c r="P521" s="328"/>
      <c r="Q521" s="328"/>
      <c r="R521" s="328"/>
      <c r="S521" s="328"/>
      <c r="T521" s="328">
        <f t="shared" si="174"/>
        <v>0</v>
      </c>
      <c r="U521" s="328"/>
      <c r="V521" s="328"/>
      <c r="W521" s="328"/>
      <c r="X521" s="328"/>
      <c r="Y521" s="328">
        <f t="shared" si="175"/>
        <v>0</v>
      </c>
      <c r="Z521" s="328"/>
      <c r="AA521" s="328"/>
      <c r="AB521" s="328"/>
      <c r="AC521" s="328"/>
      <c r="AD521" s="440">
        <v>655100</v>
      </c>
      <c r="AE521" s="328"/>
      <c r="AF521" s="328"/>
      <c r="AG521" s="328">
        <f t="shared" si="176"/>
        <v>655100</v>
      </c>
      <c r="AH521" s="328">
        <f t="shared" si="177"/>
        <v>655100</v>
      </c>
      <c r="AI521" s="328">
        <f t="shared" si="178"/>
        <v>0</v>
      </c>
      <c r="AJ521" s="328"/>
      <c r="AK521" s="328"/>
      <c r="AL521" s="328"/>
      <c r="AM521" s="328"/>
      <c r="AN521" s="328">
        <f t="shared" si="179"/>
        <v>0</v>
      </c>
      <c r="AO521" s="328"/>
      <c r="AP521" s="328"/>
      <c r="AQ521" s="328"/>
      <c r="AR521" s="328"/>
      <c r="AS521" s="328">
        <f t="shared" si="180"/>
        <v>0</v>
      </c>
      <c r="AT521" s="328"/>
      <c r="AU521" s="328"/>
      <c r="AV521" s="328"/>
      <c r="AW521" s="328"/>
      <c r="AX521" s="328">
        <f t="shared" si="181"/>
        <v>0</v>
      </c>
      <c r="AY521" s="328"/>
      <c r="AZ521" s="328"/>
      <c r="BA521" s="328"/>
      <c r="BB521" s="328"/>
      <c r="BC521" s="328">
        <v>655100</v>
      </c>
      <c r="BD521" s="328"/>
      <c r="BE521" s="329"/>
      <c r="BF521" s="327" t="s">
        <v>56</v>
      </c>
      <c r="BG521" s="184" t="s">
        <v>767</v>
      </c>
      <c r="BH521" s="441" t="s">
        <v>90</v>
      </c>
    </row>
    <row r="522" s="77" customFormat="1" ht="15" hidden="1" spans="1:60">
      <c r="A522" s="301">
        <v>515</v>
      </c>
      <c r="B522" s="127" t="s">
        <v>19</v>
      </c>
      <c r="C522" s="127" t="s">
        <v>20</v>
      </c>
      <c r="D522" s="257">
        <v>2020</v>
      </c>
      <c r="E522" s="58" t="s">
        <v>760</v>
      </c>
      <c r="F522" s="433" t="s">
        <v>53</v>
      </c>
      <c r="G522" s="127" t="s">
        <v>56</v>
      </c>
      <c r="H522" s="310">
        <f t="shared" si="170"/>
        <v>4044200</v>
      </c>
      <c r="I522" s="310">
        <f t="shared" si="171"/>
        <v>4044200</v>
      </c>
      <c r="J522" s="310">
        <f t="shared" si="172"/>
        <v>0</v>
      </c>
      <c r="K522" s="310"/>
      <c r="L522" s="310"/>
      <c r="M522" s="310"/>
      <c r="N522" s="310"/>
      <c r="O522" s="310">
        <f t="shared" si="173"/>
        <v>0</v>
      </c>
      <c r="P522" s="310"/>
      <c r="Q522" s="310"/>
      <c r="R522" s="310"/>
      <c r="S522" s="310"/>
      <c r="T522" s="310">
        <f t="shared" si="174"/>
        <v>0</v>
      </c>
      <c r="U522" s="310"/>
      <c r="V522" s="310"/>
      <c r="W522" s="310"/>
      <c r="X522" s="310"/>
      <c r="Y522" s="310">
        <f t="shared" si="175"/>
        <v>0</v>
      </c>
      <c r="Z522" s="310"/>
      <c r="AA522" s="310"/>
      <c r="AB522" s="310"/>
      <c r="AC522" s="310"/>
      <c r="AD522" s="436">
        <v>4044200</v>
      </c>
      <c r="AE522" s="310"/>
      <c r="AF522" s="310"/>
      <c r="AG522" s="310">
        <f t="shared" si="176"/>
        <v>4044200</v>
      </c>
      <c r="AH522" s="310">
        <f t="shared" si="177"/>
        <v>4044200</v>
      </c>
      <c r="AI522" s="310">
        <f t="shared" si="178"/>
        <v>0</v>
      </c>
      <c r="AJ522" s="310"/>
      <c r="AK522" s="310"/>
      <c r="AL522" s="310"/>
      <c r="AM522" s="310"/>
      <c r="AN522" s="310">
        <f t="shared" si="179"/>
        <v>0</v>
      </c>
      <c r="AO522" s="310"/>
      <c r="AP522" s="310"/>
      <c r="AQ522" s="310"/>
      <c r="AR522" s="310"/>
      <c r="AS522" s="310">
        <f t="shared" si="180"/>
        <v>0</v>
      </c>
      <c r="AT522" s="310"/>
      <c r="AU522" s="310"/>
      <c r="AV522" s="310"/>
      <c r="AW522" s="310"/>
      <c r="AX522" s="310">
        <f t="shared" si="181"/>
        <v>0</v>
      </c>
      <c r="AY522" s="310"/>
      <c r="AZ522" s="310"/>
      <c r="BA522" s="310"/>
      <c r="BB522" s="310"/>
      <c r="BC522" s="310">
        <v>4044200</v>
      </c>
      <c r="BD522" s="310"/>
      <c r="BE522" s="312"/>
      <c r="BF522" s="127" t="s">
        <v>56</v>
      </c>
      <c r="BG522" s="128" t="s">
        <v>761</v>
      </c>
      <c r="BH522" s="133" t="s">
        <v>762</v>
      </c>
    </row>
    <row r="523" s="77" customFormat="1" ht="15" hidden="1" spans="1:60">
      <c r="A523" s="301">
        <v>516</v>
      </c>
      <c r="B523" s="127" t="s">
        <v>19</v>
      </c>
      <c r="C523" s="127" t="s">
        <v>20</v>
      </c>
      <c r="D523" s="257">
        <v>2021</v>
      </c>
      <c r="E523" s="128" t="s">
        <v>768</v>
      </c>
      <c r="F523" s="433" t="s">
        <v>53</v>
      </c>
      <c r="G523" s="127" t="s">
        <v>56</v>
      </c>
      <c r="H523" s="310">
        <f t="shared" si="170"/>
        <v>1959300</v>
      </c>
      <c r="I523" s="310">
        <f t="shared" si="171"/>
        <v>1959300</v>
      </c>
      <c r="J523" s="310">
        <f t="shared" si="172"/>
        <v>0</v>
      </c>
      <c r="K523" s="310"/>
      <c r="L523" s="310"/>
      <c r="M523" s="310"/>
      <c r="N523" s="310"/>
      <c r="O523" s="310">
        <f t="shared" si="173"/>
        <v>0</v>
      </c>
      <c r="P523" s="310"/>
      <c r="Q523" s="310"/>
      <c r="R523" s="310"/>
      <c r="S523" s="310"/>
      <c r="T523" s="310">
        <f t="shared" si="174"/>
        <v>0</v>
      </c>
      <c r="U523" s="310"/>
      <c r="V523" s="310"/>
      <c r="W523" s="310"/>
      <c r="X523" s="310"/>
      <c r="Y523" s="310">
        <f t="shared" si="175"/>
        <v>0</v>
      </c>
      <c r="Z523" s="310"/>
      <c r="AA523" s="310"/>
      <c r="AB523" s="310"/>
      <c r="AC523" s="310"/>
      <c r="AD523" s="436">
        <v>1959300</v>
      </c>
      <c r="AE523" s="310"/>
      <c r="AF523" s="310"/>
      <c r="AG523" s="310">
        <f t="shared" si="176"/>
        <v>1959300</v>
      </c>
      <c r="AH523" s="310">
        <f t="shared" si="177"/>
        <v>1959300</v>
      </c>
      <c r="AI523" s="310">
        <f t="shared" si="178"/>
        <v>0</v>
      </c>
      <c r="AJ523" s="310"/>
      <c r="AK523" s="310"/>
      <c r="AL523" s="310"/>
      <c r="AM523" s="310"/>
      <c r="AN523" s="310">
        <f t="shared" si="179"/>
        <v>0</v>
      </c>
      <c r="AO523" s="310"/>
      <c r="AP523" s="310"/>
      <c r="AQ523" s="310"/>
      <c r="AR523" s="310"/>
      <c r="AS523" s="310">
        <f t="shared" si="180"/>
        <v>0</v>
      </c>
      <c r="AT523" s="310"/>
      <c r="AU523" s="310"/>
      <c r="AV523" s="310"/>
      <c r="AW523" s="310"/>
      <c r="AX523" s="310">
        <f t="shared" si="181"/>
        <v>0</v>
      </c>
      <c r="AY523" s="310"/>
      <c r="AZ523" s="310"/>
      <c r="BA523" s="310"/>
      <c r="BB523" s="310"/>
      <c r="BC523" s="310">
        <v>1959300</v>
      </c>
      <c r="BD523" s="310"/>
      <c r="BE523" s="312"/>
      <c r="BF523" s="127" t="s">
        <v>56</v>
      </c>
      <c r="BG523" s="128" t="s">
        <v>761</v>
      </c>
      <c r="BH523" s="133" t="s">
        <v>762</v>
      </c>
    </row>
    <row r="524" s="77" customFormat="1" ht="15" hidden="1" spans="1:60">
      <c r="A524" s="301">
        <v>517</v>
      </c>
      <c r="B524" s="127" t="s">
        <v>19</v>
      </c>
      <c r="C524" s="127" t="s">
        <v>20</v>
      </c>
      <c r="D524" s="257">
        <v>2021</v>
      </c>
      <c r="E524" s="128" t="s">
        <v>769</v>
      </c>
      <c r="F524" s="433" t="s">
        <v>53</v>
      </c>
      <c r="G524" s="127" t="s">
        <v>56</v>
      </c>
      <c r="H524" s="310">
        <f t="shared" si="170"/>
        <v>734600</v>
      </c>
      <c r="I524" s="310">
        <f t="shared" si="171"/>
        <v>734600</v>
      </c>
      <c r="J524" s="310">
        <f t="shared" si="172"/>
        <v>0</v>
      </c>
      <c r="K524" s="310"/>
      <c r="L524" s="310"/>
      <c r="M524" s="310"/>
      <c r="N524" s="310"/>
      <c r="O524" s="310">
        <f t="shared" si="173"/>
        <v>0</v>
      </c>
      <c r="P524" s="310"/>
      <c r="Q524" s="310"/>
      <c r="R524" s="310"/>
      <c r="S524" s="310"/>
      <c r="T524" s="310">
        <f t="shared" si="174"/>
        <v>0</v>
      </c>
      <c r="U524" s="310"/>
      <c r="V524" s="310"/>
      <c r="W524" s="310"/>
      <c r="X524" s="310"/>
      <c r="Y524" s="310">
        <f t="shared" si="175"/>
        <v>0</v>
      </c>
      <c r="Z524" s="310"/>
      <c r="AA524" s="310"/>
      <c r="AB524" s="310"/>
      <c r="AC524" s="310"/>
      <c r="AD524" s="436">
        <v>734600</v>
      </c>
      <c r="AE524" s="310"/>
      <c r="AF524" s="310"/>
      <c r="AG524" s="310">
        <f t="shared" si="176"/>
        <v>734600</v>
      </c>
      <c r="AH524" s="310">
        <f t="shared" si="177"/>
        <v>734600</v>
      </c>
      <c r="AI524" s="310">
        <f t="shared" si="178"/>
        <v>0</v>
      </c>
      <c r="AJ524" s="310"/>
      <c r="AK524" s="310"/>
      <c r="AL524" s="310"/>
      <c r="AM524" s="310"/>
      <c r="AN524" s="310">
        <f t="shared" si="179"/>
        <v>0</v>
      </c>
      <c r="AO524" s="310"/>
      <c r="AP524" s="310"/>
      <c r="AQ524" s="310"/>
      <c r="AR524" s="310"/>
      <c r="AS524" s="310">
        <f t="shared" si="180"/>
        <v>0</v>
      </c>
      <c r="AT524" s="310"/>
      <c r="AU524" s="310"/>
      <c r="AV524" s="310"/>
      <c r="AW524" s="310"/>
      <c r="AX524" s="310">
        <f t="shared" si="181"/>
        <v>0</v>
      </c>
      <c r="AY524" s="310"/>
      <c r="AZ524" s="310"/>
      <c r="BA524" s="310"/>
      <c r="BB524" s="310"/>
      <c r="BC524" s="310">
        <v>734600</v>
      </c>
      <c r="BD524" s="310"/>
      <c r="BE524" s="312"/>
      <c r="BF524" s="127" t="s">
        <v>56</v>
      </c>
      <c r="BG524" s="128" t="s">
        <v>761</v>
      </c>
      <c r="BH524" s="133" t="s">
        <v>762</v>
      </c>
    </row>
    <row r="525" s="77" customFormat="1" ht="15" hidden="1" spans="1:60">
      <c r="A525" s="301">
        <v>518</v>
      </c>
      <c r="B525" s="127" t="s">
        <v>19</v>
      </c>
      <c r="C525" s="127" t="s">
        <v>20</v>
      </c>
      <c r="D525" s="257">
        <v>2023</v>
      </c>
      <c r="E525" s="128" t="s">
        <v>770</v>
      </c>
      <c r="F525" s="433" t="s">
        <v>53</v>
      </c>
      <c r="G525" s="127" t="s">
        <v>56</v>
      </c>
      <c r="H525" s="310">
        <f t="shared" si="170"/>
        <v>43410000</v>
      </c>
      <c r="I525" s="310">
        <f t="shared" si="171"/>
        <v>43410000</v>
      </c>
      <c r="J525" s="310">
        <f t="shared" si="172"/>
        <v>0</v>
      </c>
      <c r="K525" s="310"/>
      <c r="L525" s="310"/>
      <c r="M525" s="310"/>
      <c r="N525" s="310"/>
      <c r="O525" s="310">
        <f t="shared" si="173"/>
        <v>0</v>
      </c>
      <c r="P525" s="310"/>
      <c r="Q525" s="310"/>
      <c r="R525" s="310"/>
      <c r="S525" s="310"/>
      <c r="T525" s="310">
        <f t="shared" si="174"/>
        <v>0</v>
      </c>
      <c r="U525" s="310"/>
      <c r="V525" s="310"/>
      <c r="W525" s="310"/>
      <c r="X525" s="310"/>
      <c r="Y525" s="310">
        <f t="shared" si="175"/>
        <v>0</v>
      </c>
      <c r="Z525" s="310"/>
      <c r="AA525" s="310"/>
      <c r="AB525" s="310"/>
      <c r="AC525" s="310"/>
      <c r="AD525" s="436">
        <v>43410000</v>
      </c>
      <c r="AE525" s="310"/>
      <c r="AF525" s="310"/>
      <c r="AG525" s="310">
        <f t="shared" si="176"/>
        <v>43410000</v>
      </c>
      <c r="AH525" s="310">
        <f t="shared" si="177"/>
        <v>43410000</v>
      </c>
      <c r="AI525" s="310">
        <f t="shared" si="178"/>
        <v>0</v>
      </c>
      <c r="AJ525" s="310"/>
      <c r="AK525" s="310"/>
      <c r="AL525" s="310"/>
      <c r="AM525" s="310"/>
      <c r="AN525" s="310">
        <f t="shared" si="179"/>
        <v>0</v>
      </c>
      <c r="AO525" s="310"/>
      <c r="AP525" s="310"/>
      <c r="AQ525" s="310"/>
      <c r="AR525" s="310"/>
      <c r="AS525" s="310">
        <f t="shared" si="180"/>
        <v>0</v>
      </c>
      <c r="AT525" s="310"/>
      <c r="AU525" s="310"/>
      <c r="AV525" s="310"/>
      <c r="AW525" s="310"/>
      <c r="AX525" s="310">
        <f t="shared" si="181"/>
        <v>0</v>
      </c>
      <c r="AY525" s="310"/>
      <c r="AZ525" s="310"/>
      <c r="BA525" s="310"/>
      <c r="BB525" s="310"/>
      <c r="BC525" s="310">
        <v>43410000</v>
      </c>
      <c r="BD525" s="310"/>
      <c r="BE525" s="312"/>
      <c r="BF525" s="127" t="s">
        <v>56</v>
      </c>
      <c r="BG525" s="128" t="s">
        <v>761</v>
      </c>
      <c r="BH525" s="133" t="s">
        <v>762</v>
      </c>
    </row>
    <row r="526" s="77" customFormat="1" ht="15" hidden="1" spans="1:60">
      <c r="A526" s="301">
        <v>519</v>
      </c>
      <c r="B526" s="127" t="s">
        <v>19</v>
      </c>
      <c r="C526" s="127" t="s">
        <v>20</v>
      </c>
      <c r="D526" s="257">
        <v>2020</v>
      </c>
      <c r="E526" s="128" t="s">
        <v>771</v>
      </c>
      <c r="F526" s="433" t="s">
        <v>53</v>
      </c>
      <c r="G526" s="127" t="s">
        <v>56</v>
      </c>
      <c r="H526" s="310">
        <f t="shared" si="170"/>
        <v>30000000</v>
      </c>
      <c r="I526" s="310">
        <f t="shared" si="171"/>
        <v>30000000</v>
      </c>
      <c r="J526" s="310">
        <f t="shared" si="172"/>
        <v>0</v>
      </c>
      <c r="K526" s="377"/>
      <c r="L526" s="377"/>
      <c r="M526" s="377"/>
      <c r="N526" s="377"/>
      <c r="O526" s="377">
        <f t="shared" si="173"/>
        <v>0</v>
      </c>
      <c r="P526" s="377"/>
      <c r="Q526" s="377"/>
      <c r="R526" s="377"/>
      <c r="S526" s="377"/>
      <c r="T526" s="377">
        <f t="shared" si="174"/>
        <v>0</v>
      </c>
      <c r="U526" s="377"/>
      <c r="V526" s="377"/>
      <c r="W526" s="377"/>
      <c r="X526" s="377"/>
      <c r="Y526" s="377">
        <f t="shared" si="175"/>
        <v>0</v>
      </c>
      <c r="Z526" s="377"/>
      <c r="AA526" s="377"/>
      <c r="AB526" s="377"/>
      <c r="AC526" s="377"/>
      <c r="AD526" s="436">
        <v>30000000</v>
      </c>
      <c r="AE526" s="377"/>
      <c r="AF526" s="377"/>
      <c r="AG526" s="377">
        <f t="shared" si="176"/>
        <v>30000000</v>
      </c>
      <c r="AH526" s="377">
        <f t="shared" si="177"/>
        <v>30000000</v>
      </c>
      <c r="AI526" s="377">
        <f t="shared" si="178"/>
        <v>0</v>
      </c>
      <c r="AJ526" s="377"/>
      <c r="AK526" s="377"/>
      <c r="AL526" s="377"/>
      <c r="AM526" s="377"/>
      <c r="AN526" s="377">
        <f t="shared" si="179"/>
        <v>0</v>
      </c>
      <c r="AO526" s="377"/>
      <c r="AP526" s="377"/>
      <c r="AQ526" s="377"/>
      <c r="AR526" s="377"/>
      <c r="AS526" s="377">
        <f t="shared" si="180"/>
        <v>0</v>
      </c>
      <c r="AT526" s="377"/>
      <c r="AU526" s="377"/>
      <c r="AV526" s="377"/>
      <c r="AW526" s="377"/>
      <c r="AX526" s="377">
        <f t="shared" si="181"/>
        <v>0</v>
      </c>
      <c r="AY526" s="377"/>
      <c r="AZ526" s="377"/>
      <c r="BA526" s="377"/>
      <c r="BB526" s="377"/>
      <c r="BC526" s="310">
        <v>30000000</v>
      </c>
      <c r="BD526" s="377"/>
      <c r="BE526" s="379"/>
      <c r="BF526" s="127" t="s">
        <v>56</v>
      </c>
      <c r="BG526" s="128" t="s">
        <v>761</v>
      </c>
      <c r="BH526" s="133" t="s">
        <v>762</v>
      </c>
    </row>
    <row r="527" s="78" customFormat="1" ht="15" hidden="1" spans="1:60">
      <c r="A527" s="301">
        <v>520</v>
      </c>
      <c r="B527" s="127" t="s">
        <v>19</v>
      </c>
      <c r="C527" s="127" t="s">
        <v>20</v>
      </c>
      <c r="D527" s="432">
        <v>2017</v>
      </c>
      <c r="E527" s="128" t="s">
        <v>772</v>
      </c>
      <c r="F527" s="433" t="s">
        <v>53</v>
      </c>
      <c r="G527" s="433" t="s">
        <v>53</v>
      </c>
      <c r="H527" s="310">
        <f t="shared" ref="H527:H552" si="182">I527+AF527</f>
        <v>6370000</v>
      </c>
      <c r="I527" s="310">
        <f t="shared" ref="I527:I552" si="183">O527+J527+T527+Y527+AE527+AC527+AD527</f>
        <v>6370000</v>
      </c>
      <c r="J527" s="310">
        <f t="shared" ref="J527:J552" si="184">N527+M527+L527+K527</f>
        <v>0</v>
      </c>
      <c r="K527" s="434"/>
      <c r="L527" s="434"/>
      <c r="M527" s="434"/>
      <c r="N527" s="434"/>
      <c r="O527" s="310">
        <f t="shared" ref="O527:O552" si="185">S527+R527+Q527+P527</f>
        <v>0</v>
      </c>
      <c r="P527" s="434"/>
      <c r="Q527" s="434"/>
      <c r="R527" s="434"/>
      <c r="S527" s="434"/>
      <c r="T527" s="310">
        <f t="shared" ref="T527:T552" si="186">U527+V527+W527+X527</f>
        <v>6370000</v>
      </c>
      <c r="U527" s="434"/>
      <c r="V527" s="434"/>
      <c r="W527" s="434"/>
      <c r="X527" s="434">
        <v>6370000</v>
      </c>
      <c r="Y527" s="310">
        <f t="shared" ref="Y527:Y552" si="187">AA527+Z527+AB527</f>
        <v>0</v>
      </c>
      <c r="Z527" s="434"/>
      <c r="AA527" s="434"/>
      <c r="AB527" s="434"/>
      <c r="AC527" s="434"/>
      <c r="AD527" s="434"/>
      <c r="AE527" s="434"/>
      <c r="AF527" s="434"/>
      <c r="AG527" s="377">
        <f t="shared" ref="AG527:AG552" si="188">AH527+BE527</f>
        <v>3672464.44</v>
      </c>
      <c r="AH527" s="377">
        <f t="shared" ref="AH527:AH552" si="189">AN527+AI527+AS527+AX527+BD527+BB527+BC527</f>
        <v>3672464.44</v>
      </c>
      <c r="AI527" s="377">
        <f t="shared" ref="AI527:AI552" si="190">AM527+AL527+AK527+AJ527</f>
        <v>0</v>
      </c>
      <c r="AJ527" s="434"/>
      <c r="AK527" s="434"/>
      <c r="AL527" s="434"/>
      <c r="AM527" s="434"/>
      <c r="AN527" s="377">
        <f t="shared" ref="AN527:AN544" si="191">AR527+AQ527+AP527+AO527</f>
        <v>3672464.44</v>
      </c>
      <c r="AO527" s="434"/>
      <c r="AP527" s="434"/>
      <c r="AQ527" s="434"/>
      <c r="AR527" s="434">
        <v>3672464.44</v>
      </c>
      <c r="AS527" s="377">
        <f t="shared" ref="AS527:AS552" si="192">AW527+AV527+AU527+AT527</f>
        <v>0</v>
      </c>
      <c r="AT527" s="434"/>
      <c r="AU527" s="434"/>
      <c r="AV527" s="434"/>
      <c r="AW527" s="434"/>
      <c r="AX527" s="377">
        <f t="shared" ref="AX527:AX552" si="193">AZ527+AY527+BA527</f>
        <v>0</v>
      </c>
      <c r="AY527" s="434"/>
      <c r="AZ527" s="434"/>
      <c r="BA527" s="434"/>
      <c r="BB527" s="434"/>
      <c r="BC527" s="434"/>
      <c r="BD527" s="434"/>
      <c r="BE527" s="435"/>
      <c r="BF527" s="134" t="s">
        <v>56</v>
      </c>
      <c r="BG527" s="315" t="s">
        <v>167</v>
      </c>
      <c r="BH527" s="137" t="s">
        <v>101</v>
      </c>
    </row>
    <row r="528" s="77" customFormat="1" ht="15" hidden="1" spans="1:60">
      <c r="A528" s="301">
        <v>521</v>
      </c>
      <c r="B528" s="127" t="s">
        <v>19</v>
      </c>
      <c r="C528" s="127" t="s">
        <v>20</v>
      </c>
      <c r="D528" s="257">
        <v>2019</v>
      </c>
      <c r="E528" s="128" t="s">
        <v>773</v>
      </c>
      <c r="F528" s="433" t="s">
        <v>53</v>
      </c>
      <c r="G528" s="433" t="s">
        <v>53</v>
      </c>
      <c r="H528" s="310">
        <f t="shared" si="182"/>
        <v>7885484.4</v>
      </c>
      <c r="I528" s="310">
        <f t="shared" si="183"/>
        <v>7885484.4</v>
      </c>
      <c r="J528" s="310">
        <f t="shared" si="184"/>
        <v>0</v>
      </c>
      <c r="K528" s="310"/>
      <c r="L528" s="310"/>
      <c r="M528" s="310"/>
      <c r="N528" s="310"/>
      <c r="O528" s="310">
        <f t="shared" si="185"/>
        <v>7885484.4</v>
      </c>
      <c r="P528" s="310"/>
      <c r="Q528" s="310"/>
      <c r="R528" s="310"/>
      <c r="S528" s="310">
        <v>7885484.4</v>
      </c>
      <c r="T528" s="310">
        <f t="shared" si="186"/>
        <v>0</v>
      </c>
      <c r="U528" s="310"/>
      <c r="V528" s="310"/>
      <c r="W528" s="310"/>
      <c r="X528" s="310"/>
      <c r="Y528" s="310">
        <f t="shared" si="187"/>
        <v>0</v>
      </c>
      <c r="Z528" s="310"/>
      <c r="AA528" s="310"/>
      <c r="AB528" s="310"/>
      <c r="AC528" s="310"/>
      <c r="AD528" s="310"/>
      <c r="AE528" s="310"/>
      <c r="AF528" s="310"/>
      <c r="AG528" s="377">
        <f t="shared" si="188"/>
        <v>3044000</v>
      </c>
      <c r="AH528" s="377">
        <f t="shared" si="189"/>
        <v>3044000</v>
      </c>
      <c r="AI528" s="377">
        <f t="shared" si="190"/>
        <v>0</v>
      </c>
      <c r="AJ528" s="310"/>
      <c r="AK528" s="310"/>
      <c r="AL528" s="310"/>
      <c r="AM528" s="310"/>
      <c r="AN528" s="377">
        <f t="shared" si="191"/>
        <v>3044000</v>
      </c>
      <c r="AO528" s="310"/>
      <c r="AP528" s="310"/>
      <c r="AQ528" s="310"/>
      <c r="AR528" s="310">
        <f>304.4*10000</f>
        <v>3044000</v>
      </c>
      <c r="AS528" s="377">
        <f t="shared" si="192"/>
        <v>0</v>
      </c>
      <c r="AT528" s="310"/>
      <c r="AU528" s="310"/>
      <c r="AV528" s="310"/>
      <c r="AW528" s="310"/>
      <c r="AX528" s="377">
        <f t="shared" si="193"/>
        <v>0</v>
      </c>
      <c r="AY528" s="310"/>
      <c r="AZ528" s="310"/>
      <c r="BA528" s="310"/>
      <c r="BB528" s="310"/>
      <c r="BC528" s="310"/>
      <c r="BD528" s="310"/>
      <c r="BE528" s="312"/>
      <c r="BF528" s="127" t="s">
        <v>56</v>
      </c>
      <c r="BG528" s="128" t="s">
        <v>774</v>
      </c>
      <c r="BH528" s="133" t="s">
        <v>216</v>
      </c>
    </row>
    <row r="529" s="77" customFormat="1" ht="15" hidden="1" spans="1:60">
      <c r="A529" s="301">
        <v>522</v>
      </c>
      <c r="B529" s="127" t="s">
        <v>19</v>
      </c>
      <c r="C529" s="127" t="s">
        <v>20</v>
      </c>
      <c r="D529" s="257">
        <v>2019</v>
      </c>
      <c r="E529" s="128" t="s">
        <v>775</v>
      </c>
      <c r="F529" s="433" t="s">
        <v>53</v>
      </c>
      <c r="G529" s="433" t="s">
        <v>53</v>
      </c>
      <c r="H529" s="310">
        <f t="shared" si="182"/>
        <v>8703254</v>
      </c>
      <c r="I529" s="310">
        <f t="shared" si="183"/>
        <v>8703254</v>
      </c>
      <c r="J529" s="310">
        <f t="shared" si="184"/>
        <v>0</v>
      </c>
      <c r="K529" s="310"/>
      <c r="L529" s="310"/>
      <c r="M529" s="310"/>
      <c r="N529" s="310"/>
      <c r="O529" s="310">
        <f t="shared" si="185"/>
        <v>8703254</v>
      </c>
      <c r="P529" s="310"/>
      <c r="Q529" s="310"/>
      <c r="R529" s="310"/>
      <c r="S529" s="310">
        <v>8703254</v>
      </c>
      <c r="T529" s="310">
        <f t="shared" si="186"/>
        <v>0</v>
      </c>
      <c r="U529" s="310"/>
      <c r="V529" s="310"/>
      <c r="W529" s="310"/>
      <c r="X529" s="310"/>
      <c r="Y529" s="310">
        <f t="shared" si="187"/>
        <v>0</v>
      </c>
      <c r="Z529" s="310"/>
      <c r="AA529" s="310"/>
      <c r="AB529" s="310"/>
      <c r="AC529" s="310"/>
      <c r="AD529" s="310"/>
      <c r="AE529" s="310"/>
      <c r="AF529" s="310"/>
      <c r="AG529" s="377">
        <f t="shared" si="188"/>
        <v>3443600</v>
      </c>
      <c r="AH529" s="377">
        <f t="shared" si="189"/>
        <v>3443600</v>
      </c>
      <c r="AI529" s="377">
        <f t="shared" si="190"/>
        <v>0</v>
      </c>
      <c r="AJ529" s="310"/>
      <c r="AK529" s="310"/>
      <c r="AL529" s="310"/>
      <c r="AM529" s="310"/>
      <c r="AN529" s="377">
        <f t="shared" si="191"/>
        <v>3443600</v>
      </c>
      <c r="AO529" s="310"/>
      <c r="AP529" s="310"/>
      <c r="AQ529" s="310"/>
      <c r="AR529" s="310">
        <f>344.36*10000</f>
        <v>3443600</v>
      </c>
      <c r="AS529" s="377">
        <f t="shared" si="192"/>
        <v>0</v>
      </c>
      <c r="AT529" s="310"/>
      <c r="AU529" s="310"/>
      <c r="AV529" s="310"/>
      <c r="AW529" s="310"/>
      <c r="AX529" s="377">
        <f t="shared" si="193"/>
        <v>0</v>
      </c>
      <c r="AY529" s="310"/>
      <c r="AZ529" s="310"/>
      <c r="BA529" s="310"/>
      <c r="BB529" s="310"/>
      <c r="BC529" s="310"/>
      <c r="BD529" s="310"/>
      <c r="BE529" s="312"/>
      <c r="BF529" s="127" t="s">
        <v>56</v>
      </c>
      <c r="BG529" s="128" t="s">
        <v>774</v>
      </c>
      <c r="BH529" s="133" t="s">
        <v>216</v>
      </c>
    </row>
    <row r="530" s="77" customFormat="1" ht="15" hidden="1" spans="1:60">
      <c r="A530" s="301">
        <v>523</v>
      </c>
      <c r="B530" s="127" t="s">
        <v>19</v>
      </c>
      <c r="C530" s="127" t="s">
        <v>20</v>
      </c>
      <c r="D530" s="257">
        <v>2019</v>
      </c>
      <c r="E530" s="128" t="s">
        <v>776</v>
      </c>
      <c r="F530" s="433" t="s">
        <v>53</v>
      </c>
      <c r="G530" s="433" t="s">
        <v>53</v>
      </c>
      <c r="H530" s="310">
        <f t="shared" si="182"/>
        <v>16744503.5</v>
      </c>
      <c r="I530" s="310">
        <f t="shared" si="183"/>
        <v>16744503.5</v>
      </c>
      <c r="J530" s="310">
        <f t="shared" si="184"/>
        <v>0</v>
      </c>
      <c r="K530" s="310"/>
      <c r="L530" s="310"/>
      <c r="M530" s="310"/>
      <c r="N530" s="310"/>
      <c r="O530" s="310">
        <f t="shared" si="185"/>
        <v>16744503.5</v>
      </c>
      <c r="P530" s="310"/>
      <c r="Q530" s="310"/>
      <c r="R530" s="310"/>
      <c r="S530" s="310">
        <v>16744503.5</v>
      </c>
      <c r="T530" s="310">
        <f t="shared" si="186"/>
        <v>0</v>
      </c>
      <c r="U530" s="310"/>
      <c r="V530" s="310"/>
      <c r="W530" s="310"/>
      <c r="X530" s="310"/>
      <c r="Y530" s="310">
        <f t="shared" si="187"/>
        <v>0</v>
      </c>
      <c r="Z530" s="310"/>
      <c r="AA530" s="310"/>
      <c r="AB530" s="310"/>
      <c r="AC530" s="310"/>
      <c r="AD530" s="310"/>
      <c r="AE530" s="310"/>
      <c r="AF530" s="310"/>
      <c r="AG530" s="377">
        <f t="shared" si="188"/>
        <v>7412000</v>
      </c>
      <c r="AH530" s="377">
        <f t="shared" si="189"/>
        <v>7412000</v>
      </c>
      <c r="AI530" s="377">
        <f t="shared" si="190"/>
        <v>0</v>
      </c>
      <c r="AJ530" s="310"/>
      <c r="AK530" s="310"/>
      <c r="AL530" s="310"/>
      <c r="AM530" s="310"/>
      <c r="AN530" s="377">
        <f t="shared" si="191"/>
        <v>7412000</v>
      </c>
      <c r="AO530" s="310"/>
      <c r="AP530" s="310"/>
      <c r="AQ530" s="310"/>
      <c r="AR530" s="310">
        <f>741.2*10000</f>
        <v>7412000</v>
      </c>
      <c r="AS530" s="377">
        <f t="shared" si="192"/>
        <v>0</v>
      </c>
      <c r="AT530" s="310"/>
      <c r="AU530" s="310"/>
      <c r="AV530" s="310"/>
      <c r="AW530" s="310"/>
      <c r="AX530" s="377">
        <f t="shared" si="193"/>
        <v>0</v>
      </c>
      <c r="AY530" s="310"/>
      <c r="AZ530" s="310"/>
      <c r="BA530" s="310"/>
      <c r="BB530" s="310"/>
      <c r="BC530" s="310"/>
      <c r="BD530" s="310"/>
      <c r="BE530" s="312"/>
      <c r="BF530" s="127" t="s">
        <v>56</v>
      </c>
      <c r="BG530" s="128" t="s">
        <v>774</v>
      </c>
      <c r="BH530" s="133" t="s">
        <v>216</v>
      </c>
    </row>
    <row r="531" s="77" customFormat="1" ht="15" hidden="1" spans="1:60">
      <c r="A531" s="301">
        <v>524</v>
      </c>
      <c r="B531" s="127" t="s">
        <v>19</v>
      </c>
      <c r="C531" s="127" t="s">
        <v>20</v>
      </c>
      <c r="D531" s="257">
        <v>2019</v>
      </c>
      <c r="E531" s="128" t="s">
        <v>777</v>
      </c>
      <c r="F531" s="433" t="s">
        <v>53</v>
      </c>
      <c r="G531" s="433" t="s">
        <v>53</v>
      </c>
      <c r="H531" s="310">
        <f t="shared" si="182"/>
        <v>9566510.18</v>
      </c>
      <c r="I531" s="310">
        <f t="shared" si="183"/>
        <v>9566510.18</v>
      </c>
      <c r="J531" s="310">
        <f t="shared" si="184"/>
        <v>0</v>
      </c>
      <c r="K531" s="310"/>
      <c r="L531" s="310"/>
      <c r="M531" s="310"/>
      <c r="N531" s="310"/>
      <c r="O531" s="310">
        <f t="shared" si="185"/>
        <v>9566510.18</v>
      </c>
      <c r="P531" s="310"/>
      <c r="Q531" s="310"/>
      <c r="R531" s="310"/>
      <c r="S531" s="310">
        <v>9566510.18</v>
      </c>
      <c r="T531" s="310">
        <f t="shared" si="186"/>
        <v>0</v>
      </c>
      <c r="U531" s="310"/>
      <c r="V531" s="310"/>
      <c r="W531" s="310"/>
      <c r="X531" s="310"/>
      <c r="Y531" s="310">
        <f t="shared" si="187"/>
        <v>0</v>
      </c>
      <c r="Z531" s="310"/>
      <c r="AA531" s="310"/>
      <c r="AB531" s="310"/>
      <c r="AC531" s="310"/>
      <c r="AD531" s="310"/>
      <c r="AE531" s="310"/>
      <c r="AF531" s="310"/>
      <c r="AG531" s="377">
        <f t="shared" si="188"/>
        <v>4153800</v>
      </c>
      <c r="AH531" s="377">
        <f t="shared" si="189"/>
        <v>4153800</v>
      </c>
      <c r="AI531" s="377">
        <f t="shared" si="190"/>
        <v>0</v>
      </c>
      <c r="AJ531" s="310"/>
      <c r="AK531" s="310"/>
      <c r="AL531" s="310"/>
      <c r="AM531" s="310"/>
      <c r="AN531" s="377">
        <f t="shared" si="191"/>
        <v>4153800</v>
      </c>
      <c r="AO531" s="310"/>
      <c r="AP531" s="310"/>
      <c r="AQ531" s="310"/>
      <c r="AR531" s="310">
        <f>415.38*10000</f>
        <v>4153800</v>
      </c>
      <c r="AS531" s="377">
        <f t="shared" si="192"/>
        <v>0</v>
      </c>
      <c r="AT531" s="310"/>
      <c r="AU531" s="310"/>
      <c r="AV531" s="310"/>
      <c r="AW531" s="310"/>
      <c r="AX531" s="377">
        <f t="shared" si="193"/>
        <v>0</v>
      </c>
      <c r="AY531" s="310"/>
      <c r="AZ531" s="310"/>
      <c r="BA531" s="310"/>
      <c r="BB531" s="310"/>
      <c r="BC531" s="310"/>
      <c r="BD531" s="310"/>
      <c r="BE531" s="312"/>
      <c r="BF531" s="127" t="s">
        <v>56</v>
      </c>
      <c r="BG531" s="128" t="s">
        <v>774</v>
      </c>
      <c r="BH531" s="133" t="s">
        <v>216</v>
      </c>
    </row>
    <row r="532" s="77" customFormat="1" ht="15" hidden="1" spans="1:60">
      <c r="A532" s="301">
        <v>525</v>
      </c>
      <c r="B532" s="127" t="s">
        <v>19</v>
      </c>
      <c r="C532" s="127" t="s">
        <v>20</v>
      </c>
      <c r="D532" s="257">
        <v>2019</v>
      </c>
      <c r="E532" s="128" t="s">
        <v>778</v>
      </c>
      <c r="F532" s="433" t="s">
        <v>53</v>
      </c>
      <c r="G532" s="433" t="s">
        <v>53</v>
      </c>
      <c r="H532" s="310">
        <f t="shared" si="182"/>
        <v>10120848.42</v>
      </c>
      <c r="I532" s="310">
        <f t="shared" si="183"/>
        <v>10120848.42</v>
      </c>
      <c r="J532" s="310">
        <f t="shared" si="184"/>
        <v>0</v>
      </c>
      <c r="K532" s="310"/>
      <c r="L532" s="310"/>
      <c r="M532" s="310"/>
      <c r="N532" s="310"/>
      <c r="O532" s="310">
        <f t="shared" si="185"/>
        <v>10120848.42</v>
      </c>
      <c r="P532" s="310"/>
      <c r="Q532" s="310"/>
      <c r="R532" s="310"/>
      <c r="S532" s="310">
        <v>10120848.42</v>
      </c>
      <c r="T532" s="310">
        <f t="shared" si="186"/>
        <v>0</v>
      </c>
      <c r="U532" s="310"/>
      <c r="V532" s="310"/>
      <c r="W532" s="310"/>
      <c r="X532" s="310"/>
      <c r="Y532" s="310">
        <f t="shared" si="187"/>
        <v>0</v>
      </c>
      <c r="Z532" s="310"/>
      <c r="AA532" s="310"/>
      <c r="AB532" s="310"/>
      <c r="AC532" s="310"/>
      <c r="AD532" s="310"/>
      <c r="AE532" s="310"/>
      <c r="AF532" s="310"/>
      <c r="AG532" s="377">
        <f t="shared" si="188"/>
        <v>4017600</v>
      </c>
      <c r="AH532" s="377">
        <f t="shared" si="189"/>
        <v>4017600</v>
      </c>
      <c r="AI532" s="377">
        <f t="shared" si="190"/>
        <v>0</v>
      </c>
      <c r="AJ532" s="310"/>
      <c r="AK532" s="310"/>
      <c r="AL532" s="310"/>
      <c r="AM532" s="310"/>
      <c r="AN532" s="377">
        <f t="shared" si="191"/>
        <v>4017600</v>
      </c>
      <c r="AO532" s="310"/>
      <c r="AP532" s="310"/>
      <c r="AQ532" s="310"/>
      <c r="AR532" s="310">
        <f>401.76*10000</f>
        <v>4017600</v>
      </c>
      <c r="AS532" s="377">
        <f t="shared" si="192"/>
        <v>0</v>
      </c>
      <c r="AT532" s="310"/>
      <c r="AU532" s="310"/>
      <c r="AV532" s="310"/>
      <c r="AW532" s="310"/>
      <c r="AX532" s="377">
        <f t="shared" si="193"/>
        <v>0</v>
      </c>
      <c r="AY532" s="310"/>
      <c r="AZ532" s="310"/>
      <c r="BA532" s="310"/>
      <c r="BB532" s="310"/>
      <c r="BC532" s="310"/>
      <c r="BD532" s="310"/>
      <c r="BE532" s="312"/>
      <c r="BF532" s="127" t="s">
        <v>56</v>
      </c>
      <c r="BG532" s="128" t="s">
        <v>774</v>
      </c>
      <c r="BH532" s="133" t="s">
        <v>216</v>
      </c>
    </row>
    <row r="533" s="77" customFormat="1" ht="15" hidden="1" spans="1:60">
      <c r="A533" s="301">
        <v>526</v>
      </c>
      <c r="B533" s="127" t="s">
        <v>19</v>
      </c>
      <c r="C533" s="127" t="s">
        <v>20</v>
      </c>
      <c r="D533" s="257">
        <v>2019</v>
      </c>
      <c r="E533" s="128" t="s">
        <v>779</v>
      </c>
      <c r="F533" s="433" t="s">
        <v>53</v>
      </c>
      <c r="G533" s="433" t="s">
        <v>53</v>
      </c>
      <c r="H533" s="310">
        <f t="shared" si="182"/>
        <v>38755082.1</v>
      </c>
      <c r="I533" s="310">
        <f t="shared" si="183"/>
        <v>38755082.1</v>
      </c>
      <c r="J533" s="310">
        <f t="shared" si="184"/>
        <v>0</v>
      </c>
      <c r="K533" s="310"/>
      <c r="L533" s="310"/>
      <c r="M533" s="310"/>
      <c r="N533" s="310"/>
      <c r="O533" s="310">
        <f t="shared" si="185"/>
        <v>38755082.1</v>
      </c>
      <c r="P533" s="310"/>
      <c r="Q533" s="310"/>
      <c r="R533" s="310"/>
      <c r="S533" s="310">
        <v>38755082.1</v>
      </c>
      <c r="T533" s="310">
        <f t="shared" si="186"/>
        <v>0</v>
      </c>
      <c r="U533" s="310"/>
      <c r="V533" s="310"/>
      <c r="W533" s="310"/>
      <c r="X533" s="310"/>
      <c r="Y533" s="310">
        <f t="shared" si="187"/>
        <v>0</v>
      </c>
      <c r="Z533" s="310"/>
      <c r="AA533" s="310"/>
      <c r="AB533" s="310"/>
      <c r="AC533" s="310"/>
      <c r="AD533" s="310"/>
      <c r="AE533" s="310"/>
      <c r="AF533" s="310"/>
      <c r="AG533" s="377">
        <f t="shared" si="188"/>
        <v>16382400</v>
      </c>
      <c r="AH533" s="377">
        <f t="shared" si="189"/>
        <v>16382400</v>
      </c>
      <c r="AI533" s="377">
        <f t="shared" si="190"/>
        <v>0</v>
      </c>
      <c r="AJ533" s="310"/>
      <c r="AK533" s="310"/>
      <c r="AL533" s="310"/>
      <c r="AM533" s="310"/>
      <c r="AN533" s="377">
        <f t="shared" si="191"/>
        <v>16382400</v>
      </c>
      <c r="AO533" s="310"/>
      <c r="AP533" s="310"/>
      <c r="AQ533" s="310"/>
      <c r="AR533" s="310">
        <f>1638.24*10000</f>
        <v>16382400</v>
      </c>
      <c r="AS533" s="377">
        <f t="shared" si="192"/>
        <v>0</v>
      </c>
      <c r="AT533" s="310"/>
      <c r="AU533" s="310"/>
      <c r="AV533" s="310"/>
      <c r="AW533" s="310"/>
      <c r="AX533" s="377">
        <f t="shared" si="193"/>
        <v>0</v>
      </c>
      <c r="AY533" s="310"/>
      <c r="AZ533" s="310"/>
      <c r="BA533" s="310"/>
      <c r="BB533" s="310"/>
      <c r="BC533" s="310"/>
      <c r="BD533" s="310"/>
      <c r="BE533" s="312"/>
      <c r="BF533" s="127" t="s">
        <v>56</v>
      </c>
      <c r="BG533" s="128" t="s">
        <v>774</v>
      </c>
      <c r="BH533" s="133" t="s">
        <v>216</v>
      </c>
    </row>
    <row r="534" s="77" customFormat="1" ht="15" hidden="1" spans="1:60">
      <c r="A534" s="301">
        <v>527</v>
      </c>
      <c r="B534" s="127" t="s">
        <v>19</v>
      </c>
      <c r="C534" s="127" t="s">
        <v>20</v>
      </c>
      <c r="D534" s="257">
        <v>2019</v>
      </c>
      <c r="E534" s="128" t="s">
        <v>780</v>
      </c>
      <c r="F534" s="433" t="s">
        <v>53</v>
      </c>
      <c r="G534" s="433" t="s">
        <v>53</v>
      </c>
      <c r="H534" s="310">
        <f t="shared" si="182"/>
        <v>6140174</v>
      </c>
      <c r="I534" s="310">
        <f t="shared" si="183"/>
        <v>6140174</v>
      </c>
      <c r="J534" s="310">
        <f t="shared" si="184"/>
        <v>0</v>
      </c>
      <c r="K534" s="310"/>
      <c r="L534" s="310"/>
      <c r="M534" s="310"/>
      <c r="N534" s="310"/>
      <c r="O534" s="310">
        <f t="shared" si="185"/>
        <v>6140174</v>
      </c>
      <c r="P534" s="310"/>
      <c r="Q534" s="310"/>
      <c r="R534" s="310"/>
      <c r="S534" s="310">
        <v>6140174</v>
      </c>
      <c r="T534" s="310">
        <f t="shared" si="186"/>
        <v>0</v>
      </c>
      <c r="U534" s="310"/>
      <c r="V534" s="310"/>
      <c r="W534" s="310"/>
      <c r="X534" s="310"/>
      <c r="Y534" s="310">
        <f t="shared" si="187"/>
        <v>0</v>
      </c>
      <c r="Z534" s="310"/>
      <c r="AA534" s="310"/>
      <c r="AB534" s="310"/>
      <c r="AC534" s="310"/>
      <c r="AD534" s="310"/>
      <c r="AE534" s="310"/>
      <c r="AF534" s="310"/>
      <c r="AG534" s="377">
        <f t="shared" si="188"/>
        <v>2357200</v>
      </c>
      <c r="AH534" s="377">
        <f t="shared" si="189"/>
        <v>2357200</v>
      </c>
      <c r="AI534" s="377">
        <f t="shared" si="190"/>
        <v>0</v>
      </c>
      <c r="AJ534" s="310"/>
      <c r="AK534" s="310"/>
      <c r="AL534" s="310"/>
      <c r="AM534" s="310"/>
      <c r="AN534" s="377">
        <f t="shared" si="191"/>
        <v>2357200</v>
      </c>
      <c r="AO534" s="310"/>
      <c r="AP534" s="310"/>
      <c r="AQ534" s="310"/>
      <c r="AR534" s="310">
        <f>235.72*10000</f>
        <v>2357200</v>
      </c>
      <c r="AS534" s="377">
        <f t="shared" si="192"/>
        <v>0</v>
      </c>
      <c r="AT534" s="310"/>
      <c r="AU534" s="310"/>
      <c r="AV534" s="310"/>
      <c r="AW534" s="310"/>
      <c r="AX534" s="377">
        <f t="shared" si="193"/>
        <v>0</v>
      </c>
      <c r="AY534" s="310"/>
      <c r="AZ534" s="310"/>
      <c r="BA534" s="310"/>
      <c r="BB534" s="310"/>
      <c r="BC534" s="310"/>
      <c r="BD534" s="310"/>
      <c r="BE534" s="312"/>
      <c r="BF534" s="127" t="s">
        <v>56</v>
      </c>
      <c r="BG534" s="128" t="s">
        <v>774</v>
      </c>
      <c r="BH534" s="133" t="s">
        <v>101</v>
      </c>
    </row>
    <row r="535" s="77" customFormat="1" ht="15" hidden="1" spans="1:60">
      <c r="A535" s="301">
        <v>528</v>
      </c>
      <c r="B535" s="127" t="s">
        <v>19</v>
      </c>
      <c r="C535" s="127" t="s">
        <v>20</v>
      </c>
      <c r="D535" s="257">
        <v>2019</v>
      </c>
      <c r="E535" s="128" t="s">
        <v>781</v>
      </c>
      <c r="F535" s="433" t="s">
        <v>53</v>
      </c>
      <c r="G535" s="433" t="s">
        <v>53</v>
      </c>
      <c r="H535" s="310">
        <f t="shared" si="182"/>
        <v>8397400</v>
      </c>
      <c r="I535" s="310">
        <f t="shared" si="183"/>
        <v>8397400</v>
      </c>
      <c r="J535" s="310">
        <f t="shared" si="184"/>
        <v>0</v>
      </c>
      <c r="K535" s="310"/>
      <c r="L535" s="310"/>
      <c r="M535" s="310"/>
      <c r="N535" s="310"/>
      <c r="O535" s="310">
        <f t="shared" si="185"/>
        <v>8397400</v>
      </c>
      <c r="P535" s="310"/>
      <c r="Q535" s="310"/>
      <c r="R535" s="310"/>
      <c r="S535" s="310">
        <v>8397400</v>
      </c>
      <c r="T535" s="310">
        <f t="shared" si="186"/>
        <v>0</v>
      </c>
      <c r="U535" s="310"/>
      <c r="V535" s="310"/>
      <c r="W535" s="310"/>
      <c r="X535" s="310"/>
      <c r="Y535" s="310">
        <f t="shared" si="187"/>
        <v>0</v>
      </c>
      <c r="Z535" s="310"/>
      <c r="AA535" s="310"/>
      <c r="AB535" s="310"/>
      <c r="AC535" s="310"/>
      <c r="AD535" s="310"/>
      <c r="AE535" s="310"/>
      <c r="AF535" s="310"/>
      <c r="AG535" s="377">
        <f t="shared" si="188"/>
        <v>5413906</v>
      </c>
      <c r="AH535" s="377">
        <f t="shared" si="189"/>
        <v>5413906</v>
      </c>
      <c r="AI535" s="377">
        <f t="shared" si="190"/>
        <v>0</v>
      </c>
      <c r="AJ535" s="310"/>
      <c r="AK535" s="310"/>
      <c r="AL535" s="310"/>
      <c r="AM535" s="310"/>
      <c r="AN535" s="377">
        <f t="shared" si="191"/>
        <v>5413906</v>
      </c>
      <c r="AO535" s="310"/>
      <c r="AP535" s="310"/>
      <c r="AQ535" s="310"/>
      <c r="AR535" s="310">
        <v>5413906</v>
      </c>
      <c r="AS535" s="377">
        <f t="shared" si="192"/>
        <v>0</v>
      </c>
      <c r="AT535" s="310"/>
      <c r="AU535" s="310"/>
      <c r="AV535" s="310"/>
      <c r="AW535" s="310"/>
      <c r="AX535" s="377">
        <f t="shared" si="193"/>
        <v>0</v>
      </c>
      <c r="AY535" s="310"/>
      <c r="AZ535" s="310"/>
      <c r="BA535" s="310"/>
      <c r="BB535" s="310"/>
      <c r="BC535" s="310"/>
      <c r="BD535" s="310"/>
      <c r="BE535" s="312"/>
      <c r="BF535" s="127" t="s">
        <v>56</v>
      </c>
      <c r="BG535" s="128" t="s">
        <v>782</v>
      </c>
      <c r="BH535" s="133" t="s">
        <v>101</v>
      </c>
    </row>
    <row r="536" s="77" customFormat="1" ht="15" hidden="1" spans="1:60">
      <c r="A536" s="301">
        <v>529</v>
      </c>
      <c r="B536" s="127" t="s">
        <v>19</v>
      </c>
      <c r="C536" s="127" t="s">
        <v>20</v>
      </c>
      <c r="D536" s="257">
        <v>2019</v>
      </c>
      <c r="E536" s="128" t="s">
        <v>783</v>
      </c>
      <c r="F536" s="433" t="s">
        <v>53</v>
      </c>
      <c r="G536" s="433" t="s">
        <v>53</v>
      </c>
      <c r="H536" s="310">
        <f t="shared" si="182"/>
        <v>7912011.6</v>
      </c>
      <c r="I536" s="310">
        <f t="shared" si="183"/>
        <v>7912011.6</v>
      </c>
      <c r="J536" s="310">
        <f t="shared" si="184"/>
        <v>0</v>
      </c>
      <c r="K536" s="310"/>
      <c r="L536" s="310"/>
      <c r="M536" s="310"/>
      <c r="N536" s="310"/>
      <c r="O536" s="310">
        <f t="shared" si="185"/>
        <v>7912011.6</v>
      </c>
      <c r="P536" s="310"/>
      <c r="Q536" s="310"/>
      <c r="R536" s="310"/>
      <c r="S536" s="310">
        <v>7912011.6</v>
      </c>
      <c r="T536" s="310">
        <f t="shared" si="186"/>
        <v>0</v>
      </c>
      <c r="U536" s="310"/>
      <c r="V536" s="310"/>
      <c r="W536" s="310"/>
      <c r="X536" s="310"/>
      <c r="Y536" s="310">
        <f t="shared" si="187"/>
        <v>0</v>
      </c>
      <c r="Z536" s="310"/>
      <c r="AA536" s="310"/>
      <c r="AB536" s="310"/>
      <c r="AC536" s="310"/>
      <c r="AD536" s="310"/>
      <c r="AE536" s="310"/>
      <c r="AF536" s="310"/>
      <c r="AG536" s="377">
        <f t="shared" si="188"/>
        <v>5200270</v>
      </c>
      <c r="AH536" s="377">
        <f t="shared" si="189"/>
        <v>5200270</v>
      </c>
      <c r="AI536" s="377">
        <f t="shared" si="190"/>
        <v>0</v>
      </c>
      <c r="AJ536" s="310"/>
      <c r="AK536" s="310"/>
      <c r="AL536" s="310"/>
      <c r="AM536" s="310"/>
      <c r="AN536" s="377">
        <f t="shared" si="191"/>
        <v>5200270</v>
      </c>
      <c r="AO536" s="310"/>
      <c r="AP536" s="310"/>
      <c r="AQ536" s="310"/>
      <c r="AR536" s="310">
        <v>5200270</v>
      </c>
      <c r="AS536" s="377">
        <f t="shared" si="192"/>
        <v>0</v>
      </c>
      <c r="AT536" s="310"/>
      <c r="AU536" s="310"/>
      <c r="AV536" s="310"/>
      <c r="AW536" s="310"/>
      <c r="AX536" s="377">
        <f t="shared" si="193"/>
        <v>0</v>
      </c>
      <c r="AY536" s="310"/>
      <c r="AZ536" s="310"/>
      <c r="BA536" s="310"/>
      <c r="BB536" s="310"/>
      <c r="BC536" s="310"/>
      <c r="BD536" s="310"/>
      <c r="BE536" s="312"/>
      <c r="BF536" s="127" t="s">
        <v>56</v>
      </c>
      <c r="BG536" s="128" t="s">
        <v>782</v>
      </c>
      <c r="BH536" s="133" t="s">
        <v>101</v>
      </c>
    </row>
    <row r="537" s="77" customFormat="1" ht="15" hidden="1" spans="1:60">
      <c r="A537" s="301">
        <v>530</v>
      </c>
      <c r="B537" s="127" t="s">
        <v>19</v>
      </c>
      <c r="C537" s="127" t="s">
        <v>20</v>
      </c>
      <c r="D537" s="257">
        <v>2019</v>
      </c>
      <c r="E537" s="128" t="s">
        <v>784</v>
      </c>
      <c r="F537" s="433" t="s">
        <v>53</v>
      </c>
      <c r="G537" s="433" t="s">
        <v>53</v>
      </c>
      <c r="H537" s="310">
        <f t="shared" si="182"/>
        <v>6240294.39</v>
      </c>
      <c r="I537" s="310">
        <f t="shared" si="183"/>
        <v>6240294.39</v>
      </c>
      <c r="J537" s="310">
        <f t="shared" si="184"/>
        <v>0</v>
      </c>
      <c r="K537" s="310"/>
      <c r="L537" s="310"/>
      <c r="M537" s="310"/>
      <c r="N537" s="310"/>
      <c r="O537" s="310">
        <f t="shared" si="185"/>
        <v>6240294.39</v>
      </c>
      <c r="P537" s="310"/>
      <c r="Q537" s="310"/>
      <c r="R537" s="310"/>
      <c r="S537" s="310">
        <v>6240294.39</v>
      </c>
      <c r="T537" s="310">
        <f t="shared" si="186"/>
        <v>0</v>
      </c>
      <c r="U537" s="310"/>
      <c r="V537" s="310"/>
      <c r="W537" s="310"/>
      <c r="X537" s="310"/>
      <c r="Y537" s="310">
        <f t="shared" si="187"/>
        <v>0</v>
      </c>
      <c r="Z537" s="310"/>
      <c r="AA537" s="310"/>
      <c r="AB537" s="310"/>
      <c r="AC537" s="310"/>
      <c r="AD537" s="310"/>
      <c r="AE537" s="310"/>
      <c r="AF537" s="310"/>
      <c r="AG537" s="377">
        <f t="shared" si="188"/>
        <v>4040496</v>
      </c>
      <c r="AH537" s="377">
        <f t="shared" si="189"/>
        <v>4040496</v>
      </c>
      <c r="AI537" s="377">
        <f t="shared" si="190"/>
        <v>0</v>
      </c>
      <c r="AJ537" s="310"/>
      <c r="AK537" s="310"/>
      <c r="AL537" s="310"/>
      <c r="AM537" s="310"/>
      <c r="AN537" s="377">
        <f t="shared" si="191"/>
        <v>4040496</v>
      </c>
      <c r="AO537" s="310"/>
      <c r="AP537" s="310"/>
      <c r="AQ537" s="310"/>
      <c r="AR537" s="310">
        <v>4040496</v>
      </c>
      <c r="AS537" s="377">
        <f t="shared" si="192"/>
        <v>0</v>
      </c>
      <c r="AT537" s="310"/>
      <c r="AU537" s="310"/>
      <c r="AV537" s="310"/>
      <c r="AW537" s="310"/>
      <c r="AX537" s="377">
        <f t="shared" si="193"/>
        <v>0</v>
      </c>
      <c r="AY537" s="310"/>
      <c r="AZ537" s="310"/>
      <c r="BA537" s="310"/>
      <c r="BB537" s="310"/>
      <c r="BC537" s="310"/>
      <c r="BD537" s="310"/>
      <c r="BE537" s="312"/>
      <c r="BF537" s="127" t="s">
        <v>56</v>
      </c>
      <c r="BG537" s="128" t="s">
        <v>782</v>
      </c>
      <c r="BH537" s="133" t="s">
        <v>216</v>
      </c>
    </row>
    <row r="538" s="77" customFormat="1" ht="15" hidden="1" spans="1:60">
      <c r="A538" s="301">
        <v>531</v>
      </c>
      <c r="B538" s="127" t="s">
        <v>19</v>
      </c>
      <c r="C538" s="127" t="s">
        <v>20</v>
      </c>
      <c r="D538" s="257">
        <v>2019</v>
      </c>
      <c r="E538" s="128" t="s">
        <v>785</v>
      </c>
      <c r="F538" s="433" t="s">
        <v>53</v>
      </c>
      <c r="G538" s="433" t="s">
        <v>53</v>
      </c>
      <c r="H538" s="310">
        <f t="shared" si="182"/>
        <v>3417615.54</v>
      </c>
      <c r="I538" s="310">
        <f t="shared" si="183"/>
        <v>3417615.54</v>
      </c>
      <c r="J538" s="310">
        <f t="shared" si="184"/>
        <v>0</v>
      </c>
      <c r="K538" s="310"/>
      <c r="L538" s="310"/>
      <c r="M538" s="310"/>
      <c r="N538" s="310"/>
      <c r="O538" s="310">
        <f t="shared" si="185"/>
        <v>3417615.54</v>
      </c>
      <c r="P538" s="310"/>
      <c r="Q538" s="310"/>
      <c r="R538" s="310"/>
      <c r="S538" s="310">
        <v>3417615.54</v>
      </c>
      <c r="T538" s="310">
        <f t="shared" si="186"/>
        <v>0</v>
      </c>
      <c r="U538" s="310"/>
      <c r="V538" s="310"/>
      <c r="W538" s="310"/>
      <c r="X538" s="310"/>
      <c r="Y538" s="310">
        <f t="shared" si="187"/>
        <v>0</v>
      </c>
      <c r="Z538" s="310"/>
      <c r="AA538" s="310"/>
      <c r="AB538" s="310"/>
      <c r="AC538" s="310"/>
      <c r="AD538" s="310"/>
      <c r="AE538" s="310"/>
      <c r="AF538" s="310"/>
      <c r="AG538" s="377">
        <f t="shared" si="188"/>
        <v>300600</v>
      </c>
      <c r="AH538" s="377">
        <f t="shared" si="189"/>
        <v>300600</v>
      </c>
      <c r="AI538" s="377">
        <f t="shared" si="190"/>
        <v>0</v>
      </c>
      <c r="AJ538" s="310"/>
      <c r="AK538" s="310"/>
      <c r="AL538" s="310"/>
      <c r="AM538" s="310"/>
      <c r="AN538" s="377">
        <f t="shared" si="191"/>
        <v>300600</v>
      </c>
      <c r="AO538" s="310"/>
      <c r="AP538" s="310"/>
      <c r="AQ538" s="310"/>
      <c r="AR538" s="310">
        <f>30.06*10000</f>
        <v>300600</v>
      </c>
      <c r="AS538" s="377">
        <f t="shared" si="192"/>
        <v>0</v>
      </c>
      <c r="AT538" s="310"/>
      <c r="AU538" s="310"/>
      <c r="AV538" s="310"/>
      <c r="AW538" s="310"/>
      <c r="AX538" s="377">
        <f t="shared" si="193"/>
        <v>0</v>
      </c>
      <c r="AY538" s="310"/>
      <c r="AZ538" s="310"/>
      <c r="BA538" s="310"/>
      <c r="BB538" s="310"/>
      <c r="BC538" s="310"/>
      <c r="BD538" s="310"/>
      <c r="BE538" s="312"/>
      <c r="BF538" s="127" t="s">
        <v>56</v>
      </c>
      <c r="BG538" s="128" t="s">
        <v>774</v>
      </c>
      <c r="BH538" s="133" t="s">
        <v>216</v>
      </c>
    </row>
    <row r="539" s="77" customFormat="1" ht="15" hidden="1" spans="1:60">
      <c r="A539" s="301">
        <v>532</v>
      </c>
      <c r="B539" s="376" t="s">
        <v>19</v>
      </c>
      <c r="C539" s="376" t="s">
        <v>20</v>
      </c>
      <c r="D539" s="442">
        <v>2022</v>
      </c>
      <c r="E539" s="443" t="s">
        <v>786</v>
      </c>
      <c r="F539" s="444" t="s">
        <v>53</v>
      </c>
      <c r="G539" s="444" t="s">
        <v>53</v>
      </c>
      <c r="H539" s="377">
        <f t="shared" si="182"/>
        <v>5220000</v>
      </c>
      <c r="I539" s="377">
        <f t="shared" si="183"/>
        <v>5220000</v>
      </c>
      <c r="J539" s="377">
        <f t="shared" si="184"/>
        <v>0</v>
      </c>
      <c r="K539" s="377"/>
      <c r="L539" s="377"/>
      <c r="M539" s="377"/>
      <c r="N539" s="377"/>
      <c r="O539" s="377">
        <f t="shared" si="185"/>
        <v>0</v>
      </c>
      <c r="P539" s="377"/>
      <c r="Q539" s="377"/>
      <c r="R539" s="377"/>
      <c r="S539" s="377"/>
      <c r="T539" s="377">
        <f t="shared" si="186"/>
        <v>5220000</v>
      </c>
      <c r="U539" s="377"/>
      <c r="V539" s="377"/>
      <c r="W539" s="377">
        <v>5220000</v>
      </c>
      <c r="X539" s="377"/>
      <c r="Y539" s="377">
        <f t="shared" si="187"/>
        <v>0</v>
      </c>
      <c r="Z539" s="377"/>
      <c r="AA539" s="377"/>
      <c r="AB539" s="377"/>
      <c r="AC539" s="377"/>
      <c r="AD539" s="377"/>
      <c r="AE539" s="377"/>
      <c r="AF539" s="377"/>
      <c r="AG539" s="377">
        <f t="shared" si="188"/>
        <v>5220000</v>
      </c>
      <c r="AH539" s="377">
        <f t="shared" si="189"/>
        <v>5220000</v>
      </c>
      <c r="AI539" s="377">
        <f t="shared" si="190"/>
        <v>0</v>
      </c>
      <c r="AJ539" s="377"/>
      <c r="AK539" s="377"/>
      <c r="AL539" s="377"/>
      <c r="AM539" s="377"/>
      <c r="AN539" s="377">
        <f t="shared" si="191"/>
        <v>0</v>
      </c>
      <c r="AO539" s="377"/>
      <c r="AP539" s="377"/>
      <c r="AQ539" s="377"/>
      <c r="AR539" s="377"/>
      <c r="AS539" s="377">
        <f t="shared" si="192"/>
        <v>5220000</v>
      </c>
      <c r="AT539" s="377"/>
      <c r="AU539" s="377"/>
      <c r="AV539" s="377">
        <v>5220000</v>
      </c>
      <c r="AW539" s="377"/>
      <c r="AX539" s="377">
        <f t="shared" si="193"/>
        <v>0</v>
      </c>
      <c r="AY539" s="377"/>
      <c r="AZ539" s="377"/>
      <c r="BA539" s="377"/>
      <c r="BB539" s="377"/>
      <c r="BC539" s="377"/>
      <c r="BD539" s="377"/>
      <c r="BE539" s="379"/>
      <c r="BF539" s="127" t="s">
        <v>56</v>
      </c>
      <c r="BG539" s="128" t="s">
        <v>317</v>
      </c>
      <c r="BH539" s="133" t="s">
        <v>131</v>
      </c>
    </row>
    <row r="540" s="77" customFormat="1" ht="15" hidden="1" spans="1:60">
      <c r="A540" s="301">
        <v>533</v>
      </c>
      <c r="B540" s="127" t="s">
        <v>19</v>
      </c>
      <c r="C540" s="127" t="s">
        <v>20</v>
      </c>
      <c r="D540" s="257">
        <v>2014</v>
      </c>
      <c r="E540" s="128" t="s">
        <v>787</v>
      </c>
      <c r="F540" s="444" t="s">
        <v>53</v>
      </c>
      <c r="G540" s="444" t="s">
        <v>53</v>
      </c>
      <c r="H540" s="377">
        <f t="shared" si="182"/>
        <v>310000</v>
      </c>
      <c r="I540" s="377">
        <f t="shared" si="183"/>
        <v>310000</v>
      </c>
      <c r="J540" s="377">
        <f t="shared" si="184"/>
        <v>310000</v>
      </c>
      <c r="K540" s="310"/>
      <c r="L540" s="310"/>
      <c r="M540" s="310"/>
      <c r="N540" s="310">
        <v>310000</v>
      </c>
      <c r="O540" s="377">
        <f t="shared" si="185"/>
        <v>0</v>
      </c>
      <c r="P540" s="310"/>
      <c r="Q540" s="310"/>
      <c r="R540" s="310"/>
      <c r="S540" s="310"/>
      <c r="T540" s="377">
        <f t="shared" si="186"/>
        <v>0</v>
      </c>
      <c r="U540" s="310"/>
      <c r="V540" s="310"/>
      <c r="W540" s="310"/>
      <c r="X540" s="310"/>
      <c r="Y540" s="377">
        <f t="shared" si="187"/>
        <v>0</v>
      </c>
      <c r="Z540" s="310"/>
      <c r="AA540" s="310"/>
      <c r="AB540" s="310"/>
      <c r="AC540" s="310"/>
      <c r="AD540" s="310"/>
      <c r="AE540" s="310"/>
      <c r="AF540" s="310"/>
      <c r="AG540" s="377">
        <f t="shared" si="188"/>
        <v>310000</v>
      </c>
      <c r="AH540" s="377">
        <f t="shared" si="189"/>
        <v>310000</v>
      </c>
      <c r="AI540" s="377">
        <f t="shared" si="190"/>
        <v>310000</v>
      </c>
      <c r="AJ540" s="310"/>
      <c r="AK540" s="310"/>
      <c r="AL540" s="310"/>
      <c r="AM540" s="310">
        <v>310000</v>
      </c>
      <c r="AN540" s="377">
        <f t="shared" si="191"/>
        <v>0</v>
      </c>
      <c r="AO540" s="310"/>
      <c r="AP540" s="310"/>
      <c r="AQ540" s="310"/>
      <c r="AR540" s="310"/>
      <c r="AS540" s="377">
        <f t="shared" si="192"/>
        <v>0</v>
      </c>
      <c r="AT540" s="310"/>
      <c r="AU540" s="310"/>
      <c r="AV540" s="310"/>
      <c r="AW540" s="310"/>
      <c r="AX540" s="377">
        <f t="shared" si="193"/>
        <v>0</v>
      </c>
      <c r="AY540" s="310"/>
      <c r="AZ540" s="310"/>
      <c r="BA540" s="310"/>
      <c r="BB540" s="310"/>
      <c r="BC540" s="310"/>
      <c r="BD540" s="310"/>
      <c r="BE540" s="312"/>
      <c r="BF540" s="127" t="s">
        <v>56</v>
      </c>
      <c r="BG540" s="184" t="s">
        <v>788</v>
      </c>
      <c r="BH540" s="133" t="s">
        <v>216</v>
      </c>
    </row>
    <row r="541" s="77" customFormat="1" ht="15" hidden="1" spans="1:60">
      <c r="A541" s="301">
        <v>534</v>
      </c>
      <c r="B541" s="127" t="s">
        <v>19</v>
      </c>
      <c r="C541" s="127" t="s">
        <v>20</v>
      </c>
      <c r="D541" s="257">
        <v>2015</v>
      </c>
      <c r="E541" s="128" t="s">
        <v>789</v>
      </c>
      <c r="F541" s="444" t="s">
        <v>53</v>
      </c>
      <c r="G541" s="444" t="s">
        <v>53</v>
      </c>
      <c r="H541" s="377">
        <f t="shared" si="182"/>
        <v>1400000</v>
      </c>
      <c r="I541" s="377">
        <f t="shared" si="183"/>
        <v>1400000</v>
      </c>
      <c r="J541" s="377">
        <f t="shared" si="184"/>
        <v>1400000</v>
      </c>
      <c r="K541" s="310"/>
      <c r="L541" s="310"/>
      <c r="M541" s="310"/>
      <c r="N541" s="310">
        <v>1400000</v>
      </c>
      <c r="O541" s="377">
        <f t="shared" si="185"/>
        <v>0</v>
      </c>
      <c r="P541" s="310"/>
      <c r="Q541" s="310"/>
      <c r="R541" s="310"/>
      <c r="S541" s="310"/>
      <c r="T541" s="377">
        <f t="shared" si="186"/>
        <v>0</v>
      </c>
      <c r="U541" s="310"/>
      <c r="V541" s="310"/>
      <c r="W541" s="310"/>
      <c r="X541" s="310"/>
      <c r="Y541" s="377">
        <f t="shared" si="187"/>
        <v>0</v>
      </c>
      <c r="Z541" s="310"/>
      <c r="AA541" s="310"/>
      <c r="AB541" s="310"/>
      <c r="AC541" s="310"/>
      <c r="AD541" s="310"/>
      <c r="AE541" s="310"/>
      <c r="AF541" s="310"/>
      <c r="AG541" s="377">
        <f t="shared" si="188"/>
        <v>1400000</v>
      </c>
      <c r="AH541" s="377">
        <f t="shared" si="189"/>
        <v>1400000</v>
      </c>
      <c r="AI541" s="377">
        <f t="shared" si="190"/>
        <v>1400000</v>
      </c>
      <c r="AJ541" s="310"/>
      <c r="AK541" s="310"/>
      <c r="AL541" s="310"/>
      <c r="AM541" s="310">
        <v>1400000</v>
      </c>
      <c r="AN541" s="377">
        <f t="shared" si="191"/>
        <v>0</v>
      </c>
      <c r="AO541" s="310"/>
      <c r="AP541" s="310"/>
      <c r="AQ541" s="310"/>
      <c r="AR541" s="310"/>
      <c r="AS541" s="377">
        <f t="shared" si="192"/>
        <v>0</v>
      </c>
      <c r="AT541" s="310"/>
      <c r="AU541" s="310"/>
      <c r="AV541" s="310"/>
      <c r="AW541" s="310"/>
      <c r="AX541" s="377">
        <f t="shared" si="193"/>
        <v>0</v>
      </c>
      <c r="AY541" s="310"/>
      <c r="AZ541" s="310"/>
      <c r="BA541" s="310"/>
      <c r="BB541" s="310"/>
      <c r="BC541" s="310"/>
      <c r="BD541" s="310"/>
      <c r="BE541" s="312"/>
      <c r="BF541" s="127" t="s">
        <v>56</v>
      </c>
      <c r="BG541" s="184" t="s">
        <v>790</v>
      </c>
      <c r="BH541" s="133" t="s">
        <v>67</v>
      </c>
    </row>
    <row r="542" s="77" customFormat="1" ht="15" hidden="1" spans="1:60">
      <c r="A542" s="301">
        <v>535</v>
      </c>
      <c r="B542" s="127" t="s">
        <v>19</v>
      </c>
      <c r="C542" s="127" t="s">
        <v>20</v>
      </c>
      <c r="D542" s="257">
        <v>2013</v>
      </c>
      <c r="E542" s="128" t="s">
        <v>791</v>
      </c>
      <c r="F542" s="444" t="s">
        <v>53</v>
      </c>
      <c r="G542" s="444" t="s">
        <v>53</v>
      </c>
      <c r="H542" s="377">
        <f t="shared" si="182"/>
        <v>280000</v>
      </c>
      <c r="I542" s="377">
        <f t="shared" si="183"/>
        <v>280000</v>
      </c>
      <c r="J542" s="377">
        <f t="shared" si="184"/>
        <v>280000</v>
      </c>
      <c r="K542" s="310"/>
      <c r="L542" s="310"/>
      <c r="M542" s="310"/>
      <c r="N542" s="310">
        <v>280000</v>
      </c>
      <c r="O542" s="377">
        <f t="shared" si="185"/>
        <v>0</v>
      </c>
      <c r="P542" s="310"/>
      <c r="Q542" s="310"/>
      <c r="R542" s="310"/>
      <c r="S542" s="310"/>
      <c r="T542" s="377">
        <f t="shared" si="186"/>
        <v>0</v>
      </c>
      <c r="U542" s="310"/>
      <c r="V542" s="310"/>
      <c r="W542" s="310"/>
      <c r="X542" s="310"/>
      <c r="Y542" s="377">
        <f t="shared" si="187"/>
        <v>0</v>
      </c>
      <c r="Z542" s="310"/>
      <c r="AA542" s="310"/>
      <c r="AB542" s="310"/>
      <c r="AC542" s="310"/>
      <c r="AD542" s="310"/>
      <c r="AE542" s="310"/>
      <c r="AF542" s="310"/>
      <c r="AG542" s="377">
        <f t="shared" si="188"/>
        <v>280000</v>
      </c>
      <c r="AH542" s="377">
        <f t="shared" si="189"/>
        <v>260000</v>
      </c>
      <c r="AI542" s="377">
        <f t="shared" si="190"/>
        <v>260000</v>
      </c>
      <c r="AJ542" s="310"/>
      <c r="AK542" s="310"/>
      <c r="AL542" s="310"/>
      <c r="AM542" s="310">
        <v>260000</v>
      </c>
      <c r="AN542" s="377">
        <f t="shared" si="191"/>
        <v>0</v>
      </c>
      <c r="AO542" s="310"/>
      <c r="AP542" s="310"/>
      <c r="AQ542" s="310"/>
      <c r="AR542" s="310"/>
      <c r="AS542" s="377">
        <f t="shared" si="192"/>
        <v>0</v>
      </c>
      <c r="AT542" s="310"/>
      <c r="AU542" s="310"/>
      <c r="AV542" s="310"/>
      <c r="AW542" s="310"/>
      <c r="AX542" s="377">
        <f t="shared" si="193"/>
        <v>0</v>
      </c>
      <c r="AY542" s="310"/>
      <c r="AZ542" s="310"/>
      <c r="BA542" s="310"/>
      <c r="BB542" s="310"/>
      <c r="BC542" s="310"/>
      <c r="BD542" s="310"/>
      <c r="BE542" s="312">
        <v>20000</v>
      </c>
      <c r="BF542" s="127" t="s">
        <v>56</v>
      </c>
      <c r="BG542" s="128" t="s">
        <v>239</v>
      </c>
      <c r="BH542" s="133" t="s">
        <v>67</v>
      </c>
    </row>
    <row r="543" s="77" customFormat="1" ht="15" hidden="1" spans="1:60">
      <c r="A543" s="301">
        <v>536</v>
      </c>
      <c r="B543" s="127" t="s">
        <v>19</v>
      </c>
      <c r="C543" s="127" t="s">
        <v>20</v>
      </c>
      <c r="D543" s="257">
        <v>2014</v>
      </c>
      <c r="E543" s="128" t="s">
        <v>792</v>
      </c>
      <c r="F543" s="308" t="s">
        <v>53</v>
      </c>
      <c r="G543" s="444" t="s">
        <v>53</v>
      </c>
      <c r="H543" s="377">
        <f t="shared" si="182"/>
        <v>1667500</v>
      </c>
      <c r="I543" s="377">
        <f t="shared" si="183"/>
        <v>1667500</v>
      </c>
      <c r="J543" s="377">
        <f t="shared" si="184"/>
        <v>1667500</v>
      </c>
      <c r="K543" s="377"/>
      <c r="L543" s="377"/>
      <c r="M543" s="377"/>
      <c r="N543" s="377">
        <v>1667500</v>
      </c>
      <c r="O543" s="377">
        <f t="shared" si="185"/>
        <v>0</v>
      </c>
      <c r="P543" s="377"/>
      <c r="Q543" s="377"/>
      <c r="R543" s="377"/>
      <c r="S543" s="377"/>
      <c r="T543" s="377">
        <f t="shared" si="186"/>
        <v>0</v>
      </c>
      <c r="U543" s="377"/>
      <c r="V543" s="377"/>
      <c r="W543" s="377"/>
      <c r="X543" s="377"/>
      <c r="Y543" s="377">
        <f t="shared" si="187"/>
        <v>0</v>
      </c>
      <c r="Z543" s="377"/>
      <c r="AA543" s="377"/>
      <c r="AB543" s="377"/>
      <c r="AC543" s="377"/>
      <c r="AD543" s="377"/>
      <c r="AE543" s="377"/>
      <c r="AF543" s="377"/>
      <c r="AG543" s="377">
        <f t="shared" si="188"/>
        <v>1667500</v>
      </c>
      <c r="AH543" s="377">
        <f t="shared" si="189"/>
        <v>1667500</v>
      </c>
      <c r="AI543" s="377">
        <f t="shared" si="190"/>
        <v>1667500</v>
      </c>
      <c r="AJ543" s="377"/>
      <c r="AK543" s="377"/>
      <c r="AL543" s="377"/>
      <c r="AM543" s="377">
        <v>1667500</v>
      </c>
      <c r="AN543" s="377">
        <f t="shared" si="191"/>
        <v>0</v>
      </c>
      <c r="AO543" s="377"/>
      <c r="AP543" s="377"/>
      <c r="AQ543" s="377"/>
      <c r="AR543" s="377"/>
      <c r="AS543" s="377">
        <f t="shared" si="192"/>
        <v>0</v>
      </c>
      <c r="AT543" s="377"/>
      <c r="AU543" s="377"/>
      <c r="AV543" s="377"/>
      <c r="AW543" s="377"/>
      <c r="AX543" s="377">
        <f t="shared" si="193"/>
        <v>0</v>
      </c>
      <c r="AY543" s="377"/>
      <c r="AZ543" s="377"/>
      <c r="BA543" s="377"/>
      <c r="BB543" s="377"/>
      <c r="BC543" s="377"/>
      <c r="BD543" s="377"/>
      <c r="BE543" s="379"/>
      <c r="BF543" s="127" t="s">
        <v>56</v>
      </c>
      <c r="BG543" s="184" t="s">
        <v>793</v>
      </c>
      <c r="BH543" s="133" t="s">
        <v>67</v>
      </c>
    </row>
    <row r="544" s="77" customFormat="1" ht="15" hidden="1" spans="1:60">
      <c r="A544" s="301">
        <v>537</v>
      </c>
      <c r="B544" s="127" t="s">
        <v>19</v>
      </c>
      <c r="C544" s="127" t="s">
        <v>20</v>
      </c>
      <c r="D544" s="257">
        <v>2015</v>
      </c>
      <c r="E544" s="128" t="s">
        <v>794</v>
      </c>
      <c r="F544" s="308" t="s">
        <v>53</v>
      </c>
      <c r="G544" s="308" t="s">
        <v>53</v>
      </c>
      <c r="H544" s="377">
        <f t="shared" si="182"/>
        <v>350000</v>
      </c>
      <c r="I544" s="377">
        <f t="shared" si="183"/>
        <v>300000</v>
      </c>
      <c r="J544" s="377">
        <f t="shared" si="184"/>
        <v>0</v>
      </c>
      <c r="K544" s="377"/>
      <c r="L544" s="377"/>
      <c r="M544" s="377"/>
      <c r="N544" s="377"/>
      <c r="O544" s="377">
        <f t="shared" si="185"/>
        <v>300000</v>
      </c>
      <c r="P544" s="377"/>
      <c r="Q544" s="377"/>
      <c r="R544" s="377"/>
      <c r="S544" s="377">
        <v>300000</v>
      </c>
      <c r="T544" s="377">
        <f t="shared" si="186"/>
        <v>0</v>
      </c>
      <c r="U544" s="377"/>
      <c r="V544" s="377"/>
      <c r="W544" s="377"/>
      <c r="X544" s="377"/>
      <c r="Y544" s="377">
        <f t="shared" si="187"/>
        <v>0</v>
      </c>
      <c r="Z544" s="377"/>
      <c r="AA544" s="377"/>
      <c r="AB544" s="377"/>
      <c r="AC544" s="377"/>
      <c r="AD544" s="377"/>
      <c r="AE544" s="377"/>
      <c r="AF544" s="377">
        <v>50000</v>
      </c>
      <c r="AG544" s="377">
        <f t="shared" si="188"/>
        <v>300000</v>
      </c>
      <c r="AH544" s="377">
        <f t="shared" si="189"/>
        <v>300000</v>
      </c>
      <c r="AI544" s="377">
        <f t="shared" si="190"/>
        <v>300000</v>
      </c>
      <c r="AJ544" s="377">
        <v>300000</v>
      </c>
      <c r="AK544" s="377"/>
      <c r="AL544" s="377"/>
      <c r="AM544" s="377"/>
      <c r="AN544" s="377">
        <v>0</v>
      </c>
      <c r="AO544" s="377"/>
      <c r="AP544" s="377"/>
      <c r="AQ544" s="377"/>
      <c r="AR544" s="377">
        <v>300000</v>
      </c>
      <c r="AS544" s="377">
        <f t="shared" si="192"/>
        <v>0</v>
      </c>
      <c r="AT544" s="377"/>
      <c r="AU544" s="377"/>
      <c r="AV544" s="377"/>
      <c r="AW544" s="377"/>
      <c r="AX544" s="377">
        <f t="shared" si="193"/>
        <v>0</v>
      </c>
      <c r="AY544" s="377"/>
      <c r="AZ544" s="377"/>
      <c r="BA544" s="377"/>
      <c r="BB544" s="377"/>
      <c r="BC544" s="377"/>
      <c r="BD544" s="377"/>
      <c r="BE544" s="379"/>
      <c r="BF544" s="127" t="s">
        <v>56</v>
      </c>
      <c r="BG544" s="128" t="s">
        <v>707</v>
      </c>
      <c r="BH544" s="133" t="s">
        <v>173</v>
      </c>
    </row>
    <row r="545" s="276" customFormat="1" ht="15" hidden="1" spans="1:61">
      <c r="A545" s="301">
        <v>538</v>
      </c>
      <c r="B545" s="445" t="s">
        <v>19</v>
      </c>
      <c r="C545" s="445" t="s">
        <v>20</v>
      </c>
      <c r="D545" s="446">
        <v>2013</v>
      </c>
      <c r="E545" s="447" t="s">
        <v>795</v>
      </c>
      <c r="F545" s="448" t="s">
        <v>53</v>
      </c>
      <c r="G545" s="448" t="s">
        <v>53</v>
      </c>
      <c r="H545" s="449">
        <f t="shared" si="182"/>
        <v>500000</v>
      </c>
      <c r="I545" s="449">
        <f t="shared" si="183"/>
        <v>460000</v>
      </c>
      <c r="J545" s="449">
        <f t="shared" si="184"/>
        <v>460000</v>
      </c>
      <c r="K545" s="449">
        <v>460000</v>
      </c>
      <c r="L545" s="450"/>
      <c r="M545" s="450"/>
      <c r="N545" s="450"/>
      <c r="O545" s="449">
        <f t="shared" si="185"/>
        <v>0</v>
      </c>
      <c r="P545" s="450"/>
      <c r="Q545" s="450"/>
      <c r="R545" s="450"/>
      <c r="S545" s="450"/>
      <c r="T545" s="449">
        <f t="shared" si="186"/>
        <v>0</v>
      </c>
      <c r="U545" s="450"/>
      <c r="V545" s="450"/>
      <c r="W545" s="450"/>
      <c r="X545" s="450"/>
      <c r="Y545" s="449">
        <f t="shared" si="187"/>
        <v>0</v>
      </c>
      <c r="Z545" s="450"/>
      <c r="AA545" s="450"/>
      <c r="AB545" s="450"/>
      <c r="AC545" s="450"/>
      <c r="AD545" s="450"/>
      <c r="AE545" s="450"/>
      <c r="AF545" s="450">
        <v>40000</v>
      </c>
      <c r="AG545" s="449">
        <f t="shared" si="188"/>
        <v>460000</v>
      </c>
      <c r="AH545" s="449">
        <f t="shared" si="189"/>
        <v>460000</v>
      </c>
      <c r="AI545" s="449">
        <f t="shared" si="190"/>
        <v>460000</v>
      </c>
      <c r="AJ545" s="449">
        <v>460000</v>
      </c>
      <c r="AK545" s="450"/>
      <c r="AL545" s="450"/>
      <c r="AM545" s="450"/>
      <c r="AN545" s="449">
        <f t="shared" ref="AN545:AN552" si="194">AR545+AQ545+AP545+AO545</f>
        <v>0</v>
      </c>
      <c r="AO545" s="450"/>
      <c r="AP545" s="450"/>
      <c r="AQ545" s="450"/>
      <c r="AR545" s="450"/>
      <c r="AS545" s="449">
        <f t="shared" si="192"/>
        <v>0</v>
      </c>
      <c r="AT545" s="450"/>
      <c r="AU545" s="450"/>
      <c r="AV545" s="450"/>
      <c r="AW545" s="450"/>
      <c r="AX545" s="449">
        <f t="shared" si="193"/>
        <v>0</v>
      </c>
      <c r="AY545" s="450"/>
      <c r="AZ545" s="450"/>
      <c r="BA545" s="450"/>
      <c r="BB545" s="450"/>
      <c r="BC545" s="450"/>
      <c r="BD545" s="450"/>
      <c r="BE545" s="451"/>
      <c r="BF545" s="445" t="s">
        <v>56</v>
      </c>
      <c r="BG545" s="447" t="s">
        <v>707</v>
      </c>
      <c r="BH545" s="452" t="s">
        <v>173</v>
      </c>
    </row>
    <row r="546" s="77" customFormat="1" ht="15" hidden="1" spans="1:61">
      <c r="A546" s="301">
        <v>539</v>
      </c>
      <c r="B546" s="376" t="s">
        <v>19</v>
      </c>
      <c r="C546" s="376" t="s">
        <v>20</v>
      </c>
      <c r="D546" s="442">
        <v>2013</v>
      </c>
      <c r="E546" s="443" t="s">
        <v>796</v>
      </c>
      <c r="F546" s="374" t="s">
        <v>53</v>
      </c>
      <c r="G546" s="374" t="s">
        <v>53</v>
      </c>
      <c r="H546" s="377">
        <f t="shared" si="182"/>
        <v>450000</v>
      </c>
      <c r="I546" s="377">
        <f t="shared" si="183"/>
        <v>400000</v>
      </c>
      <c r="J546" s="377">
        <f t="shared" si="184"/>
        <v>400000</v>
      </c>
      <c r="K546" s="377">
        <v>400000</v>
      </c>
      <c r="L546" s="377"/>
      <c r="M546" s="377"/>
      <c r="N546" s="377"/>
      <c r="O546" s="377">
        <f t="shared" si="185"/>
        <v>0</v>
      </c>
      <c r="P546" s="377"/>
      <c r="Q546" s="377"/>
      <c r="R546" s="377"/>
      <c r="S546" s="377"/>
      <c r="T546" s="377">
        <f t="shared" si="186"/>
        <v>0</v>
      </c>
      <c r="U546" s="377"/>
      <c r="V546" s="377"/>
      <c r="W546" s="377"/>
      <c r="X546" s="377"/>
      <c r="Y546" s="377">
        <f t="shared" si="187"/>
        <v>0</v>
      </c>
      <c r="Z546" s="377"/>
      <c r="AA546" s="377"/>
      <c r="AB546" s="377"/>
      <c r="AC546" s="377"/>
      <c r="AD546" s="377"/>
      <c r="AE546" s="377"/>
      <c r="AF546" s="377">
        <v>50000</v>
      </c>
      <c r="AG546" s="377">
        <f t="shared" si="188"/>
        <v>450000</v>
      </c>
      <c r="AH546" s="377">
        <f t="shared" si="189"/>
        <v>400000</v>
      </c>
      <c r="AI546" s="377">
        <f t="shared" si="190"/>
        <v>400000</v>
      </c>
      <c r="AJ546" s="377">
        <v>400000</v>
      </c>
      <c r="AK546" s="377"/>
      <c r="AL546" s="377"/>
      <c r="AM546" s="377"/>
      <c r="AN546" s="377">
        <f t="shared" si="194"/>
        <v>0</v>
      </c>
      <c r="AO546" s="377"/>
      <c r="AP546" s="377"/>
      <c r="AQ546" s="377"/>
      <c r="AR546" s="377"/>
      <c r="AS546" s="377">
        <f t="shared" si="192"/>
        <v>0</v>
      </c>
      <c r="AT546" s="377"/>
      <c r="AU546" s="377"/>
      <c r="AV546" s="377"/>
      <c r="AW546" s="377"/>
      <c r="AX546" s="377">
        <f t="shared" si="193"/>
        <v>0</v>
      </c>
      <c r="AY546" s="377"/>
      <c r="AZ546" s="377"/>
      <c r="BA546" s="377"/>
      <c r="BB546" s="377"/>
      <c r="BC546" s="377"/>
      <c r="BD546" s="377"/>
      <c r="BE546" s="379">
        <v>50000</v>
      </c>
      <c r="BF546" s="376" t="s">
        <v>56</v>
      </c>
      <c r="BG546" s="443" t="s">
        <v>707</v>
      </c>
      <c r="BH546" s="453" t="s">
        <v>173</v>
      </c>
    </row>
    <row r="547" s="277" customFormat="1" ht="15" hidden="1" spans="1:61">
      <c r="A547" s="301">
        <v>540</v>
      </c>
      <c r="B547" s="454" t="s">
        <v>19</v>
      </c>
      <c r="C547" s="454" t="s">
        <v>20</v>
      </c>
      <c r="D547" s="455">
        <v>2015</v>
      </c>
      <c r="E547" s="456" t="s">
        <v>797</v>
      </c>
      <c r="F547" s="457" t="s">
        <v>53</v>
      </c>
      <c r="G547" s="457" t="s">
        <v>56</v>
      </c>
      <c r="H547" s="458">
        <f t="shared" si="182"/>
        <v>500000</v>
      </c>
      <c r="I547" s="458">
        <f t="shared" si="183"/>
        <v>500000</v>
      </c>
      <c r="J547" s="458">
        <f t="shared" si="184"/>
        <v>500000</v>
      </c>
      <c r="K547" s="458">
        <v>500000</v>
      </c>
      <c r="L547" s="458"/>
      <c r="M547" s="458"/>
      <c r="N547" s="458"/>
      <c r="O547" s="458">
        <f t="shared" si="185"/>
        <v>0</v>
      </c>
      <c r="P547" s="458"/>
      <c r="Q547" s="458"/>
      <c r="R547" s="458"/>
      <c r="S547" s="458"/>
      <c r="T547" s="458">
        <f t="shared" si="186"/>
        <v>0</v>
      </c>
      <c r="U547" s="458"/>
      <c r="V547" s="458"/>
      <c r="W547" s="458"/>
      <c r="X547" s="458"/>
      <c r="Y547" s="458">
        <f t="shared" si="187"/>
        <v>0</v>
      </c>
      <c r="Z547" s="458"/>
      <c r="AA547" s="458"/>
      <c r="AB547" s="458"/>
      <c r="AC547" s="458"/>
      <c r="AD547" s="458"/>
      <c r="AE547" s="458"/>
      <c r="AF547" s="459"/>
      <c r="AG547" s="396">
        <v>500000</v>
      </c>
      <c r="AH547" s="396">
        <v>500000</v>
      </c>
      <c r="AI547" s="396">
        <v>500000</v>
      </c>
      <c r="AJ547" s="396">
        <v>500000</v>
      </c>
      <c r="AK547" s="460"/>
      <c r="AL547" s="458"/>
      <c r="AM547" s="458"/>
      <c r="AN547" s="458">
        <f t="shared" si="194"/>
        <v>0</v>
      </c>
      <c r="AO547" s="458"/>
      <c r="AP547" s="458"/>
      <c r="AQ547" s="458"/>
      <c r="AR547" s="458"/>
      <c r="AS547" s="458">
        <f t="shared" si="192"/>
        <v>0</v>
      </c>
      <c r="AT547" s="458"/>
      <c r="AU547" s="458"/>
      <c r="AV547" s="458"/>
      <c r="AW547" s="458"/>
      <c r="AX547" s="458">
        <f t="shared" si="193"/>
        <v>0</v>
      </c>
      <c r="AY547" s="458"/>
      <c r="AZ547" s="458"/>
      <c r="BA547" s="458"/>
      <c r="BB547" s="458"/>
      <c r="BC547" s="458"/>
      <c r="BD547" s="458"/>
      <c r="BE547" s="458"/>
      <c r="BF547" s="454" t="s">
        <v>56</v>
      </c>
      <c r="BG547" s="456" t="s">
        <v>798</v>
      </c>
      <c r="BH547" s="461" t="s">
        <v>448</v>
      </c>
      <c r="BI547" s="462" t="s">
        <v>799</v>
      </c>
    </row>
    <row r="548" s="77" customFormat="1" ht="15" hidden="1" spans="1:61">
      <c r="A548" s="301">
        <v>541</v>
      </c>
      <c r="B548" s="385" t="s">
        <v>19</v>
      </c>
      <c r="C548" s="385" t="s">
        <v>20</v>
      </c>
      <c r="D548" s="463">
        <v>2013</v>
      </c>
      <c r="E548" s="464" t="s">
        <v>800</v>
      </c>
      <c r="F548" s="383" t="s">
        <v>53</v>
      </c>
      <c r="G548" s="383" t="s">
        <v>53</v>
      </c>
      <c r="H548" s="465">
        <f t="shared" si="182"/>
        <v>550000</v>
      </c>
      <c r="I548" s="465">
        <f t="shared" si="183"/>
        <v>500000</v>
      </c>
      <c r="J548" s="465">
        <f t="shared" si="184"/>
        <v>500000</v>
      </c>
      <c r="K548" s="465">
        <v>500000</v>
      </c>
      <c r="L548" s="386"/>
      <c r="M548" s="386"/>
      <c r="N548" s="386"/>
      <c r="O548" s="465">
        <f t="shared" si="185"/>
        <v>0</v>
      </c>
      <c r="P548" s="386"/>
      <c r="Q548" s="386"/>
      <c r="R548" s="386"/>
      <c r="S548" s="386"/>
      <c r="T548" s="465">
        <f t="shared" si="186"/>
        <v>0</v>
      </c>
      <c r="U548" s="386"/>
      <c r="V548" s="386"/>
      <c r="W548" s="386"/>
      <c r="X548" s="386"/>
      <c r="Y548" s="465">
        <f t="shared" si="187"/>
        <v>0</v>
      </c>
      <c r="Z548" s="386"/>
      <c r="AA548" s="386"/>
      <c r="AB548" s="386"/>
      <c r="AC548" s="386"/>
      <c r="AD548" s="386"/>
      <c r="AE548" s="386"/>
      <c r="AF548" s="388">
        <v>50000</v>
      </c>
      <c r="AG548" s="396">
        <f t="shared" si="188"/>
        <v>500000</v>
      </c>
      <c r="AH548" s="396">
        <f t="shared" si="189"/>
        <v>500000</v>
      </c>
      <c r="AI548" s="396">
        <f t="shared" si="190"/>
        <v>500000</v>
      </c>
      <c r="AJ548" s="396">
        <v>500000</v>
      </c>
      <c r="AK548" s="466"/>
      <c r="AL548" s="386"/>
      <c r="AM548" s="386"/>
      <c r="AN548" s="465">
        <f t="shared" si="194"/>
        <v>0</v>
      </c>
      <c r="AO548" s="386"/>
      <c r="AP548" s="386"/>
      <c r="AQ548" s="386"/>
      <c r="AR548" s="386"/>
      <c r="AS548" s="465">
        <f t="shared" si="192"/>
        <v>0</v>
      </c>
      <c r="AT548" s="386"/>
      <c r="AU548" s="386"/>
      <c r="AV548" s="386"/>
      <c r="AW548" s="386"/>
      <c r="AX548" s="465">
        <f t="shared" si="193"/>
        <v>0</v>
      </c>
      <c r="AY548" s="386"/>
      <c r="AZ548" s="386"/>
      <c r="BA548" s="386"/>
      <c r="BB548" s="386"/>
      <c r="BC548" s="386"/>
      <c r="BD548" s="386"/>
      <c r="BE548" s="388"/>
      <c r="BF548" s="385" t="s">
        <v>56</v>
      </c>
      <c r="BG548" s="464" t="s">
        <v>707</v>
      </c>
      <c r="BH548" s="467" t="s">
        <v>173</v>
      </c>
    </row>
    <row r="549" s="77" customFormat="1" ht="15" hidden="1" spans="1:61">
      <c r="A549" s="301">
        <v>542</v>
      </c>
      <c r="B549" s="127" t="s">
        <v>19</v>
      </c>
      <c r="C549" s="127" t="s">
        <v>20</v>
      </c>
      <c r="D549" s="257">
        <v>2013</v>
      </c>
      <c r="E549" s="128" t="s">
        <v>801</v>
      </c>
      <c r="F549" s="308" t="s">
        <v>53</v>
      </c>
      <c r="G549" s="308" t="s">
        <v>56</v>
      </c>
      <c r="H549" s="377">
        <f t="shared" si="182"/>
        <v>400000</v>
      </c>
      <c r="I549" s="377">
        <f t="shared" si="183"/>
        <v>350000</v>
      </c>
      <c r="J549" s="377">
        <f t="shared" si="184"/>
        <v>350000</v>
      </c>
      <c r="K549" s="377">
        <v>350000</v>
      </c>
      <c r="L549" s="310"/>
      <c r="M549" s="310"/>
      <c r="N549" s="310"/>
      <c r="O549" s="377">
        <f t="shared" si="185"/>
        <v>0</v>
      </c>
      <c r="P549" s="310"/>
      <c r="Q549" s="310"/>
      <c r="R549" s="310"/>
      <c r="S549" s="310"/>
      <c r="T549" s="377">
        <f t="shared" si="186"/>
        <v>0</v>
      </c>
      <c r="U549" s="310"/>
      <c r="V549" s="310"/>
      <c r="W549" s="310"/>
      <c r="X549" s="310"/>
      <c r="Y549" s="377">
        <f t="shared" si="187"/>
        <v>0</v>
      </c>
      <c r="Z549" s="310"/>
      <c r="AA549" s="310"/>
      <c r="AB549" s="310"/>
      <c r="AC549" s="310"/>
      <c r="AD549" s="310"/>
      <c r="AE549" s="310"/>
      <c r="AF549" s="310">
        <v>50000</v>
      </c>
      <c r="AG549" s="465">
        <f t="shared" si="188"/>
        <v>350000</v>
      </c>
      <c r="AH549" s="465">
        <f t="shared" si="189"/>
        <v>350000</v>
      </c>
      <c r="AI549" s="465">
        <f t="shared" si="190"/>
        <v>350000</v>
      </c>
      <c r="AJ549" s="465">
        <v>350000</v>
      </c>
      <c r="AK549" s="310"/>
      <c r="AL549" s="310"/>
      <c r="AM549" s="310"/>
      <c r="AN549" s="377">
        <f t="shared" si="194"/>
        <v>0</v>
      </c>
      <c r="AO549" s="310"/>
      <c r="AP549" s="310"/>
      <c r="AQ549" s="310"/>
      <c r="AR549" s="310"/>
      <c r="AS549" s="377">
        <f t="shared" si="192"/>
        <v>0</v>
      </c>
      <c r="AT549" s="310"/>
      <c r="AU549" s="310"/>
      <c r="AV549" s="310"/>
      <c r="AW549" s="310"/>
      <c r="AX549" s="377">
        <f t="shared" si="193"/>
        <v>0</v>
      </c>
      <c r="AY549" s="310"/>
      <c r="AZ549" s="310"/>
      <c r="BA549" s="310"/>
      <c r="BB549" s="310"/>
      <c r="BC549" s="310"/>
      <c r="BD549" s="310"/>
      <c r="BE549" s="312"/>
      <c r="BF549" s="127" t="s">
        <v>56</v>
      </c>
      <c r="BG549" s="128" t="s">
        <v>497</v>
      </c>
      <c r="BH549" s="133" t="s">
        <v>173</v>
      </c>
    </row>
    <row r="550" s="77" customFormat="1" ht="15" hidden="1" spans="1:61">
      <c r="A550" s="301">
        <v>543</v>
      </c>
      <c r="B550" s="127" t="s">
        <v>19</v>
      </c>
      <c r="C550" s="127" t="s">
        <v>20</v>
      </c>
      <c r="D550" s="257">
        <v>2013</v>
      </c>
      <c r="E550" s="128" t="s">
        <v>802</v>
      </c>
      <c r="F550" s="308" t="s">
        <v>53</v>
      </c>
      <c r="G550" s="308" t="s">
        <v>56</v>
      </c>
      <c r="H550" s="377">
        <f t="shared" si="182"/>
        <v>500000</v>
      </c>
      <c r="I550" s="377">
        <f t="shared" si="183"/>
        <v>450000</v>
      </c>
      <c r="J550" s="377">
        <f t="shared" si="184"/>
        <v>450000</v>
      </c>
      <c r="K550" s="377">
        <v>450000</v>
      </c>
      <c r="L550" s="310"/>
      <c r="M550" s="310"/>
      <c r="N550" s="310"/>
      <c r="O550" s="377">
        <f t="shared" si="185"/>
        <v>0</v>
      </c>
      <c r="P550" s="310"/>
      <c r="Q550" s="310"/>
      <c r="R550" s="310"/>
      <c r="S550" s="310"/>
      <c r="T550" s="377">
        <f t="shared" si="186"/>
        <v>0</v>
      </c>
      <c r="U550" s="310"/>
      <c r="V550" s="310"/>
      <c r="W550" s="310"/>
      <c r="X550" s="310"/>
      <c r="Y550" s="377">
        <f t="shared" si="187"/>
        <v>0</v>
      </c>
      <c r="Z550" s="310"/>
      <c r="AA550" s="310"/>
      <c r="AB550" s="310"/>
      <c r="AC550" s="310"/>
      <c r="AD550" s="310"/>
      <c r="AE550" s="310"/>
      <c r="AF550" s="310">
        <v>50000</v>
      </c>
      <c r="AG550" s="377">
        <f t="shared" si="188"/>
        <v>450000</v>
      </c>
      <c r="AH550" s="377">
        <f t="shared" si="189"/>
        <v>450000</v>
      </c>
      <c r="AI550" s="377">
        <f t="shared" si="190"/>
        <v>450000</v>
      </c>
      <c r="AJ550" s="377">
        <v>450000</v>
      </c>
      <c r="AK550" s="310"/>
      <c r="AL550" s="310"/>
      <c r="AM550" s="310"/>
      <c r="AN550" s="377">
        <f t="shared" si="194"/>
        <v>0</v>
      </c>
      <c r="AO550" s="310"/>
      <c r="AP550" s="310"/>
      <c r="AQ550" s="310"/>
      <c r="AR550" s="310"/>
      <c r="AS550" s="377">
        <f t="shared" si="192"/>
        <v>0</v>
      </c>
      <c r="AT550" s="310"/>
      <c r="AU550" s="310"/>
      <c r="AV550" s="310"/>
      <c r="AW550" s="310"/>
      <c r="AX550" s="377">
        <f t="shared" si="193"/>
        <v>0</v>
      </c>
      <c r="AY550" s="310"/>
      <c r="AZ550" s="310"/>
      <c r="BA550" s="310"/>
      <c r="BB550" s="310"/>
      <c r="BC550" s="310"/>
      <c r="BD550" s="310"/>
      <c r="BE550" s="312"/>
      <c r="BF550" s="127" t="s">
        <v>56</v>
      </c>
      <c r="BG550" s="128" t="s">
        <v>497</v>
      </c>
      <c r="BH550" s="133" t="s">
        <v>173</v>
      </c>
    </row>
    <row r="551" s="77" customFormat="1" ht="15" hidden="1" spans="1:61">
      <c r="A551" s="301">
        <v>544</v>
      </c>
      <c r="B551" s="127" t="s">
        <v>19</v>
      </c>
      <c r="C551" s="127" t="s">
        <v>20</v>
      </c>
      <c r="D551" s="257">
        <v>2013</v>
      </c>
      <c r="E551" t="s">
        <v>803</v>
      </c>
      <c r="F551" s="308" t="s">
        <v>53</v>
      </c>
      <c r="G551" s="308" t="s">
        <v>53</v>
      </c>
      <c r="H551" s="377">
        <f t="shared" si="182"/>
        <v>1100000</v>
      </c>
      <c r="I551" s="377">
        <f t="shared" si="183"/>
        <v>1000000</v>
      </c>
      <c r="J551" s="377">
        <f t="shared" si="184"/>
        <v>1000000</v>
      </c>
      <c r="K551" s="377">
        <v>1000000</v>
      </c>
      <c r="L551" s="310"/>
      <c r="M551" s="310"/>
      <c r="N551" s="310"/>
      <c r="O551" s="377">
        <f t="shared" si="185"/>
        <v>0</v>
      </c>
      <c r="P551" s="310"/>
      <c r="Q551" s="310"/>
      <c r="R551" s="310"/>
      <c r="S551" s="310"/>
      <c r="T551" s="377">
        <f t="shared" si="186"/>
        <v>0</v>
      </c>
      <c r="U551" s="310"/>
      <c r="V551" s="310"/>
      <c r="W551" s="310"/>
      <c r="X551" s="310"/>
      <c r="Y551" s="377">
        <f t="shared" si="187"/>
        <v>0</v>
      </c>
      <c r="Z551" s="310"/>
      <c r="AA551" s="310"/>
      <c r="AB551" s="310"/>
      <c r="AC551" s="310"/>
      <c r="AD551" s="310"/>
      <c r="AE551" s="310"/>
      <c r="AF551" s="310">
        <v>100000</v>
      </c>
      <c r="AG551" s="377">
        <f t="shared" si="188"/>
        <v>1000000</v>
      </c>
      <c r="AH551" s="377">
        <f t="shared" si="189"/>
        <v>1000000</v>
      </c>
      <c r="AI551" s="377">
        <f t="shared" si="190"/>
        <v>1000000</v>
      </c>
      <c r="AJ551" s="377">
        <v>1000000</v>
      </c>
      <c r="AK551" s="310"/>
      <c r="AL551" s="310"/>
      <c r="AM551" s="310"/>
      <c r="AN551" s="377">
        <f t="shared" si="194"/>
        <v>0</v>
      </c>
      <c r="AO551" s="310"/>
      <c r="AP551" s="310"/>
      <c r="AQ551" s="310"/>
      <c r="AR551" s="310"/>
      <c r="AS551" s="377">
        <f t="shared" si="192"/>
        <v>0</v>
      </c>
      <c r="AT551" s="310"/>
      <c r="AU551" s="310"/>
      <c r="AV551" s="310"/>
      <c r="AW551" s="310"/>
      <c r="AX551" s="377">
        <f t="shared" si="193"/>
        <v>0</v>
      </c>
      <c r="AY551" s="310"/>
      <c r="AZ551" s="310"/>
      <c r="BA551" s="310"/>
      <c r="BB551" s="310"/>
      <c r="BC551" s="310"/>
      <c r="BD551" s="310"/>
      <c r="BE551" s="312"/>
      <c r="BF551" s="127" t="s">
        <v>56</v>
      </c>
      <c r="BG551" s="128" t="s">
        <v>707</v>
      </c>
      <c r="BH551" s="133" t="s">
        <v>173</v>
      </c>
    </row>
    <row r="552" s="77" customFormat="1" ht="15" hidden="1" spans="1:61">
      <c r="A552" s="301">
        <v>545</v>
      </c>
      <c r="B552" s="127" t="s">
        <v>19</v>
      </c>
      <c r="C552" s="127" t="s">
        <v>20</v>
      </c>
      <c r="D552" s="257">
        <v>2013</v>
      </c>
      <c r="E552" s="128" t="s">
        <v>804</v>
      </c>
      <c r="F552" s="308" t="s">
        <v>53</v>
      </c>
      <c r="G552" s="308" t="s">
        <v>56</v>
      </c>
      <c r="H552" s="377">
        <f t="shared" ref="H552:H568" si="195">I552+AF552</f>
        <v>750000</v>
      </c>
      <c r="I552" s="377">
        <f t="shared" ref="I552:I568" si="196">O552+J552+T552+Y552+AE552+AC552+AD552</f>
        <v>700000</v>
      </c>
      <c r="J552" s="377">
        <f t="shared" ref="J552:J568" si="197">N552+M552+L552+K552</f>
        <v>700000</v>
      </c>
      <c r="K552" s="377">
        <v>700000</v>
      </c>
      <c r="L552" s="310"/>
      <c r="M552" s="310"/>
      <c r="N552" s="310"/>
      <c r="O552" s="377">
        <f t="shared" ref="O552:O568" si="198">S552+R552+Q552+P552</f>
        <v>0</v>
      </c>
      <c r="P552" s="310"/>
      <c r="Q552" s="310"/>
      <c r="R552" s="310"/>
      <c r="S552" s="310"/>
      <c r="T552" s="377">
        <f t="shared" ref="T552:T568" si="199">U552+V552+W552+X552</f>
        <v>0</v>
      </c>
      <c r="U552" s="310"/>
      <c r="V552" s="310"/>
      <c r="W552" s="310"/>
      <c r="X552" s="310"/>
      <c r="Y552" s="377">
        <f t="shared" ref="Y552:Y568" si="200">AA552+Z552+AB552</f>
        <v>0</v>
      </c>
      <c r="Z552" s="310"/>
      <c r="AA552" s="310"/>
      <c r="AB552" s="310"/>
      <c r="AC552" s="310"/>
      <c r="AD552" s="310"/>
      <c r="AE552" s="310"/>
      <c r="AF552" s="310">
        <v>50000</v>
      </c>
      <c r="AG552" s="377">
        <f t="shared" ref="AG552:AG568" si="201">AH552+BE552</f>
        <v>750000</v>
      </c>
      <c r="AH552" s="377">
        <f t="shared" ref="AH552:AH568" si="202">AN552+AI552+AS552+AX552+BD552+BB552+BC552</f>
        <v>700000</v>
      </c>
      <c r="AI552" s="377">
        <f t="shared" ref="AI552:AI568" si="203">AM552+AL552+AK552+AJ552</f>
        <v>700000</v>
      </c>
      <c r="AJ552" s="377">
        <v>700000</v>
      </c>
      <c r="AK552" s="310"/>
      <c r="AL552" s="310"/>
      <c r="AM552" s="310"/>
      <c r="AN552" s="377">
        <f t="shared" ref="AN552:AN568" si="204">AR552+AQ552+AP552+AO552</f>
        <v>0</v>
      </c>
      <c r="AO552" s="310"/>
      <c r="AP552" s="310"/>
      <c r="AQ552" s="310"/>
      <c r="AR552" s="310"/>
      <c r="AS552" s="377">
        <f t="shared" ref="AS552:AS568" si="205">AW552+AV552+AU552+AT552</f>
        <v>0</v>
      </c>
      <c r="AT552" s="310"/>
      <c r="AU552" s="310"/>
      <c r="AV552" s="310"/>
      <c r="AW552" s="310"/>
      <c r="AX552" s="377">
        <f t="shared" ref="AX552:AX568" si="206">AZ552+AY552+BA552</f>
        <v>0</v>
      </c>
      <c r="AY552" s="310"/>
      <c r="AZ552" s="310"/>
      <c r="BA552" s="310"/>
      <c r="BB552" s="310"/>
      <c r="BC552" s="310"/>
      <c r="BD552" s="310"/>
      <c r="BE552" s="312">
        <v>50000</v>
      </c>
      <c r="BF552" s="127" t="s">
        <v>139</v>
      </c>
      <c r="BG552" s="128" t="s">
        <v>805</v>
      </c>
      <c r="BH552" s="133" t="s">
        <v>173</v>
      </c>
    </row>
    <row r="553" s="270" customFormat="1" ht="15" hidden="1" spans="1:61">
      <c r="A553" s="301">
        <v>546</v>
      </c>
      <c r="B553" s="238" t="s">
        <v>19</v>
      </c>
      <c r="C553" s="238" t="s">
        <v>20</v>
      </c>
      <c r="D553" s="262">
        <v>2013</v>
      </c>
      <c r="E553" s="263" t="s">
        <v>806</v>
      </c>
      <c r="F553" s="301" t="s">
        <v>53</v>
      </c>
      <c r="G553" s="301" t="s">
        <v>56</v>
      </c>
      <c r="H553" s="420">
        <f t="shared" si="195"/>
        <v>550000</v>
      </c>
      <c r="I553" s="420">
        <f t="shared" si="196"/>
        <v>500000</v>
      </c>
      <c r="J553" s="420">
        <f t="shared" si="197"/>
        <v>500000</v>
      </c>
      <c r="K553" s="420">
        <v>500000</v>
      </c>
      <c r="L553" s="304"/>
      <c r="M553" s="304"/>
      <c r="N553" s="304"/>
      <c r="O553" s="420">
        <f t="shared" si="198"/>
        <v>0</v>
      </c>
      <c r="P553" s="304"/>
      <c r="Q553" s="304"/>
      <c r="R553" s="304"/>
      <c r="S553" s="304"/>
      <c r="T553" s="420">
        <f t="shared" si="199"/>
        <v>0</v>
      </c>
      <c r="U553" s="304"/>
      <c r="V553" s="304"/>
      <c r="W553" s="304"/>
      <c r="X553" s="304"/>
      <c r="Y553" s="420">
        <f t="shared" si="200"/>
        <v>0</v>
      </c>
      <c r="Z553" s="304"/>
      <c r="AA553" s="304"/>
      <c r="AB553" s="304"/>
      <c r="AC553" s="304"/>
      <c r="AD553" s="304"/>
      <c r="AE553" s="304"/>
      <c r="AF553" s="304">
        <v>50000</v>
      </c>
      <c r="AG553" s="420">
        <f t="shared" si="201"/>
        <v>550000</v>
      </c>
      <c r="AH553" s="420">
        <f t="shared" si="202"/>
        <v>500000</v>
      </c>
      <c r="AI553" s="420">
        <f t="shared" si="203"/>
        <v>500000</v>
      </c>
      <c r="AJ553" s="420">
        <v>500000</v>
      </c>
      <c r="AK553" s="304"/>
      <c r="AL553" s="304"/>
      <c r="AM553" s="304"/>
      <c r="AN553" s="420">
        <f t="shared" si="204"/>
        <v>0</v>
      </c>
      <c r="AO553" s="304"/>
      <c r="AP553" s="304"/>
      <c r="AQ553" s="304"/>
      <c r="AR553" s="304"/>
      <c r="AS553" s="420">
        <f t="shared" si="205"/>
        <v>0</v>
      </c>
      <c r="AT553" s="304"/>
      <c r="AU553" s="304"/>
      <c r="AV553" s="304"/>
      <c r="AW553" s="304"/>
      <c r="AX553" s="420">
        <f t="shared" si="206"/>
        <v>0</v>
      </c>
      <c r="AY553" s="304"/>
      <c r="AZ553" s="304"/>
      <c r="BA553" s="304"/>
      <c r="BB553" s="304"/>
      <c r="BC553" s="304"/>
      <c r="BD553" s="304"/>
      <c r="BE553" s="305">
        <v>50000</v>
      </c>
      <c r="BF553" s="238" t="s">
        <v>53</v>
      </c>
      <c r="BG553" s="263" t="s">
        <v>707</v>
      </c>
      <c r="BH553" s="306" t="s">
        <v>173</v>
      </c>
    </row>
    <row r="554" s="77" customFormat="1" ht="15" hidden="1" spans="1:61">
      <c r="A554" s="301">
        <v>547</v>
      </c>
      <c r="B554" s="127" t="s">
        <v>19</v>
      </c>
      <c r="C554" s="127" t="s">
        <v>20</v>
      </c>
      <c r="D554" s="257">
        <v>2015</v>
      </c>
      <c r="E554" s="128" t="s">
        <v>807</v>
      </c>
      <c r="F554" s="308" t="s">
        <v>53</v>
      </c>
      <c r="G554" s="308" t="s">
        <v>53</v>
      </c>
      <c r="H554" s="377">
        <f t="shared" si="195"/>
        <v>550000</v>
      </c>
      <c r="I554" s="377">
        <f t="shared" si="196"/>
        <v>500000</v>
      </c>
      <c r="J554" s="377">
        <f t="shared" si="197"/>
        <v>500000</v>
      </c>
      <c r="K554" s="377">
        <v>500000</v>
      </c>
      <c r="L554" s="310"/>
      <c r="M554" s="310"/>
      <c r="N554" s="310"/>
      <c r="O554" s="377">
        <f t="shared" si="198"/>
        <v>0</v>
      </c>
      <c r="P554" s="310"/>
      <c r="Q554" s="310"/>
      <c r="R554" s="310"/>
      <c r="S554" s="310"/>
      <c r="T554" s="377">
        <f t="shared" si="199"/>
        <v>0</v>
      </c>
      <c r="U554" s="310"/>
      <c r="V554" s="310"/>
      <c r="W554" s="310"/>
      <c r="X554" s="310"/>
      <c r="Y554" s="377">
        <f t="shared" si="200"/>
        <v>0</v>
      </c>
      <c r="Z554" s="310"/>
      <c r="AA554" s="310"/>
      <c r="AB554" s="310"/>
      <c r="AC554" s="310"/>
      <c r="AD554" s="310"/>
      <c r="AE554" s="310"/>
      <c r="AF554" s="310">
        <v>50000</v>
      </c>
      <c r="AG554" s="377">
        <f t="shared" si="201"/>
        <v>500000</v>
      </c>
      <c r="AH554" s="377">
        <f t="shared" si="202"/>
        <v>500000</v>
      </c>
      <c r="AI554" s="377">
        <f t="shared" si="203"/>
        <v>500000</v>
      </c>
      <c r="AJ554" s="377">
        <v>500000</v>
      </c>
      <c r="AK554" s="310"/>
      <c r="AL554" s="310"/>
      <c r="AM554" s="310"/>
      <c r="AN554" s="377">
        <f t="shared" si="204"/>
        <v>0</v>
      </c>
      <c r="AO554" s="310"/>
      <c r="AP554" s="310"/>
      <c r="AQ554" s="310"/>
      <c r="AR554" s="310"/>
      <c r="AS554" s="377">
        <f t="shared" si="205"/>
        <v>0</v>
      </c>
      <c r="AT554" s="310"/>
      <c r="AU554" s="310"/>
      <c r="AV554" s="310"/>
      <c r="AW554" s="310"/>
      <c r="AX554" s="377">
        <f t="shared" si="206"/>
        <v>0</v>
      </c>
      <c r="AY554" s="310"/>
      <c r="AZ554" s="310"/>
      <c r="BA554" s="310"/>
      <c r="BB554" s="310"/>
      <c r="BC554" s="310"/>
      <c r="BD554" s="310"/>
      <c r="BE554" s="312"/>
      <c r="BF554" s="127" t="s">
        <v>56</v>
      </c>
      <c r="BG554" s="128" t="s">
        <v>808</v>
      </c>
      <c r="BH554" s="133" t="s">
        <v>173</v>
      </c>
    </row>
    <row r="555" s="270" customFormat="1" ht="15" hidden="1" spans="1:61">
      <c r="A555" s="301">
        <v>548</v>
      </c>
      <c r="B555" s="238" t="s">
        <v>19</v>
      </c>
      <c r="C555" s="238" t="s">
        <v>20</v>
      </c>
      <c r="D555" s="262">
        <v>2014</v>
      </c>
      <c r="E555" s="263" t="s">
        <v>809</v>
      </c>
      <c r="F555" s="301" t="s">
        <v>53</v>
      </c>
      <c r="G555" s="301" t="s">
        <v>56</v>
      </c>
      <c r="H555" s="420">
        <f t="shared" si="195"/>
        <v>550000</v>
      </c>
      <c r="I555" s="420">
        <f t="shared" si="196"/>
        <v>500000</v>
      </c>
      <c r="J555" s="420">
        <f t="shared" si="197"/>
        <v>500000</v>
      </c>
      <c r="K555" s="420">
        <v>500000</v>
      </c>
      <c r="L555" s="304"/>
      <c r="M555" s="304"/>
      <c r="N555" s="304"/>
      <c r="O555" s="420">
        <f t="shared" si="198"/>
        <v>0</v>
      </c>
      <c r="P555" s="304"/>
      <c r="Q555" s="304"/>
      <c r="R555" s="304"/>
      <c r="S555" s="304"/>
      <c r="T555" s="420">
        <f t="shared" si="199"/>
        <v>0</v>
      </c>
      <c r="U555" s="304"/>
      <c r="V555" s="304"/>
      <c r="W555" s="304"/>
      <c r="X555" s="304"/>
      <c r="Y555" s="420">
        <f t="shared" si="200"/>
        <v>0</v>
      </c>
      <c r="Z555" s="304"/>
      <c r="AA555" s="304"/>
      <c r="AB555" s="304"/>
      <c r="AC555" s="304"/>
      <c r="AD555" s="304"/>
      <c r="AE555" s="304"/>
      <c r="AF555" s="304">
        <v>50000</v>
      </c>
      <c r="AG555" s="420">
        <f t="shared" si="201"/>
        <v>550000</v>
      </c>
      <c r="AH555" s="420">
        <f t="shared" si="202"/>
        <v>500000</v>
      </c>
      <c r="AI555" s="420">
        <f t="shared" si="203"/>
        <v>500000</v>
      </c>
      <c r="AJ555" s="420">
        <v>500000</v>
      </c>
      <c r="AK555" s="304"/>
      <c r="AL555" s="304"/>
      <c r="AM555" s="304"/>
      <c r="AN555" s="420">
        <f t="shared" si="204"/>
        <v>0</v>
      </c>
      <c r="AO555" s="304"/>
      <c r="AP555" s="304"/>
      <c r="AQ555" s="304"/>
      <c r="AR555" s="304"/>
      <c r="AS555" s="420">
        <f t="shared" si="205"/>
        <v>0</v>
      </c>
      <c r="AT555" s="304"/>
      <c r="AU555" s="304"/>
      <c r="AV555" s="304"/>
      <c r="AW555" s="304"/>
      <c r="AX555" s="420">
        <f t="shared" si="206"/>
        <v>0</v>
      </c>
      <c r="AY555" s="304"/>
      <c r="AZ555" s="304"/>
      <c r="BA555" s="304"/>
      <c r="BB555" s="304"/>
      <c r="BC555" s="304"/>
      <c r="BD555" s="304"/>
      <c r="BE555" s="305">
        <v>50000</v>
      </c>
      <c r="BF555" s="238" t="s">
        <v>53</v>
      </c>
      <c r="BG555" s="263" t="s">
        <v>54</v>
      </c>
      <c r="BH555" s="306" t="s">
        <v>173</v>
      </c>
    </row>
    <row r="556" s="270" customFormat="1" ht="15" hidden="1" spans="1:61">
      <c r="A556" s="301">
        <v>549</v>
      </c>
      <c r="B556" s="238" t="s">
        <v>19</v>
      </c>
      <c r="C556" s="238" t="s">
        <v>20</v>
      </c>
      <c r="D556" s="262">
        <v>2015</v>
      </c>
      <c r="E556" s="263" t="s">
        <v>810</v>
      </c>
      <c r="F556" s="301" t="s">
        <v>53</v>
      </c>
      <c r="G556" s="301" t="s">
        <v>56</v>
      </c>
      <c r="H556" s="420">
        <f t="shared" si="195"/>
        <v>470000</v>
      </c>
      <c r="I556" s="420">
        <f t="shared" si="196"/>
        <v>450000</v>
      </c>
      <c r="J556" s="420">
        <f t="shared" si="197"/>
        <v>450000</v>
      </c>
      <c r="K556" s="420">
        <v>450000</v>
      </c>
      <c r="L556" s="304"/>
      <c r="M556" s="304"/>
      <c r="N556" s="304"/>
      <c r="O556" s="420">
        <f t="shared" si="198"/>
        <v>0</v>
      </c>
      <c r="P556" s="304"/>
      <c r="Q556" s="304"/>
      <c r="R556" s="304"/>
      <c r="S556" s="304"/>
      <c r="T556" s="420">
        <f t="shared" si="199"/>
        <v>0</v>
      </c>
      <c r="U556" s="304"/>
      <c r="V556" s="304"/>
      <c r="W556" s="304"/>
      <c r="X556" s="304"/>
      <c r="Y556" s="420">
        <f t="shared" si="200"/>
        <v>0</v>
      </c>
      <c r="Z556" s="304"/>
      <c r="AA556" s="304"/>
      <c r="AB556" s="304"/>
      <c r="AC556" s="304"/>
      <c r="AD556" s="304"/>
      <c r="AE556" s="304"/>
      <c r="AF556" s="304">
        <v>20000</v>
      </c>
      <c r="AG556" s="420">
        <f t="shared" si="201"/>
        <v>470000</v>
      </c>
      <c r="AH556" s="420">
        <f t="shared" si="202"/>
        <v>450000</v>
      </c>
      <c r="AI556" s="420">
        <f t="shared" si="203"/>
        <v>450000</v>
      </c>
      <c r="AJ556" s="420">
        <v>450000</v>
      </c>
      <c r="AK556" s="304"/>
      <c r="AL556" s="304"/>
      <c r="AM556" s="304"/>
      <c r="AN556" s="420">
        <f t="shared" si="204"/>
        <v>0</v>
      </c>
      <c r="AO556" s="304"/>
      <c r="AP556" s="304"/>
      <c r="AQ556" s="304"/>
      <c r="AR556" s="304"/>
      <c r="AS556" s="420">
        <f t="shared" si="205"/>
        <v>0</v>
      </c>
      <c r="AT556" s="304"/>
      <c r="AU556" s="304"/>
      <c r="AV556" s="304"/>
      <c r="AW556" s="304"/>
      <c r="AX556" s="420">
        <f t="shared" si="206"/>
        <v>0</v>
      </c>
      <c r="AY556" s="304"/>
      <c r="AZ556" s="304"/>
      <c r="BA556" s="304"/>
      <c r="BB556" s="304"/>
      <c r="BC556" s="304"/>
      <c r="BD556" s="304"/>
      <c r="BE556" s="305">
        <v>20000</v>
      </c>
      <c r="BF556" s="238" t="s">
        <v>53</v>
      </c>
      <c r="BG556" s="263" t="s">
        <v>713</v>
      </c>
      <c r="BH556" s="306" t="s">
        <v>173</v>
      </c>
    </row>
    <row r="557" s="270" customFormat="1" ht="15" hidden="1" spans="1:61">
      <c r="A557" s="301">
        <v>550</v>
      </c>
      <c r="B557" s="238" t="s">
        <v>19</v>
      </c>
      <c r="C557" s="238" t="s">
        <v>20</v>
      </c>
      <c r="D557" s="262">
        <v>2014</v>
      </c>
      <c r="E557" s="263" t="s">
        <v>811</v>
      </c>
      <c r="F557" s="301" t="s">
        <v>53</v>
      </c>
      <c r="G557" s="301" t="s">
        <v>56</v>
      </c>
      <c r="H557" s="420">
        <f t="shared" si="195"/>
        <v>600000</v>
      </c>
      <c r="I557" s="420">
        <f t="shared" si="196"/>
        <v>550000</v>
      </c>
      <c r="J557" s="420">
        <f t="shared" si="197"/>
        <v>550000</v>
      </c>
      <c r="K557" s="420">
        <v>550000</v>
      </c>
      <c r="L557" s="304"/>
      <c r="M557" s="304"/>
      <c r="N557" s="304"/>
      <c r="O557" s="420">
        <f t="shared" si="198"/>
        <v>0</v>
      </c>
      <c r="P557" s="304"/>
      <c r="Q557" s="304"/>
      <c r="R557" s="304"/>
      <c r="S557" s="304"/>
      <c r="T557" s="420">
        <f t="shared" si="199"/>
        <v>0</v>
      </c>
      <c r="U557" s="304"/>
      <c r="V557" s="304"/>
      <c r="W557" s="304"/>
      <c r="X557" s="304"/>
      <c r="Y557" s="420">
        <f t="shared" si="200"/>
        <v>0</v>
      </c>
      <c r="Z557" s="304"/>
      <c r="AA557" s="304"/>
      <c r="AB557" s="304"/>
      <c r="AC557" s="304"/>
      <c r="AD557" s="304"/>
      <c r="AE557" s="304"/>
      <c r="AF557" s="304">
        <v>50000</v>
      </c>
      <c r="AG557" s="420">
        <f t="shared" si="201"/>
        <v>600000</v>
      </c>
      <c r="AH557" s="420">
        <f t="shared" si="202"/>
        <v>550000</v>
      </c>
      <c r="AI557" s="420">
        <f t="shared" si="203"/>
        <v>550000</v>
      </c>
      <c r="AJ557" s="420">
        <v>550000</v>
      </c>
      <c r="AK557" s="304"/>
      <c r="AL557" s="304"/>
      <c r="AM557" s="304"/>
      <c r="AN557" s="420">
        <f t="shared" si="204"/>
        <v>0</v>
      </c>
      <c r="AO557" s="304"/>
      <c r="AP557" s="304"/>
      <c r="AQ557" s="304"/>
      <c r="AR557" s="304"/>
      <c r="AS557" s="420">
        <f t="shared" si="205"/>
        <v>0</v>
      </c>
      <c r="AT557" s="304"/>
      <c r="AU557" s="304"/>
      <c r="AV557" s="304"/>
      <c r="AW557" s="304"/>
      <c r="AX557" s="420">
        <f t="shared" si="206"/>
        <v>0</v>
      </c>
      <c r="AY557" s="304"/>
      <c r="AZ557" s="304"/>
      <c r="BA557" s="304"/>
      <c r="BB557" s="304"/>
      <c r="BC557" s="304"/>
      <c r="BD557" s="304"/>
      <c r="BE557" s="305">
        <v>50000</v>
      </c>
      <c r="BF557" s="238" t="s">
        <v>53</v>
      </c>
      <c r="BG557" s="263" t="s">
        <v>54</v>
      </c>
      <c r="BH557" s="306" t="s">
        <v>173</v>
      </c>
    </row>
    <row r="558" s="276" customFormat="1" ht="15" hidden="1" spans="1:61">
      <c r="A558" s="301">
        <v>551</v>
      </c>
      <c r="B558" s="445" t="s">
        <v>19</v>
      </c>
      <c r="C558" s="445" t="s">
        <v>20</v>
      </c>
      <c r="D558" s="446">
        <v>2014</v>
      </c>
      <c r="E558" s="447" t="s">
        <v>812</v>
      </c>
      <c r="F558" s="448" t="s">
        <v>53</v>
      </c>
      <c r="G558" s="448" t="s">
        <v>53</v>
      </c>
      <c r="H558" s="449">
        <f t="shared" si="195"/>
        <v>650000</v>
      </c>
      <c r="I558" s="449">
        <f t="shared" si="196"/>
        <v>600000</v>
      </c>
      <c r="J558" s="449">
        <f t="shared" si="197"/>
        <v>600000</v>
      </c>
      <c r="K558" s="449">
        <v>600000</v>
      </c>
      <c r="L558" s="450"/>
      <c r="M558" s="450"/>
      <c r="N558" s="450"/>
      <c r="O558" s="449">
        <f t="shared" si="198"/>
        <v>0</v>
      </c>
      <c r="P558" s="450"/>
      <c r="Q558" s="450"/>
      <c r="R558" s="450"/>
      <c r="S558" s="450"/>
      <c r="T558" s="449">
        <f t="shared" si="199"/>
        <v>0</v>
      </c>
      <c r="U558" s="450"/>
      <c r="V558" s="450"/>
      <c r="W558" s="450"/>
      <c r="X558" s="450"/>
      <c r="Y558" s="449">
        <f t="shared" si="200"/>
        <v>0</v>
      </c>
      <c r="Z558" s="450"/>
      <c r="AA558" s="450"/>
      <c r="AB558" s="450"/>
      <c r="AC558" s="450"/>
      <c r="AD558" s="450"/>
      <c r="AE558" s="450"/>
      <c r="AF558" s="450">
        <v>50000</v>
      </c>
      <c r="AG558" s="449">
        <f t="shared" si="201"/>
        <v>600000</v>
      </c>
      <c r="AH558" s="449">
        <f t="shared" si="202"/>
        <v>600000</v>
      </c>
      <c r="AI558" s="449">
        <f t="shared" si="203"/>
        <v>600000</v>
      </c>
      <c r="AJ558" s="449">
        <v>600000</v>
      </c>
      <c r="AK558" s="450"/>
      <c r="AL558" s="450"/>
      <c r="AM558" s="450"/>
      <c r="AN558" s="449">
        <f t="shared" si="204"/>
        <v>0</v>
      </c>
      <c r="AO558" s="450"/>
      <c r="AP558" s="450"/>
      <c r="AQ558" s="450"/>
      <c r="AR558" s="450"/>
      <c r="AS558" s="449">
        <f t="shared" si="205"/>
        <v>0</v>
      </c>
      <c r="AT558" s="450"/>
      <c r="AU558" s="450"/>
      <c r="AV558" s="450"/>
      <c r="AW558" s="450"/>
      <c r="AX558" s="449">
        <f t="shared" si="206"/>
        <v>0</v>
      </c>
      <c r="AY558" s="450"/>
      <c r="AZ558" s="450"/>
      <c r="BA558" s="450"/>
      <c r="BB558" s="450"/>
      <c r="BC558" s="450"/>
      <c r="BD558" s="450"/>
      <c r="BE558" s="451"/>
      <c r="BF558" s="445" t="s">
        <v>56</v>
      </c>
      <c r="BG558" s="447" t="s">
        <v>707</v>
      </c>
      <c r="BH558" s="452" t="s">
        <v>173</v>
      </c>
    </row>
    <row r="559" s="77" customFormat="1" ht="15" hidden="1" spans="1:61">
      <c r="A559" s="301">
        <v>552</v>
      </c>
      <c r="B559" s="127" t="s">
        <v>19</v>
      </c>
      <c r="C559" s="127" t="s">
        <v>20</v>
      </c>
      <c r="D559" s="257">
        <v>2015</v>
      </c>
      <c r="E559" s="128" t="s">
        <v>813</v>
      </c>
      <c r="F559" s="308" t="s">
        <v>53</v>
      </c>
      <c r="G559" s="308" t="s">
        <v>56</v>
      </c>
      <c r="H559" s="377">
        <f t="shared" si="195"/>
        <v>500000</v>
      </c>
      <c r="I559" s="377">
        <f t="shared" si="196"/>
        <v>450000</v>
      </c>
      <c r="J559" s="377">
        <f t="shared" si="197"/>
        <v>450000</v>
      </c>
      <c r="K559" s="377">
        <v>450000</v>
      </c>
      <c r="L559" s="310"/>
      <c r="M559" s="310"/>
      <c r="N559" s="310"/>
      <c r="O559" s="377">
        <f t="shared" si="198"/>
        <v>0</v>
      </c>
      <c r="P559" s="310"/>
      <c r="Q559" s="310"/>
      <c r="R559" s="310"/>
      <c r="S559" s="310"/>
      <c r="T559" s="377">
        <f t="shared" si="199"/>
        <v>0</v>
      </c>
      <c r="U559" s="310"/>
      <c r="V559" s="310"/>
      <c r="W559" s="310"/>
      <c r="X559" s="310"/>
      <c r="Y559" s="377">
        <f t="shared" si="200"/>
        <v>0</v>
      </c>
      <c r="Z559" s="310"/>
      <c r="AA559" s="310"/>
      <c r="AB559" s="310"/>
      <c r="AC559" s="310"/>
      <c r="AD559" s="310"/>
      <c r="AE559" s="310"/>
      <c r="AF559" s="310">
        <v>50000</v>
      </c>
      <c r="AG559" s="377">
        <f t="shared" si="201"/>
        <v>450000</v>
      </c>
      <c r="AH559" s="377">
        <f t="shared" si="202"/>
        <v>450000</v>
      </c>
      <c r="AI559" s="377">
        <f t="shared" si="203"/>
        <v>450000</v>
      </c>
      <c r="AJ559" s="377">
        <v>450000</v>
      </c>
      <c r="AK559" s="310"/>
      <c r="AL559" s="310"/>
      <c r="AM559" s="310"/>
      <c r="AN559" s="377">
        <f t="shared" si="204"/>
        <v>0</v>
      </c>
      <c r="AO559" s="310"/>
      <c r="AP559" s="310"/>
      <c r="AQ559" s="310"/>
      <c r="AR559" s="310"/>
      <c r="AS559" s="377">
        <f t="shared" si="205"/>
        <v>0</v>
      </c>
      <c r="AT559" s="310"/>
      <c r="AU559" s="310"/>
      <c r="AV559" s="310"/>
      <c r="AW559" s="310"/>
      <c r="AX559" s="377">
        <f t="shared" si="206"/>
        <v>0</v>
      </c>
      <c r="AY559" s="310"/>
      <c r="AZ559" s="310"/>
      <c r="BA559" s="310"/>
      <c r="BB559" s="310"/>
      <c r="BC559" s="310"/>
      <c r="BD559" s="310"/>
      <c r="BE559" s="312"/>
      <c r="BF559" s="127" t="s">
        <v>56</v>
      </c>
      <c r="BG559" s="128" t="s">
        <v>707</v>
      </c>
      <c r="BH559" s="133" t="s">
        <v>173</v>
      </c>
    </row>
    <row r="560" s="77" customFormat="1" ht="15" hidden="1" spans="1:61">
      <c r="A560" s="301">
        <v>553</v>
      </c>
      <c r="B560" s="127" t="s">
        <v>19</v>
      </c>
      <c r="C560" s="127" t="s">
        <v>20</v>
      </c>
      <c r="D560" s="257">
        <v>2015</v>
      </c>
      <c r="E560" s="128" t="s">
        <v>814</v>
      </c>
      <c r="F560" s="308" t="s">
        <v>53</v>
      </c>
      <c r="G560" s="308" t="s">
        <v>56</v>
      </c>
      <c r="H560" s="377">
        <f t="shared" si="195"/>
        <v>600000</v>
      </c>
      <c r="I560" s="377">
        <f t="shared" si="196"/>
        <v>550000</v>
      </c>
      <c r="J560" s="377">
        <f t="shared" si="197"/>
        <v>550000</v>
      </c>
      <c r="K560" s="377">
        <v>550000</v>
      </c>
      <c r="L560" s="310"/>
      <c r="M560" s="310"/>
      <c r="N560" s="310"/>
      <c r="O560" s="377">
        <f t="shared" si="198"/>
        <v>0</v>
      </c>
      <c r="P560" s="310"/>
      <c r="Q560" s="310"/>
      <c r="R560" s="310"/>
      <c r="S560" s="310"/>
      <c r="T560" s="377">
        <f t="shared" si="199"/>
        <v>0</v>
      </c>
      <c r="U560" s="310"/>
      <c r="V560" s="310"/>
      <c r="W560" s="310"/>
      <c r="X560" s="310"/>
      <c r="Y560" s="377">
        <f t="shared" si="200"/>
        <v>0</v>
      </c>
      <c r="Z560" s="310"/>
      <c r="AA560" s="310"/>
      <c r="AB560" s="310"/>
      <c r="AC560" s="310"/>
      <c r="AD560" s="310"/>
      <c r="AE560" s="310"/>
      <c r="AF560" s="310">
        <v>50000</v>
      </c>
      <c r="AG560" s="377">
        <f t="shared" si="201"/>
        <v>550000</v>
      </c>
      <c r="AH560" s="377">
        <f t="shared" si="202"/>
        <v>550000</v>
      </c>
      <c r="AI560" s="377">
        <f t="shared" si="203"/>
        <v>550000</v>
      </c>
      <c r="AJ560" s="377">
        <v>550000</v>
      </c>
      <c r="AK560" s="310"/>
      <c r="AL560" s="310"/>
      <c r="AM560" s="310"/>
      <c r="AN560" s="377">
        <f t="shared" si="204"/>
        <v>0</v>
      </c>
      <c r="AO560" s="310"/>
      <c r="AP560" s="310"/>
      <c r="AQ560" s="310"/>
      <c r="AR560" s="310"/>
      <c r="AS560" s="377">
        <f t="shared" si="205"/>
        <v>0</v>
      </c>
      <c r="AT560" s="310"/>
      <c r="AU560" s="310"/>
      <c r="AV560" s="310"/>
      <c r="AW560" s="310"/>
      <c r="AX560" s="377">
        <f t="shared" si="206"/>
        <v>0</v>
      </c>
      <c r="AY560" s="310"/>
      <c r="AZ560" s="310"/>
      <c r="BA560" s="310"/>
      <c r="BB560" s="310"/>
      <c r="BC560" s="310"/>
      <c r="BD560" s="310"/>
      <c r="BE560" s="312"/>
      <c r="BF560" s="127" t="s">
        <v>56</v>
      </c>
      <c r="BG560" s="128" t="s">
        <v>707</v>
      </c>
      <c r="BH560" s="133" t="s">
        <v>173</v>
      </c>
    </row>
    <row r="561" s="77" customFormat="1" ht="15" hidden="1" spans="1:60">
      <c r="A561" s="301">
        <v>554</v>
      </c>
      <c r="B561" s="127" t="s">
        <v>19</v>
      </c>
      <c r="C561" s="127" t="s">
        <v>20</v>
      </c>
      <c r="D561" s="257">
        <v>2015</v>
      </c>
      <c r="E561" s="128" t="s">
        <v>815</v>
      </c>
      <c r="F561" s="308" t="s">
        <v>53</v>
      </c>
      <c r="G561" s="308" t="s">
        <v>56</v>
      </c>
      <c r="H561" s="377">
        <f t="shared" si="195"/>
        <v>550000</v>
      </c>
      <c r="I561" s="377">
        <f t="shared" si="196"/>
        <v>500000</v>
      </c>
      <c r="J561" s="377">
        <f t="shared" si="197"/>
        <v>500000</v>
      </c>
      <c r="K561" s="377">
        <v>500000</v>
      </c>
      <c r="L561" s="310"/>
      <c r="M561" s="310"/>
      <c r="N561" s="310"/>
      <c r="O561" s="377">
        <f t="shared" si="198"/>
        <v>0</v>
      </c>
      <c r="P561" s="310"/>
      <c r="Q561" s="310"/>
      <c r="R561" s="310"/>
      <c r="S561" s="310"/>
      <c r="T561" s="377">
        <f t="shared" si="199"/>
        <v>0</v>
      </c>
      <c r="U561" s="310"/>
      <c r="V561" s="310"/>
      <c r="W561" s="310"/>
      <c r="X561" s="310"/>
      <c r="Y561" s="377">
        <f t="shared" si="200"/>
        <v>0</v>
      </c>
      <c r="Z561" s="310"/>
      <c r="AA561" s="310"/>
      <c r="AB561" s="310"/>
      <c r="AC561" s="310"/>
      <c r="AD561" s="310"/>
      <c r="AE561" s="310"/>
      <c r="AF561" s="310">
        <v>50000</v>
      </c>
      <c r="AG561" s="377">
        <f t="shared" si="201"/>
        <v>500000</v>
      </c>
      <c r="AH561" s="377">
        <f t="shared" si="202"/>
        <v>500000</v>
      </c>
      <c r="AI561" s="377">
        <f t="shared" si="203"/>
        <v>500000</v>
      </c>
      <c r="AJ561" s="377">
        <v>500000</v>
      </c>
      <c r="AK561" s="310"/>
      <c r="AL561" s="310"/>
      <c r="AM561" s="310"/>
      <c r="AN561" s="377">
        <f t="shared" si="204"/>
        <v>0</v>
      </c>
      <c r="AO561" s="310"/>
      <c r="AP561" s="310"/>
      <c r="AQ561" s="310"/>
      <c r="AR561" s="310"/>
      <c r="AS561" s="377">
        <f t="shared" si="205"/>
        <v>0</v>
      </c>
      <c r="AT561" s="310"/>
      <c r="AU561" s="310"/>
      <c r="AV561" s="310"/>
      <c r="AW561" s="310"/>
      <c r="AX561" s="377">
        <f t="shared" si="206"/>
        <v>0</v>
      </c>
      <c r="AY561" s="310"/>
      <c r="AZ561" s="310"/>
      <c r="BA561" s="310"/>
      <c r="BB561" s="310"/>
      <c r="BC561" s="310"/>
      <c r="BD561" s="310"/>
      <c r="BE561" s="312"/>
      <c r="BF561" s="127" t="s">
        <v>56</v>
      </c>
      <c r="BG561" s="128" t="s">
        <v>808</v>
      </c>
      <c r="BH561" s="133" t="s">
        <v>173</v>
      </c>
    </row>
    <row r="562" s="77" customFormat="1" ht="15" hidden="1" spans="1:60">
      <c r="A562" s="301">
        <v>555</v>
      </c>
      <c r="B562" s="127" t="s">
        <v>19</v>
      </c>
      <c r="C562" s="127" t="s">
        <v>20</v>
      </c>
      <c r="D562" s="257">
        <v>2015</v>
      </c>
      <c r="E562" s="128" t="s">
        <v>816</v>
      </c>
      <c r="F562" s="308" t="s">
        <v>53</v>
      </c>
      <c r="G562" s="308" t="s">
        <v>56</v>
      </c>
      <c r="H562" s="377">
        <f t="shared" si="195"/>
        <v>470000</v>
      </c>
      <c r="I562" s="377">
        <f t="shared" si="196"/>
        <v>450000</v>
      </c>
      <c r="J562" s="377">
        <f t="shared" si="197"/>
        <v>450000</v>
      </c>
      <c r="K562" s="377">
        <v>450000</v>
      </c>
      <c r="L562" s="310"/>
      <c r="M562" s="310"/>
      <c r="N562" s="310"/>
      <c r="O562" s="377">
        <f t="shared" si="198"/>
        <v>0</v>
      </c>
      <c r="P562" s="310"/>
      <c r="Q562" s="310"/>
      <c r="R562" s="310"/>
      <c r="S562" s="310"/>
      <c r="T562" s="377">
        <f t="shared" si="199"/>
        <v>0</v>
      </c>
      <c r="U562" s="310"/>
      <c r="V562" s="310"/>
      <c r="W562" s="310"/>
      <c r="X562" s="310"/>
      <c r="Y562" s="377">
        <f t="shared" si="200"/>
        <v>0</v>
      </c>
      <c r="Z562" s="310"/>
      <c r="AA562" s="310"/>
      <c r="AB562" s="310"/>
      <c r="AC562" s="310"/>
      <c r="AD562" s="310"/>
      <c r="AE562" s="310"/>
      <c r="AF562" s="310">
        <v>20000</v>
      </c>
      <c r="AG562" s="377">
        <f t="shared" si="201"/>
        <v>450000</v>
      </c>
      <c r="AH562" s="377">
        <f t="shared" si="202"/>
        <v>450000</v>
      </c>
      <c r="AI562" s="377">
        <f t="shared" si="203"/>
        <v>450000</v>
      </c>
      <c r="AJ562" s="377">
        <v>450000</v>
      </c>
      <c r="AK562" s="310"/>
      <c r="AL562" s="310"/>
      <c r="AM562" s="310"/>
      <c r="AN562" s="377">
        <f t="shared" si="204"/>
        <v>0</v>
      </c>
      <c r="AO562" s="310"/>
      <c r="AP562" s="310"/>
      <c r="AQ562" s="310"/>
      <c r="AR562" s="310"/>
      <c r="AS562" s="377">
        <f t="shared" si="205"/>
        <v>0</v>
      </c>
      <c r="AT562" s="310"/>
      <c r="AU562" s="310"/>
      <c r="AV562" s="310"/>
      <c r="AW562" s="310"/>
      <c r="AX562" s="377">
        <f t="shared" si="206"/>
        <v>0</v>
      </c>
      <c r="AY562" s="310"/>
      <c r="AZ562" s="310"/>
      <c r="BA562" s="310"/>
      <c r="BB562" s="310"/>
      <c r="BC562" s="310"/>
      <c r="BD562" s="310"/>
      <c r="BE562" s="312"/>
      <c r="BF562" s="127" t="s">
        <v>56</v>
      </c>
      <c r="BG562" s="128" t="s">
        <v>707</v>
      </c>
      <c r="BH562" s="133" t="s">
        <v>173</v>
      </c>
    </row>
    <row r="563" s="77" customFormat="1" ht="15" hidden="1" spans="1:60">
      <c r="A563" s="301">
        <v>556</v>
      </c>
      <c r="B563" s="127" t="s">
        <v>19</v>
      </c>
      <c r="C563" s="127" t="s">
        <v>20</v>
      </c>
      <c r="D563" s="442">
        <v>2015</v>
      </c>
      <c r="E563" s="128" t="s">
        <v>817</v>
      </c>
      <c r="F563" s="308" t="s">
        <v>53</v>
      </c>
      <c r="G563" s="308" t="s">
        <v>56</v>
      </c>
      <c r="H563" s="310">
        <f t="shared" si="195"/>
        <v>550000</v>
      </c>
      <c r="I563" s="310">
        <f t="shared" si="196"/>
        <v>500000</v>
      </c>
      <c r="J563" s="310">
        <f t="shared" si="197"/>
        <v>500000</v>
      </c>
      <c r="K563" s="310">
        <v>500000</v>
      </c>
      <c r="L563" s="310"/>
      <c r="M563" s="310"/>
      <c r="N563" s="310"/>
      <c r="O563" s="310">
        <f t="shared" si="198"/>
        <v>0</v>
      </c>
      <c r="P563" s="310"/>
      <c r="Q563" s="310"/>
      <c r="R563" s="310"/>
      <c r="S563" s="310"/>
      <c r="T563" s="310">
        <f t="shared" si="199"/>
        <v>0</v>
      </c>
      <c r="U563" s="310"/>
      <c r="V563" s="310"/>
      <c r="W563" s="310"/>
      <c r="X563" s="310"/>
      <c r="Y563" s="310">
        <f t="shared" si="200"/>
        <v>0</v>
      </c>
      <c r="Z563" s="310"/>
      <c r="AA563" s="310"/>
      <c r="AB563" s="310"/>
      <c r="AC563" s="310"/>
      <c r="AD563" s="310"/>
      <c r="AE563" s="310"/>
      <c r="AF563" s="310">
        <v>50000</v>
      </c>
      <c r="AG563" s="310">
        <f t="shared" si="201"/>
        <v>500000</v>
      </c>
      <c r="AH563" s="310">
        <f t="shared" si="202"/>
        <v>500000</v>
      </c>
      <c r="AI563" s="310">
        <f t="shared" si="203"/>
        <v>500000</v>
      </c>
      <c r="AJ563" s="310">
        <v>500000</v>
      </c>
      <c r="AK563" s="310"/>
      <c r="AL563" s="310"/>
      <c r="AM563" s="310"/>
      <c r="AN563" s="310">
        <f t="shared" si="204"/>
        <v>0</v>
      </c>
      <c r="AO563" s="310"/>
      <c r="AP563" s="310"/>
      <c r="AQ563" s="310"/>
      <c r="AR563" s="310"/>
      <c r="AS563" s="310">
        <f t="shared" si="205"/>
        <v>0</v>
      </c>
      <c r="AT563" s="310"/>
      <c r="AU563" s="310"/>
      <c r="AV563" s="310"/>
      <c r="AW563" s="310"/>
      <c r="AX563" s="310">
        <f t="shared" si="206"/>
        <v>0</v>
      </c>
      <c r="AY563" s="310"/>
      <c r="AZ563" s="310"/>
      <c r="BA563" s="310"/>
      <c r="BB563" s="310"/>
      <c r="BC563" s="310"/>
      <c r="BD563" s="310"/>
      <c r="BE563" s="312"/>
      <c r="BF563" s="127" t="s">
        <v>56</v>
      </c>
      <c r="BG563" s="128" t="s">
        <v>707</v>
      </c>
      <c r="BH563" s="133" t="s">
        <v>173</v>
      </c>
    </row>
    <row r="564" s="77" customFormat="1" ht="15" hidden="1" spans="1:60">
      <c r="A564" s="301">
        <v>557</v>
      </c>
      <c r="B564" s="127" t="s">
        <v>19</v>
      </c>
      <c r="C564" s="127" t="s">
        <v>20</v>
      </c>
      <c r="D564" s="257">
        <v>2019</v>
      </c>
      <c r="E564" s="128" t="s">
        <v>818</v>
      </c>
      <c r="F564" s="308" t="s">
        <v>53</v>
      </c>
      <c r="G564" s="308" t="s">
        <v>56</v>
      </c>
      <c r="H564" s="310">
        <f t="shared" si="195"/>
        <v>21203000</v>
      </c>
      <c r="I564" s="310">
        <f t="shared" si="196"/>
        <v>21203000</v>
      </c>
      <c r="J564" s="310">
        <f t="shared" si="197"/>
        <v>0</v>
      </c>
      <c r="K564" s="310"/>
      <c r="L564" s="310"/>
      <c r="M564" s="310"/>
      <c r="N564" s="310"/>
      <c r="O564" s="310">
        <f t="shared" si="198"/>
        <v>0</v>
      </c>
      <c r="P564" s="310"/>
      <c r="Q564" s="310"/>
      <c r="R564" s="310"/>
      <c r="S564" s="310"/>
      <c r="T564" s="310">
        <f t="shared" si="199"/>
        <v>0</v>
      </c>
      <c r="U564" s="310"/>
      <c r="V564" s="310"/>
      <c r="W564" s="310"/>
      <c r="X564" s="310"/>
      <c r="Y564" s="310">
        <f t="shared" si="200"/>
        <v>0</v>
      </c>
      <c r="Z564" s="310"/>
      <c r="AA564" s="310"/>
      <c r="AB564" s="310"/>
      <c r="AC564" s="310"/>
      <c r="AD564" s="310">
        <v>21203000</v>
      </c>
      <c r="AE564" s="310"/>
      <c r="AF564" s="310"/>
      <c r="AG564" s="310">
        <f t="shared" si="201"/>
        <v>21203000</v>
      </c>
      <c r="AH564" s="310">
        <f t="shared" si="202"/>
        <v>21203000</v>
      </c>
      <c r="AI564" s="310">
        <f t="shared" si="203"/>
        <v>0</v>
      </c>
      <c r="AJ564" s="310"/>
      <c r="AK564" s="310"/>
      <c r="AL564" s="310"/>
      <c r="AM564" s="310"/>
      <c r="AN564" s="310">
        <f t="shared" si="204"/>
        <v>0</v>
      </c>
      <c r="AO564" s="310"/>
      <c r="AP564" s="310"/>
      <c r="AQ564" s="310"/>
      <c r="AR564" s="310"/>
      <c r="AS564" s="310">
        <f t="shared" si="205"/>
        <v>0</v>
      </c>
      <c r="AT564" s="310"/>
      <c r="AU564" s="310"/>
      <c r="AV564" s="310"/>
      <c r="AW564" s="310"/>
      <c r="AX564" s="310">
        <f t="shared" si="206"/>
        <v>0</v>
      </c>
      <c r="AY564" s="310"/>
      <c r="AZ564" s="310"/>
      <c r="BA564" s="310"/>
      <c r="BB564" s="310"/>
      <c r="BC564" s="310">
        <v>21203000</v>
      </c>
      <c r="BD564" s="310"/>
      <c r="BE564" s="312"/>
      <c r="BF564" s="127" t="s">
        <v>56</v>
      </c>
      <c r="BG564" s="128" t="s">
        <v>819</v>
      </c>
      <c r="BH564" s="133" t="s">
        <v>762</v>
      </c>
    </row>
    <row r="565" s="77" customFormat="1" ht="15" hidden="1" spans="1:60">
      <c r="A565" s="301">
        <v>558</v>
      </c>
      <c r="B565" s="127" t="s">
        <v>19</v>
      </c>
      <c r="C565" s="127" t="s">
        <v>20</v>
      </c>
      <c r="D565" s="257">
        <v>2019</v>
      </c>
      <c r="E565" s="128" t="s">
        <v>820</v>
      </c>
      <c r="F565" s="308" t="s">
        <v>53</v>
      </c>
      <c r="G565" s="308" t="s">
        <v>56</v>
      </c>
      <c r="H565" s="310">
        <f t="shared" si="195"/>
        <v>8760100</v>
      </c>
      <c r="I565" s="310">
        <f t="shared" si="196"/>
        <v>8760100</v>
      </c>
      <c r="J565" s="310">
        <f t="shared" si="197"/>
        <v>0</v>
      </c>
      <c r="K565" s="310"/>
      <c r="L565" s="310"/>
      <c r="M565" s="310"/>
      <c r="N565" s="310"/>
      <c r="O565" s="310">
        <f t="shared" si="198"/>
        <v>0</v>
      </c>
      <c r="P565" s="310"/>
      <c r="Q565" s="310"/>
      <c r="R565" s="310"/>
      <c r="S565" s="310"/>
      <c r="T565" s="310">
        <f t="shared" si="199"/>
        <v>0</v>
      </c>
      <c r="U565" s="310"/>
      <c r="V565" s="310"/>
      <c r="W565" s="310"/>
      <c r="X565" s="310"/>
      <c r="Y565" s="310">
        <f t="shared" si="200"/>
        <v>0</v>
      </c>
      <c r="Z565" s="310"/>
      <c r="AA565" s="310"/>
      <c r="AB565" s="310"/>
      <c r="AC565" s="310"/>
      <c r="AD565" s="310">
        <v>8760100</v>
      </c>
      <c r="AE565" s="310"/>
      <c r="AF565" s="310"/>
      <c r="AG565" s="310">
        <f t="shared" si="201"/>
        <v>8760100</v>
      </c>
      <c r="AH565" s="310">
        <f t="shared" si="202"/>
        <v>8760100</v>
      </c>
      <c r="AI565" s="310">
        <f t="shared" si="203"/>
        <v>0</v>
      </c>
      <c r="AJ565" s="310"/>
      <c r="AK565" s="310"/>
      <c r="AL565" s="310"/>
      <c r="AM565" s="310"/>
      <c r="AN565" s="310">
        <f t="shared" si="204"/>
        <v>0</v>
      </c>
      <c r="AO565" s="310"/>
      <c r="AP565" s="310"/>
      <c r="AQ565" s="310"/>
      <c r="AR565" s="310"/>
      <c r="AS565" s="310">
        <f t="shared" si="205"/>
        <v>0</v>
      </c>
      <c r="AT565" s="310"/>
      <c r="AU565" s="310"/>
      <c r="AV565" s="310"/>
      <c r="AW565" s="310"/>
      <c r="AX565" s="310">
        <f t="shared" si="206"/>
        <v>0</v>
      </c>
      <c r="AY565" s="310"/>
      <c r="AZ565" s="310"/>
      <c r="BA565" s="310"/>
      <c r="BB565" s="310"/>
      <c r="BC565" s="310">
        <v>8760100</v>
      </c>
      <c r="BD565" s="310"/>
      <c r="BE565" s="312"/>
      <c r="BF565" s="127" t="s">
        <v>56</v>
      </c>
      <c r="BG565" s="128" t="s">
        <v>744</v>
      </c>
      <c r="BH565" s="133" t="s">
        <v>90</v>
      </c>
    </row>
    <row r="566" s="77" customFormat="1" ht="15" hidden="1" spans="1:60">
      <c r="A566" s="301">
        <v>559</v>
      </c>
      <c r="B566" s="127" t="s">
        <v>19</v>
      </c>
      <c r="C566" s="127" t="s">
        <v>20</v>
      </c>
      <c r="D566" s="257">
        <v>2019</v>
      </c>
      <c r="E566" s="128" t="s">
        <v>821</v>
      </c>
      <c r="F566" s="308" t="s">
        <v>53</v>
      </c>
      <c r="G566" s="308" t="s">
        <v>56</v>
      </c>
      <c r="H566" s="310">
        <f t="shared" si="195"/>
        <v>15327400</v>
      </c>
      <c r="I566" s="310">
        <f t="shared" si="196"/>
        <v>15327400</v>
      </c>
      <c r="J566" s="310">
        <f t="shared" si="197"/>
        <v>0</v>
      </c>
      <c r="K566" s="310"/>
      <c r="L566" s="310"/>
      <c r="M566" s="310"/>
      <c r="N566" s="310"/>
      <c r="O566" s="310">
        <f t="shared" si="198"/>
        <v>0</v>
      </c>
      <c r="P566" s="310"/>
      <c r="Q566" s="310"/>
      <c r="R566" s="310"/>
      <c r="S566" s="310"/>
      <c r="T566" s="310">
        <f t="shared" si="199"/>
        <v>0</v>
      </c>
      <c r="U566" s="310"/>
      <c r="V566" s="310"/>
      <c r="W566" s="310"/>
      <c r="X566" s="310"/>
      <c r="Y566" s="310">
        <f t="shared" si="200"/>
        <v>0</v>
      </c>
      <c r="Z566" s="310"/>
      <c r="AA566" s="310"/>
      <c r="AB566" s="310"/>
      <c r="AC566" s="310"/>
      <c r="AD566" s="310">
        <v>15327400</v>
      </c>
      <c r="AE566" s="310"/>
      <c r="AF566" s="310"/>
      <c r="AG566" s="310">
        <f t="shared" si="201"/>
        <v>15327400</v>
      </c>
      <c r="AH566" s="310">
        <f t="shared" si="202"/>
        <v>15327400</v>
      </c>
      <c r="AI566" s="310">
        <f t="shared" si="203"/>
        <v>0</v>
      </c>
      <c r="AJ566" s="310"/>
      <c r="AK566" s="310"/>
      <c r="AL566" s="310"/>
      <c r="AM566" s="310"/>
      <c r="AN566" s="310">
        <f t="shared" si="204"/>
        <v>0</v>
      </c>
      <c r="AO566" s="310"/>
      <c r="AP566" s="310"/>
      <c r="AQ566" s="310"/>
      <c r="AR566" s="310"/>
      <c r="AS566" s="310">
        <f t="shared" si="205"/>
        <v>0</v>
      </c>
      <c r="AT566" s="310"/>
      <c r="AU566" s="310"/>
      <c r="AV566" s="310"/>
      <c r="AW566" s="310"/>
      <c r="AX566" s="310">
        <f t="shared" si="206"/>
        <v>0</v>
      </c>
      <c r="AY566" s="310"/>
      <c r="AZ566" s="310"/>
      <c r="BA566" s="310"/>
      <c r="BB566" s="310"/>
      <c r="BC566" s="310">
        <v>15327400</v>
      </c>
      <c r="BD566" s="310"/>
      <c r="BE566" s="312"/>
      <c r="BF566" s="127" t="s">
        <v>56</v>
      </c>
      <c r="BG566" s="128" t="s">
        <v>819</v>
      </c>
      <c r="BH566" s="133" t="s">
        <v>762</v>
      </c>
    </row>
    <row r="567" s="77" customFormat="1" ht="15" hidden="1" spans="1:60">
      <c r="A567" s="301">
        <v>560</v>
      </c>
      <c r="B567" s="127" t="s">
        <v>19</v>
      </c>
      <c r="C567" s="127" t="s">
        <v>20</v>
      </c>
      <c r="D567" s="257">
        <v>2019</v>
      </c>
      <c r="E567" s="128" t="s">
        <v>822</v>
      </c>
      <c r="F567" s="308" t="s">
        <v>53</v>
      </c>
      <c r="G567" s="308" t="s">
        <v>56</v>
      </c>
      <c r="H567" s="310">
        <f t="shared" si="195"/>
        <v>26316400</v>
      </c>
      <c r="I567" s="310">
        <f t="shared" si="196"/>
        <v>26316400</v>
      </c>
      <c r="J567" s="310">
        <f t="shared" si="197"/>
        <v>0</v>
      </c>
      <c r="K567" s="310"/>
      <c r="L567" s="310"/>
      <c r="M567" s="310"/>
      <c r="N567" s="310"/>
      <c r="O567" s="310">
        <f t="shared" si="198"/>
        <v>0</v>
      </c>
      <c r="P567" s="310"/>
      <c r="Q567" s="310"/>
      <c r="R567" s="310"/>
      <c r="S567" s="310"/>
      <c r="T567" s="310">
        <f t="shared" si="199"/>
        <v>0</v>
      </c>
      <c r="U567" s="310"/>
      <c r="V567" s="310"/>
      <c r="W567" s="310"/>
      <c r="X567" s="310"/>
      <c r="Y567" s="310">
        <f t="shared" si="200"/>
        <v>0</v>
      </c>
      <c r="Z567" s="310"/>
      <c r="AA567" s="310"/>
      <c r="AB567" s="310"/>
      <c r="AC567" s="310"/>
      <c r="AD567" s="310">
        <v>26316400</v>
      </c>
      <c r="AE567" s="310"/>
      <c r="AF567" s="310"/>
      <c r="AG567" s="310">
        <f t="shared" si="201"/>
        <v>26316400</v>
      </c>
      <c r="AH567" s="310">
        <f t="shared" si="202"/>
        <v>26316400</v>
      </c>
      <c r="AI567" s="310">
        <f t="shared" si="203"/>
        <v>0</v>
      </c>
      <c r="AJ567" s="310"/>
      <c r="AK567" s="310"/>
      <c r="AL567" s="310"/>
      <c r="AM567" s="310"/>
      <c r="AN567" s="310">
        <f t="shared" si="204"/>
        <v>0</v>
      </c>
      <c r="AO567" s="310"/>
      <c r="AP567" s="310"/>
      <c r="AQ567" s="310"/>
      <c r="AR567" s="310"/>
      <c r="AS567" s="310">
        <f t="shared" si="205"/>
        <v>0</v>
      </c>
      <c r="AT567" s="310"/>
      <c r="AU567" s="310"/>
      <c r="AV567" s="310"/>
      <c r="AW567" s="310"/>
      <c r="AX567" s="310">
        <f t="shared" si="206"/>
        <v>0</v>
      </c>
      <c r="AY567" s="310"/>
      <c r="AZ567" s="310"/>
      <c r="BA567" s="310"/>
      <c r="BB567" s="310"/>
      <c r="BC567" s="310">
        <v>26316400</v>
      </c>
      <c r="BD567" s="310"/>
      <c r="BE567" s="312"/>
      <c r="BF567" s="127" t="s">
        <v>56</v>
      </c>
      <c r="BG567" s="128" t="s">
        <v>819</v>
      </c>
      <c r="BH567" s="133" t="s">
        <v>762</v>
      </c>
    </row>
    <row r="568" s="278" customFormat="1" ht="15" hidden="1" spans="1:60">
      <c r="A568" s="301">
        <v>561</v>
      </c>
      <c r="B568" s="445" t="s">
        <v>19</v>
      </c>
      <c r="C568" s="445" t="s">
        <v>20</v>
      </c>
      <c r="D568" s="446">
        <v>2014</v>
      </c>
      <c r="E568" s="447" t="s">
        <v>823</v>
      </c>
      <c r="F568" s="445" t="s">
        <v>53</v>
      </c>
      <c r="G568" s="445" t="s">
        <v>53</v>
      </c>
      <c r="H568" s="450">
        <f t="shared" si="195"/>
        <v>550000</v>
      </c>
      <c r="I568" s="450">
        <f t="shared" si="196"/>
        <v>500000</v>
      </c>
      <c r="J568" s="450">
        <f t="shared" si="197"/>
        <v>500000</v>
      </c>
      <c r="K568" s="450">
        <v>500000</v>
      </c>
      <c r="L568" s="450"/>
      <c r="M568" s="450"/>
      <c r="N568" s="450"/>
      <c r="O568" s="450">
        <f t="shared" si="198"/>
        <v>0</v>
      </c>
      <c r="P568" s="450"/>
      <c r="Q568" s="450"/>
      <c r="R568" s="450"/>
      <c r="S568" s="450"/>
      <c r="T568" s="450">
        <f t="shared" si="199"/>
        <v>0</v>
      </c>
      <c r="U568" s="450"/>
      <c r="V568" s="450"/>
      <c r="W568" s="450"/>
      <c r="X568" s="450"/>
      <c r="Y568" s="450">
        <f t="shared" si="200"/>
        <v>0</v>
      </c>
      <c r="Z568" s="450"/>
      <c r="AA568" s="450"/>
      <c r="AB568" s="450"/>
      <c r="AC568" s="450"/>
      <c r="AD568" s="450"/>
      <c r="AE568" s="450"/>
      <c r="AF568" s="450">
        <v>50000</v>
      </c>
      <c r="AG568" s="450">
        <f t="shared" si="201"/>
        <v>500000</v>
      </c>
      <c r="AH568" s="450">
        <f t="shared" si="202"/>
        <v>500000</v>
      </c>
      <c r="AI568" s="450">
        <f t="shared" si="203"/>
        <v>500000</v>
      </c>
      <c r="AJ568" s="450">
        <v>500000</v>
      </c>
      <c r="AK568" s="450"/>
      <c r="AL568" s="450"/>
      <c r="AM568" s="450"/>
      <c r="AN568" s="450">
        <f t="shared" si="204"/>
        <v>0</v>
      </c>
      <c r="AO568" s="450"/>
      <c r="AP568" s="450"/>
      <c r="AQ568" s="450"/>
      <c r="AR568" s="450"/>
      <c r="AS568" s="450">
        <f t="shared" si="205"/>
        <v>0</v>
      </c>
      <c r="AT568" s="450"/>
      <c r="AU568" s="450"/>
      <c r="AV568" s="450"/>
      <c r="AW568" s="450"/>
      <c r="AX568" s="450">
        <f t="shared" si="206"/>
        <v>0</v>
      </c>
      <c r="AY568" s="450"/>
      <c r="AZ568" s="450"/>
      <c r="BA568" s="450"/>
      <c r="BB568" s="450"/>
      <c r="BC568" s="450"/>
      <c r="BD568" s="450"/>
      <c r="BE568" s="451"/>
      <c r="BF568" s="445" t="s">
        <v>56</v>
      </c>
      <c r="BG568" s="447" t="s">
        <v>711</v>
      </c>
      <c r="BH568" s="452" t="s">
        <v>173</v>
      </c>
    </row>
    <row r="569" s="156" customFormat="1" ht="15" hidden="1" spans="1:60">
      <c r="A569" s="301">
        <v>562</v>
      </c>
      <c r="B569" s="127" t="s">
        <v>19</v>
      </c>
      <c r="C569" s="127" t="s">
        <v>20</v>
      </c>
      <c r="D569" s="257">
        <v>2014</v>
      </c>
      <c r="E569" s="128" t="s">
        <v>824</v>
      </c>
      <c r="F569" s="127" t="s">
        <v>53</v>
      </c>
      <c r="G569" s="127" t="s">
        <v>53</v>
      </c>
      <c r="H569" s="310">
        <f t="shared" ref="H569:H591" si="207">I569+AF569</f>
        <v>500000</v>
      </c>
      <c r="I569" s="310">
        <f t="shared" ref="I569:I591" si="208">O569+J569+T569+Y569+AE569+AC569+AD569</f>
        <v>450000</v>
      </c>
      <c r="J569" s="310">
        <f t="shared" ref="J569:J602" si="209">N569+M569+L569+K569</f>
        <v>450000</v>
      </c>
      <c r="K569" s="310">
        <v>450000</v>
      </c>
      <c r="L569" s="310"/>
      <c r="M569" s="310"/>
      <c r="N569" s="310"/>
      <c r="O569" s="310">
        <f t="shared" ref="O569:O574" si="210">S569+R569+Q569+P569</f>
        <v>0</v>
      </c>
      <c r="P569" s="310"/>
      <c r="Q569" s="310"/>
      <c r="R569" s="310"/>
      <c r="S569" s="310"/>
      <c r="T569" s="310">
        <f t="shared" ref="T569:T574" si="211">U569+V569+W569+X569</f>
        <v>0</v>
      </c>
      <c r="U569" s="310"/>
      <c r="V569" s="310"/>
      <c r="W569" s="310"/>
      <c r="X569" s="310"/>
      <c r="Y569" s="310">
        <f t="shared" ref="Y569:Y574" si="212">AA569+Z569+AB569</f>
        <v>0</v>
      </c>
      <c r="Z569" s="310"/>
      <c r="AA569" s="310"/>
      <c r="AB569" s="310"/>
      <c r="AC569" s="310"/>
      <c r="AD569" s="310"/>
      <c r="AE569" s="310"/>
      <c r="AF569" s="310">
        <v>50000</v>
      </c>
      <c r="AG569" s="310">
        <f t="shared" ref="AG569:AG590" si="213">AH569+BE569</f>
        <v>450000</v>
      </c>
      <c r="AH569" s="310">
        <f t="shared" ref="AH569:AH602" si="214">AN569+AI569+AS569+AX569+BD569+BB569+BC569</f>
        <v>450000</v>
      </c>
      <c r="AI569" s="310">
        <f t="shared" ref="AI569:AI590" si="215">AM569+AL569+AK569+AJ569</f>
        <v>450000</v>
      </c>
      <c r="AJ569" s="310">
        <v>450000</v>
      </c>
      <c r="AK569" s="310"/>
      <c r="AL569" s="310"/>
      <c r="AM569" s="310"/>
      <c r="AN569" s="310">
        <f t="shared" ref="AN569:AN574" si="216">AR569+AQ569+AP569+AO569</f>
        <v>0</v>
      </c>
      <c r="AO569" s="310"/>
      <c r="AP569" s="310"/>
      <c r="AQ569" s="310"/>
      <c r="AR569" s="310"/>
      <c r="AS569" s="310">
        <f t="shared" ref="AS569:AS574" si="217">AW569+AV569+AU569+AT569</f>
        <v>0</v>
      </c>
      <c r="AT569" s="310"/>
      <c r="AU569" s="310"/>
      <c r="AV569" s="310"/>
      <c r="AW569" s="310"/>
      <c r="AX569" s="310">
        <f t="shared" ref="AX569:AX574" si="218">AZ569+AY569+BA569</f>
        <v>0</v>
      </c>
      <c r="AY569" s="310"/>
      <c r="AZ569" s="310"/>
      <c r="BA569" s="310"/>
      <c r="BB569" s="310"/>
      <c r="BC569" s="310"/>
      <c r="BD569" s="310"/>
      <c r="BE569" s="312"/>
      <c r="BF569" s="127" t="s">
        <v>56</v>
      </c>
      <c r="BG569" s="128" t="s">
        <v>711</v>
      </c>
      <c r="BH569" s="133" t="s">
        <v>173</v>
      </c>
    </row>
    <row r="570" s="155" customFormat="1" ht="15" hidden="1" spans="1:60">
      <c r="A570" s="301">
        <v>563</v>
      </c>
      <c r="B570" s="238" t="s">
        <v>19</v>
      </c>
      <c r="C570" s="238" t="s">
        <v>20</v>
      </c>
      <c r="D570" s="262">
        <v>2014</v>
      </c>
      <c r="E570" s="263" t="s">
        <v>825</v>
      </c>
      <c r="F570" s="238" t="s">
        <v>53</v>
      </c>
      <c r="G570" s="238" t="s">
        <v>56</v>
      </c>
      <c r="H570" s="304">
        <f t="shared" si="207"/>
        <v>1300000</v>
      </c>
      <c r="I570" s="304">
        <f t="shared" si="208"/>
        <v>1200000</v>
      </c>
      <c r="J570" s="304">
        <f t="shared" si="209"/>
        <v>1200000</v>
      </c>
      <c r="K570" s="304">
        <v>1200000</v>
      </c>
      <c r="L570" s="304"/>
      <c r="M570" s="304"/>
      <c r="N570" s="304"/>
      <c r="O570" s="304">
        <f t="shared" si="210"/>
        <v>0</v>
      </c>
      <c r="P570" s="304"/>
      <c r="Q570" s="304"/>
      <c r="R570" s="304"/>
      <c r="S570" s="304"/>
      <c r="T570" s="304">
        <f t="shared" si="211"/>
        <v>0</v>
      </c>
      <c r="U570" s="304"/>
      <c r="V570" s="304"/>
      <c r="W570" s="304"/>
      <c r="X570" s="304"/>
      <c r="Y570" s="304">
        <f t="shared" si="212"/>
        <v>0</v>
      </c>
      <c r="Z570" s="304"/>
      <c r="AA570" s="304"/>
      <c r="AB570" s="304"/>
      <c r="AC570" s="304"/>
      <c r="AD570" s="304"/>
      <c r="AE570" s="304"/>
      <c r="AF570" s="304">
        <v>100000</v>
      </c>
      <c r="AG570" s="304">
        <f t="shared" si="213"/>
        <v>1200000</v>
      </c>
      <c r="AH570" s="304">
        <f t="shared" si="214"/>
        <v>1200000</v>
      </c>
      <c r="AI570" s="304">
        <f t="shared" si="215"/>
        <v>1200000</v>
      </c>
      <c r="AJ570" s="304">
        <v>1200000</v>
      </c>
      <c r="AK570" s="304"/>
      <c r="AL570" s="304"/>
      <c r="AM570" s="304"/>
      <c r="AN570" s="304">
        <f t="shared" si="216"/>
        <v>0</v>
      </c>
      <c r="AO570" s="304"/>
      <c r="AP570" s="304"/>
      <c r="AQ570" s="304"/>
      <c r="AR570" s="304"/>
      <c r="AS570" s="304">
        <f t="shared" si="217"/>
        <v>0</v>
      </c>
      <c r="AT570" s="304"/>
      <c r="AU570" s="304"/>
      <c r="AV570" s="304"/>
      <c r="AW570" s="304"/>
      <c r="AX570" s="304">
        <f t="shared" si="218"/>
        <v>0</v>
      </c>
      <c r="AY570" s="304"/>
      <c r="AZ570" s="304"/>
      <c r="BA570" s="304"/>
      <c r="BB570" s="304"/>
      <c r="BC570" s="304"/>
      <c r="BD570" s="304"/>
      <c r="BE570" s="305"/>
      <c r="BF570" s="238" t="s">
        <v>53</v>
      </c>
      <c r="BG570" s="263" t="s">
        <v>826</v>
      </c>
      <c r="BH570" s="306" t="s">
        <v>173</v>
      </c>
    </row>
    <row r="571" s="155" customFormat="1" ht="15" hidden="1" spans="1:60">
      <c r="A571" s="301">
        <v>564</v>
      </c>
      <c r="B571" s="238" t="s">
        <v>19</v>
      </c>
      <c r="C571" s="238" t="s">
        <v>20</v>
      </c>
      <c r="D571" s="262">
        <v>2015</v>
      </c>
      <c r="E571" s="263" t="s">
        <v>827</v>
      </c>
      <c r="F571" s="238" t="s">
        <v>53</v>
      </c>
      <c r="G571" s="238" t="s">
        <v>56</v>
      </c>
      <c r="H571" s="304">
        <f t="shared" si="207"/>
        <v>1200000</v>
      </c>
      <c r="I571" s="304">
        <f t="shared" si="208"/>
        <v>1100000</v>
      </c>
      <c r="J571" s="304">
        <f t="shared" si="209"/>
        <v>1100000</v>
      </c>
      <c r="K571" s="304">
        <v>1100000</v>
      </c>
      <c r="L571" s="304"/>
      <c r="M571" s="304"/>
      <c r="N571" s="304"/>
      <c r="O571" s="304">
        <f t="shared" si="210"/>
        <v>0</v>
      </c>
      <c r="P571" s="304"/>
      <c r="Q571" s="304"/>
      <c r="R571" s="304"/>
      <c r="S571" s="304"/>
      <c r="T571" s="304">
        <f t="shared" si="211"/>
        <v>0</v>
      </c>
      <c r="U571" s="304"/>
      <c r="V571" s="304"/>
      <c r="W571" s="304"/>
      <c r="X571" s="304"/>
      <c r="Y571" s="304">
        <f t="shared" si="212"/>
        <v>0</v>
      </c>
      <c r="Z571" s="304"/>
      <c r="AA571" s="304"/>
      <c r="AB571" s="304"/>
      <c r="AC571" s="304"/>
      <c r="AD571" s="304"/>
      <c r="AE571" s="304"/>
      <c r="AF571" s="304">
        <v>100000</v>
      </c>
      <c r="AG571" s="304">
        <f t="shared" si="213"/>
        <v>1032805.63</v>
      </c>
      <c r="AH571" s="304">
        <f t="shared" si="214"/>
        <v>1032805.63</v>
      </c>
      <c r="AI571" s="304">
        <f t="shared" si="215"/>
        <v>1032805.63</v>
      </c>
      <c r="AJ571" s="304">
        <v>1032805.63</v>
      </c>
      <c r="AK571" s="304"/>
      <c r="AL571" s="304"/>
      <c r="AM571" s="304"/>
      <c r="AN571" s="304">
        <f t="shared" si="216"/>
        <v>0</v>
      </c>
      <c r="AO571" s="304"/>
      <c r="AP571" s="304"/>
      <c r="AQ571" s="304"/>
      <c r="AR571" s="304"/>
      <c r="AS571" s="304">
        <f t="shared" si="217"/>
        <v>0</v>
      </c>
      <c r="AT571" s="304"/>
      <c r="AU571" s="304"/>
      <c r="AV571" s="304"/>
      <c r="AW571" s="304"/>
      <c r="AX571" s="304">
        <f t="shared" si="218"/>
        <v>0</v>
      </c>
      <c r="AY571" s="304"/>
      <c r="AZ571" s="304"/>
      <c r="BA571" s="304"/>
      <c r="BB571" s="304"/>
      <c r="BC571" s="304"/>
      <c r="BD571" s="304"/>
      <c r="BE571" s="305"/>
      <c r="BF571" s="238" t="s">
        <v>53</v>
      </c>
      <c r="BG571" s="263" t="s">
        <v>249</v>
      </c>
      <c r="BH571" s="306" t="s">
        <v>173</v>
      </c>
    </row>
    <row r="572" s="156" customFormat="1" ht="15" hidden="1" spans="1:60">
      <c r="A572" s="301">
        <v>565</v>
      </c>
      <c r="B572" s="127" t="s">
        <v>19</v>
      </c>
      <c r="C572" s="127" t="s">
        <v>20</v>
      </c>
      <c r="D572" s="257">
        <v>2014</v>
      </c>
      <c r="E572" s="128" t="s">
        <v>828</v>
      </c>
      <c r="F572" s="127" t="s">
        <v>53</v>
      </c>
      <c r="G572" s="127" t="s">
        <v>56</v>
      </c>
      <c r="H572" s="310">
        <f t="shared" si="207"/>
        <v>450000</v>
      </c>
      <c r="I572" s="310">
        <f t="shared" si="208"/>
        <v>400000</v>
      </c>
      <c r="J572" s="310">
        <f t="shared" si="209"/>
        <v>400000</v>
      </c>
      <c r="K572" s="310">
        <v>400000</v>
      </c>
      <c r="L572" s="310"/>
      <c r="M572" s="310"/>
      <c r="N572" s="310"/>
      <c r="O572" s="310">
        <f t="shared" si="210"/>
        <v>0</v>
      </c>
      <c r="P572" s="310"/>
      <c r="Q572" s="310"/>
      <c r="R572" s="310"/>
      <c r="S572" s="310"/>
      <c r="T572" s="310">
        <f t="shared" si="211"/>
        <v>0</v>
      </c>
      <c r="U572" s="310"/>
      <c r="V572" s="310"/>
      <c r="W572" s="310"/>
      <c r="X572" s="310"/>
      <c r="Y572" s="310">
        <f t="shared" si="212"/>
        <v>0</v>
      </c>
      <c r="Z572" s="310"/>
      <c r="AA572" s="310"/>
      <c r="AB572" s="310"/>
      <c r="AC572" s="310"/>
      <c r="AD572" s="310"/>
      <c r="AE572" s="310"/>
      <c r="AF572" s="310">
        <v>50000</v>
      </c>
      <c r="AG572" s="310">
        <f t="shared" si="213"/>
        <v>400000</v>
      </c>
      <c r="AH572" s="310">
        <f t="shared" si="214"/>
        <v>400000</v>
      </c>
      <c r="AI572" s="310">
        <f t="shared" si="215"/>
        <v>400000</v>
      </c>
      <c r="AJ572" s="310">
        <v>400000</v>
      </c>
      <c r="AK572" s="310"/>
      <c r="AL572" s="310"/>
      <c r="AM572" s="310"/>
      <c r="AN572" s="310">
        <f t="shared" si="216"/>
        <v>0</v>
      </c>
      <c r="AO572" s="310"/>
      <c r="AP572" s="310"/>
      <c r="AQ572" s="310"/>
      <c r="AR572" s="310"/>
      <c r="AS572" s="310">
        <f t="shared" si="217"/>
        <v>0</v>
      </c>
      <c r="AT572" s="310"/>
      <c r="AU572" s="310"/>
      <c r="AV572" s="310"/>
      <c r="AW572" s="310"/>
      <c r="AX572" s="310">
        <f t="shared" si="218"/>
        <v>0</v>
      </c>
      <c r="AY572" s="310"/>
      <c r="AZ572" s="310"/>
      <c r="BA572" s="310"/>
      <c r="BB572" s="310"/>
      <c r="BC572" s="310"/>
      <c r="BD572" s="310"/>
      <c r="BE572" s="312"/>
      <c r="BF572" s="127" t="s">
        <v>56</v>
      </c>
      <c r="BG572" s="128" t="s">
        <v>314</v>
      </c>
      <c r="BH572" s="133" t="s">
        <v>173</v>
      </c>
    </row>
    <row r="573" s="77" customFormat="1" ht="15" hidden="1" spans="1:60">
      <c r="A573" s="301">
        <v>566</v>
      </c>
      <c r="B573" s="127" t="s">
        <v>19</v>
      </c>
      <c r="C573" s="127" t="s">
        <v>20</v>
      </c>
      <c r="D573" s="257">
        <v>2013</v>
      </c>
      <c r="E573" s="128" t="s">
        <v>829</v>
      </c>
      <c r="F573" s="127" t="s">
        <v>53</v>
      </c>
      <c r="G573" s="156" t="s">
        <v>53</v>
      </c>
      <c r="H573" s="310">
        <f t="shared" si="207"/>
        <v>480000</v>
      </c>
      <c r="I573" s="310">
        <f t="shared" si="208"/>
        <v>450000</v>
      </c>
      <c r="J573" s="310">
        <f t="shared" si="209"/>
        <v>450000</v>
      </c>
      <c r="K573" s="310">
        <v>450000</v>
      </c>
      <c r="L573" s="310"/>
      <c r="M573" s="310"/>
      <c r="N573" s="310"/>
      <c r="O573" s="310">
        <f t="shared" si="210"/>
        <v>0</v>
      </c>
      <c r="P573" s="310"/>
      <c r="Q573" s="310"/>
      <c r="R573" s="310"/>
      <c r="S573" s="310"/>
      <c r="T573" s="310">
        <f t="shared" si="211"/>
        <v>0</v>
      </c>
      <c r="U573" s="310"/>
      <c r="V573" s="310"/>
      <c r="W573" s="310"/>
      <c r="X573" s="310"/>
      <c r="Y573" s="310">
        <f t="shared" si="212"/>
        <v>0</v>
      </c>
      <c r="Z573" s="310"/>
      <c r="AA573" s="310"/>
      <c r="AB573" s="310"/>
      <c r="AC573" s="310"/>
      <c r="AD573" s="310"/>
      <c r="AE573" s="310"/>
      <c r="AF573" s="310">
        <v>30000</v>
      </c>
      <c r="AG573" s="310">
        <f t="shared" si="213"/>
        <v>450000</v>
      </c>
      <c r="AH573" s="310">
        <f t="shared" si="214"/>
        <v>450000</v>
      </c>
      <c r="AI573" s="310">
        <f t="shared" si="215"/>
        <v>450000</v>
      </c>
      <c r="AJ573" s="310">
        <v>450000</v>
      </c>
      <c r="AK573" s="310"/>
      <c r="AL573" s="310"/>
      <c r="AM573" s="310"/>
      <c r="AN573" s="310">
        <f t="shared" si="216"/>
        <v>0</v>
      </c>
      <c r="AO573" s="310"/>
      <c r="AP573" s="310"/>
      <c r="AQ573" s="310"/>
      <c r="AR573" s="310"/>
      <c r="AS573" s="310">
        <f t="shared" si="217"/>
        <v>0</v>
      </c>
      <c r="AT573" s="310"/>
      <c r="AU573" s="310"/>
      <c r="AV573" s="310"/>
      <c r="AW573" s="310"/>
      <c r="AX573" s="310">
        <f t="shared" si="218"/>
        <v>0</v>
      </c>
      <c r="AY573" s="310"/>
      <c r="AZ573" s="310"/>
      <c r="BA573" s="310"/>
      <c r="BB573" s="310"/>
      <c r="BC573" s="310"/>
      <c r="BD573" s="310"/>
      <c r="BE573" s="312"/>
      <c r="BF573" s="127" t="s">
        <v>56</v>
      </c>
      <c r="BG573" s="128" t="s">
        <v>830</v>
      </c>
      <c r="BH573" s="133" t="s">
        <v>173</v>
      </c>
    </row>
    <row r="574" s="77" customFormat="1" ht="15" hidden="1" spans="1:60">
      <c r="A574" s="301">
        <v>567</v>
      </c>
      <c r="B574" s="127" t="s">
        <v>19</v>
      </c>
      <c r="C574" s="127" t="s">
        <v>20</v>
      </c>
      <c r="D574" s="257">
        <v>2015</v>
      </c>
      <c r="E574" s="128" t="s">
        <v>831</v>
      </c>
      <c r="F574" s="127" t="s">
        <v>53</v>
      </c>
      <c r="G574" s="127" t="s">
        <v>56</v>
      </c>
      <c r="H574" s="310">
        <f t="shared" si="207"/>
        <v>550000</v>
      </c>
      <c r="I574" s="310">
        <f t="shared" si="208"/>
        <v>500000</v>
      </c>
      <c r="J574" s="310">
        <f t="shared" si="209"/>
        <v>500000</v>
      </c>
      <c r="K574" s="310">
        <v>500000</v>
      </c>
      <c r="L574" s="310"/>
      <c r="M574" s="310"/>
      <c r="N574" s="310"/>
      <c r="O574" s="310">
        <f t="shared" si="210"/>
        <v>0</v>
      </c>
      <c r="P574" s="310"/>
      <c r="Q574" s="310"/>
      <c r="R574" s="310"/>
      <c r="S574" s="310"/>
      <c r="T574" s="310">
        <f t="shared" si="211"/>
        <v>0</v>
      </c>
      <c r="U574" s="310"/>
      <c r="V574" s="310"/>
      <c r="W574" s="310"/>
      <c r="X574" s="310"/>
      <c r="Y574" s="310">
        <f t="shared" si="212"/>
        <v>0</v>
      </c>
      <c r="Z574" s="310"/>
      <c r="AA574" s="310"/>
      <c r="AB574" s="310"/>
      <c r="AC574" s="310"/>
      <c r="AD574" s="310"/>
      <c r="AE574" s="310"/>
      <c r="AF574" s="310">
        <v>50000</v>
      </c>
      <c r="AG574" s="310">
        <f t="shared" si="213"/>
        <v>550000</v>
      </c>
      <c r="AH574" s="310">
        <f t="shared" si="214"/>
        <v>500000</v>
      </c>
      <c r="AI574" s="310">
        <f t="shared" si="215"/>
        <v>500000</v>
      </c>
      <c r="AJ574" s="310">
        <v>500000</v>
      </c>
      <c r="AK574" s="310"/>
      <c r="AL574" s="310"/>
      <c r="AM574" s="310"/>
      <c r="AN574" s="310">
        <f t="shared" si="216"/>
        <v>0</v>
      </c>
      <c r="AO574" s="310"/>
      <c r="AP574" s="310"/>
      <c r="AQ574" s="310"/>
      <c r="AR574" s="310"/>
      <c r="AS574" s="310">
        <f t="shared" si="217"/>
        <v>0</v>
      </c>
      <c r="AT574" s="310"/>
      <c r="AU574" s="310"/>
      <c r="AV574" s="310"/>
      <c r="AW574" s="310"/>
      <c r="AX574" s="310">
        <f t="shared" si="218"/>
        <v>0</v>
      </c>
      <c r="AY574" s="310"/>
      <c r="AZ574" s="310"/>
      <c r="BA574" s="310"/>
      <c r="BB574" s="310"/>
      <c r="BC574" s="310"/>
      <c r="BD574" s="310"/>
      <c r="BE574" s="312">
        <v>50000</v>
      </c>
      <c r="BF574" s="127" t="s">
        <v>56</v>
      </c>
      <c r="BG574" s="128" t="s">
        <v>707</v>
      </c>
      <c r="BH574" s="133" t="s">
        <v>173</v>
      </c>
    </row>
    <row r="575" s="77" customFormat="1" ht="15" hidden="1" spans="1:60">
      <c r="A575" s="301">
        <v>568</v>
      </c>
      <c r="B575" s="127" t="s">
        <v>19</v>
      </c>
      <c r="C575" s="127" t="s">
        <v>20</v>
      </c>
      <c r="D575" s="257">
        <v>2014</v>
      </c>
      <c r="E575" s="128" t="s">
        <v>832</v>
      </c>
      <c r="F575" s="127" t="s">
        <v>53</v>
      </c>
      <c r="G575" s="127" t="s">
        <v>53</v>
      </c>
      <c r="H575" s="310">
        <f t="shared" si="207"/>
        <v>1200000</v>
      </c>
      <c r="I575" s="310">
        <f t="shared" si="208"/>
        <v>1050000</v>
      </c>
      <c r="J575" s="310">
        <f t="shared" si="209"/>
        <v>1050000</v>
      </c>
      <c r="K575" s="310">
        <v>1050000</v>
      </c>
      <c r="L575" s="310"/>
      <c r="M575" s="310"/>
      <c r="N575" s="310"/>
      <c r="O575" s="310"/>
      <c r="P575" s="310"/>
      <c r="Q575" s="310"/>
      <c r="R575" s="310"/>
      <c r="S575" s="310"/>
      <c r="T575" s="310"/>
      <c r="U575" s="310"/>
      <c r="V575" s="310"/>
      <c r="W575" s="310"/>
      <c r="X575" s="310"/>
      <c r="Y575" s="310"/>
      <c r="Z575" s="310"/>
      <c r="AA575" s="310"/>
      <c r="AB575" s="310"/>
      <c r="AC575" s="310"/>
      <c r="AD575" s="310"/>
      <c r="AE575" s="310"/>
      <c r="AF575" s="310">
        <v>150000</v>
      </c>
      <c r="AG575" s="310">
        <f t="shared" si="213"/>
        <v>1044510.3</v>
      </c>
      <c r="AH575" s="310">
        <f t="shared" si="214"/>
        <v>1044510.3</v>
      </c>
      <c r="AI575" s="310">
        <f t="shared" si="215"/>
        <v>1044510.3</v>
      </c>
      <c r="AJ575" s="310">
        <v>1044510.3</v>
      </c>
      <c r="AK575" s="310"/>
      <c r="AL575" s="310"/>
      <c r="AM575" s="310"/>
      <c r="AN575" s="310"/>
      <c r="AO575" s="310"/>
      <c r="AP575" s="310"/>
      <c r="AQ575" s="310"/>
      <c r="AR575" s="310"/>
      <c r="AS575" s="310"/>
      <c r="AT575" s="310"/>
      <c r="AU575" s="310"/>
      <c r="AV575" s="310"/>
      <c r="AW575" s="310"/>
      <c r="AX575" s="310"/>
      <c r="AY575" s="310"/>
      <c r="AZ575" s="310"/>
      <c r="BA575" s="310"/>
      <c r="BB575" s="310"/>
      <c r="BC575" s="310"/>
      <c r="BD575" s="310"/>
      <c r="BE575" s="312"/>
      <c r="BF575" s="127" t="s">
        <v>56</v>
      </c>
      <c r="BG575" s="128" t="s">
        <v>833</v>
      </c>
      <c r="BH575" s="133" t="s">
        <v>173</v>
      </c>
    </row>
    <row r="576" s="77" customFormat="1" ht="15" hidden="1" spans="1:60">
      <c r="A576" s="301">
        <v>569</v>
      </c>
      <c r="B576" s="127" t="s">
        <v>19</v>
      </c>
      <c r="C576" s="127" t="s">
        <v>20</v>
      </c>
      <c r="D576" s="257">
        <v>2014</v>
      </c>
      <c r="E576" s="128" t="s">
        <v>834</v>
      </c>
      <c r="F576" s="127" t="s">
        <v>53</v>
      </c>
      <c r="G576" s="127" t="s">
        <v>56</v>
      </c>
      <c r="H576" s="310">
        <f t="shared" si="207"/>
        <v>580000</v>
      </c>
      <c r="I576" s="310">
        <f t="shared" si="208"/>
        <v>480000</v>
      </c>
      <c r="J576" s="310">
        <f t="shared" si="209"/>
        <v>480000</v>
      </c>
      <c r="K576" s="310">
        <v>480000</v>
      </c>
      <c r="L576" s="310"/>
      <c r="M576" s="310"/>
      <c r="N576" s="310"/>
      <c r="O576" s="310"/>
      <c r="P576" s="310"/>
      <c r="Q576" s="310"/>
      <c r="R576" s="310"/>
      <c r="S576" s="310"/>
      <c r="T576" s="310"/>
      <c r="U576" s="310"/>
      <c r="V576" s="310"/>
      <c r="W576" s="310"/>
      <c r="X576" s="310"/>
      <c r="Y576" s="310"/>
      <c r="Z576" s="310"/>
      <c r="AA576" s="310"/>
      <c r="AB576" s="310"/>
      <c r="AC576" s="310"/>
      <c r="AD576" s="310"/>
      <c r="AE576" s="310"/>
      <c r="AF576" s="310">
        <v>100000</v>
      </c>
      <c r="AG576" s="310">
        <f t="shared" si="213"/>
        <v>480000</v>
      </c>
      <c r="AH576" s="310">
        <f t="shared" si="214"/>
        <v>480000</v>
      </c>
      <c r="AI576" s="310">
        <f t="shared" si="215"/>
        <v>480000</v>
      </c>
      <c r="AJ576" s="310">
        <v>480000</v>
      </c>
      <c r="AK576" s="310"/>
      <c r="AL576" s="310"/>
      <c r="AM576" s="310"/>
      <c r="AN576" s="310"/>
      <c r="AO576" s="310"/>
      <c r="AP576" s="310"/>
      <c r="AQ576" s="310"/>
      <c r="AR576" s="310"/>
      <c r="AS576" s="310"/>
      <c r="AT576" s="310"/>
      <c r="AU576" s="310"/>
      <c r="AV576" s="310"/>
      <c r="AW576" s="310"/>
      <c r="AX576" s="310"/>
      <c r="AY576" s="310"/>
      <c r="AZ576" s="310"/>
      <c r="BA576" s="310"/>
      <c r="BB576" s="310"/>
      <c r="BC576" s="310"/>
      <c r="BD576" s="310"/>
      <c r="BE576" s="312"/>
      <c r="BF576" s="127" t="s">
        <v>56</v>
      </c>
      <c r="BG576" s="128" t="s">
        <v>711</v>
      </c>
      <c r="BH576" s="133" t="s">
        <v>173</v>
      </c>
    </row>
    <row r="577" s="77" customFormat="1" ht="15" hidden="1" spans="1:60">
      <c r="A577" s="301">
        <v>570</v>
      </c>
      <c r="B577" s="127" t="s">
        <v>19</v>
      </c>
      <c r="C577" s="127" t="s">
        <v>20</v>
      </c>
      <c r="D577" s="257">
        <v>2013</v>
      </c>
      <c r="E577" s="128" t="s">
        <v>835</v>
      </c>
      <c r="F577" s="127" t="s">
        <v>53</v>
      </c>
      <c r="G577" s="127" t="s">
        <v>53</v>
      </c>
      <c r="H577" s="310">
        <f t="shared" si="207"/>
        <v>450000</v>
      </c>
      <c r="I577" s="310">
        <f t="shared" si="208"/>
        <v>400000</v>
      </c>
      <c r="J577" s="310">
        <f t="shared" si="209"/>
        <v>400000</v>
      </c>
      <c r="K577" s="310">
        <v>400000</v>
      </c>
      <c r="L577" s="310"/>
      <c r="M577" s="310"/>
      <c r="N577" s="310"/>
      <c r="O577" s="310"/>
      <c r="P577" s="310"/>
      <c r="Q577" s="310"/>
      <c r="R577" s="310"/>
      <c r="S577" s="310"/>
      <c r="T577" s="310"/>
      <c r="U577" s="310"/>
      <c r="V577" s="310"/>
      <c r="W577" s="310"/>
      <c r="X577" s="310"/>
      <c r="Y577" s="310"/>
      <c r="Z577" s="310"/>
      <c r="AA577" s="310"/>
      <c r="AB577" s="310"/>
      <c r="AC577" s="310"/>
      <c r="AD577" s="310"/>
      <c r="AE577" s="310"/>
      <c r="AF577" s="310">
        <v>50000</v>
      </c>
      <c r="AG577" s="310">
        <f t="shared" si="213"/>
        <v>400000</v>
      </c>
      <c r="AH577" s="310">
        <f t="shared" si="214"/>
        <v>400000</v>
      </c>
      <c r="AI577" s="310">
        <f t="shared" si="215"/>
        <v>400000</v>
      </c>
      <c r="AJ577" s="310">
        <v>400000</v>
      </c>
      <c r="AK577" s="310"/>
      <c r="AL577" s="310"/>
      <c r="AM577" s="310"/>
      <c r="AN577" s="310"/>
      <c r="AO577" s="310"/>
      <c r="AP577" s="310"/>
      <c r="AQ577" s="310"/>
      <c r="AR577" s="310"/>
      <c r="AS577" s="310"/>
      <c r="AT577" s="310"/>
      <c r="AU577" s="310"/>
      <c r="AV577" s="310"/>
      <c r="AW577" s="310"/>
      <c r="AX577" s="310"/>
      <c r="AY577" s="310"/>
      <c r="AZ577" s="310"/>
      <c r="BA577" s="310"/>
      <c r="BB577" s="310"/>
      <c r="BC577" s="310"/>
      <c r="BD577" s="310"/>
      <c r="BE577" s="312"/>
      <c r="BF577" s="127" t="s">
        <v>56</v>
      </c>
      <c r="BG577" s="128" t="s">
        <v>711</v>
      </c>
      <c r="BH577" s="133" t="s">
        <v>173</v>
      </c>
    </row>
    <row r="578" s="270" customFormat="1" ht="15" hidden="1" spans="1:60">
      <c r="A578" s="301">
        <v>571</v>
      </c>
      <c r="B578" s="238" t="s">
        <v>19</v>
      </c>
      <c r="C578" s="238" t="s">
        <v>20</v>
      </c>
      <c r="D578" s="262">
        <v>2013</v>
      </c>
      <c r="E578" s="236" t="s">
        <v>836</v>
      </c>
      <c r="F578" s="238" t="s">
        <v>53</v>
      </c>
      <c r="G578" s="238" t="s">
        <v>56</v>
      </c>
      <c r="H578" s="304">
        <f t="shared" si="207"/>
        <v>400000</v>
      </c>
      <c r="I578" s="304">
        <f t="shared" si="208"/>
        <v>400000</v>
      </c>
      <c r="J578" s="304">
        <f t="shared" si="209"/>
        <v>400000</v>
      </c>
      <c r="K578" s="304">
        <v>400000</v>
      </c>
      <c r="L578" s="304"/>
      <c r="M578" s="304"/>
      <c r="N578" s="304"/>
      <c r="O578" s="304"/>
      <c r="P578" s="304"/>
      <c r="Q578" s="304"/>
      <c r="R578" s="304"/>
      <c r="S578" s="304"/>
      <c r="T578" s="304"/>
      <c r="U578" s="304"/>
      <c r="V578" s="304"/>
      <c r="W578" s="304"/>
      <c r="X578" s="304"/>
      <c r="Y578" s="304"/>
      <c r="Z578" s="304"/>
      <c r="AA578" s="304"/>
      <c r="AB578" s="304"/>
      <c r="AC578" s="304"/>
      <c r="AD578" s="304"/>
      <c r="AE578" s="304"/>
      <c r="AF578" s="304"/>
      <c r="AG578" s="304">
        <f t="shared" si="213"/>
        <v>400000</v>
      </c>
      <c r="AH578" s="304">
        <f t="shared" si="214"/>
        <v>400000</v>
      </c>
      <c r="AI578" s="304">
        <f t="shared" si="215"/>
        <v>400000</v>
      </c>
      <c r="AJ578" s="304">
        <v>400000</v>
      </c>
      <c r="AK578" s="304"/>
      <c r="AL578" s="304"/>
      <c r="AM578" s="304"/>
      <c r="AN578" s="304"/>
      <c r="AO578" s="304"/>
      <c r="AP578" s="304"/>
      <c r="AQ578" s="304"/>
      <c r="AR578" s="304"/>
      <c r="AS578" s="304"/>
      <c r="AT578" s="304"/>
      <c r="AU578" s="304"/>
      <c r="AV578" s="304"/>
      <c r="AW578" s="304"/>
      <c r="AX578" s="304"/>
      <c r="AY578" s="304"/>
      <c r="AZ578" s="304"/>
      <c r="BA578" s="304"/>
      <c r="BB578" s="304"/>
      <c r="BC578" s="304"/>
      <c r="BD578" s="304"/>
      <c r="BE578" s="305"/>
      <c r="BF578" s="238" t="s">
        <v>53</v>
      </c>
      <c r="BG578" s="263" t="s">
        <v>54</v>
      </c>
      <c r="BH578" s="306" t="s">
        <v>173</v>
      </c>
    </row>
    <row r="579" s="77" customFormat="1" ht="15" hidden="1" spans="1:60">
      <c r="A579" s="301">
        <v>572</v>
      </c>
      <c r="B579" s="127" t="s">
        <v>19</v>
      </c>
      <c r="C579" s="127" t="s">
        <v>20</v>
      </c>
      <c r="D579" s="257">
        <v>2014</v>
      </c>
      <c r="E579" s="240" t="s">
        <v>837</v>
      </c>
      <c r="F579" s="127" t="s">
        <v>53</v>
      </c>
      <c r="G579" s="127" t="s">
        <v>56</v>
      </c>
      <c r="H579" s="310">
        <f t="shared" si="207"/>
        <v>600000</v>
      </c>
      <c r="I579" s="310">
        <f t="shared" si="208"/>
        <v>600000</v>
      </c>
      <c r="J579" s="310">
        <f t="shared" si="209"/>
        <v>600000</v>
      </c>
      <c r="K579" s="310">
        <v>600000</v>
      </c>
      <c r="L579" s="310"/>
      <c r="M579" s="310"/>
      <c r="N579" s="310"/>
      <c r="O579" s="310"/>
      <c r="P579" s="310"/>
      <c r="Q579" s="310"/>
      <c r="R579" s="310"/>
      <c r="S579" s="310"/>
      <c r="T579" s="310"/>
      <c r="U579" s="310"/>
      <c r="V579" s="310"/>
      <c r="W579" s="310"/>
      <c r="X579" s="310"/>
      <c r="Y579" s="310"/>
      <c r="Z579" s="310"/>
      <c r="AA579" s="310"/>
      <c r="AB579" s="310"/>
      <c r="AC579" s="310"/>
      <c r="AD579" s="310"/>
      <c r="AE579" s="310"/>
      <c r="AF579" s="310"/>
      <c r="AG579" s="310">
        <f t="shared" si="213"/>
        <v>600000</v>
      </c>
      <c r="AH579" s="310">
        <f t="shared" si="214"/>
        <v>600000</v>
      </c>
      <c r="AI579" s="310">
        <f t="shared" si="215"/>
        <v>600000</v>
      </c>
      <c r="AJ579" s="310">
        <v>600000</v>
      </c>
      <c r="AK579" s="310"/>
      <c r="AL579" s="310"/>
      <c r="AM579" s="310"/>
      <c r="AN579" s="310"/>
      <c r="AO579" s="310"/>
      <c r="AP579" s="310"/>
      <c r="AQ579" s="310"/>
      <c r="AR579" s="310"/>
      <c r="AS579" s="310"/>
      <c r="AT579" s="310"/>
      <c r="AU579" s="310"/>
      <c r="AV579" s="310"/>
      <c r="AW579" s="310"/>
      <c r="AX579" s="310"/>
      <c r="AY579" s="310"/>
      <c r="AZ579" s="310"/>
      <c r="BA579" s="310"/>
      <c r="BB579" s="310"/>
      <c r="BC579" s="310"/>
      <c r="BD579" s="310"/>
      <c r="BE579" s="312"/>
      <c r="BF579" s="127" t="s">
        <v>56</v>
      </c>
      <c r="BG579" s="128" t="s">
        <v>497</v>
      </c>
      <c r="BH579" s="133" t="s">
        <v>173</v>
      </c>
    </row>
    <row r="580" s="77" customFormat="1" ht="15" hidden="1" spans="1:60">
      <c r="A580" s="301">
        <v>573</v>
      </c>
      <c r="B580" s="127" t="s">
        <v>19</v>
      </c>
      <c r="C580" s="127" t="s">
        <v>20</v>
      </c>
      <c r="D580" s="257">
        <v>2014</v>
      </c>
      <c r="E580" s="128" t="s">
        <v>838</v>
      </c>
      <c r="F580" s="127" t="s">
        <v>53</v>
      </c>
      <c r="G580" s="127" t="s">
        <v>56</v>
      </c>
      <c r="H580" s="310">
        <f t="shared" si="207"/>
        <v>400000</v>
      </c>
      <c r="I580" s="310">
        <f t="shared" si="208"/>
        <v>400000</v>
      </c>
      <c r="J580" s="310">
        <f t="shared" si="209"/>
        <v>400000</v>
      </c>
      <c r="K580" s="310">
        <v>400000</v>
      </c>
      <c r="L580" s="310"/>
      <c r="M580" s="310"/>
      <c r="N580" s="310"/>
      <c r="O580" s="310"/>
      <c r="P580" s="310"/>
      <c r="Q580" s="310"/>
      <c r="R580" s="310"/>
      <c r="S580" s="310"/>
      <c r="T580" s="310"/>
      <c r="U580" s="310"/>
      <c r="V580" s="310"/>
      <c r="W580" s="310"/>
      <c r="X580" s="310"/>
      <c r="Y580" s="310"/>
      <c r="Z580" s="310"/>
      <c r="AA580" s="310"/>
      <c r="AB580" s="310"/>
      <c r="AC580" s="310"/>
      <c r="AD580" s="310"/>
      <c r="AE580" s="310"/>
      <c r="AF580" s="310"/>
      <c r="AG580" s="310">
        <f t="shared" si="213"/>
        <v>400000</v>
      </c>
      <c r="AH580" s="310">
        <f t="shared" si="214"/>
        <v>400000</v>
      </c>
      <c r="AI580" s="310">
        <f t="shared" si="215"/>
        <v>400000</v>
      </c>
      <c r="AJ580" s="310">
        <v>400000</v>
      </c>
      <c r="AK580" s="310"/>
      <c r="AL580" s="310"/>
      <c r="AM580" s="310"/>
      <c r="AN580" s="310"/>
      <c r="AO580" s="310"/>
      <c r="AP580" s="310"/>
      <c r="AQ580" s="310"/>
      <c r="AR580" s="310"/>
      <c r="AS580" s="310"/>
      <c r="AT580" s="310"/>
      <c r="AU580" s="310"/>
      <c r="AV580" s="310"/>
      <c r="AW580" s="310"/>
      <c r="AX580" s="310"/>
      <c r="AY580" s="310"/>
      <c r="AZ580" s="310"/>
      <c r="BA580" s="310"/>
      <c r="BB580" s="310"/>
      <c r="BC580" s="310"/>
      <c r="BD580" s="310"/>
      <c r="BE580" s="312"/>
      <c r="BF580" s="127" t="s">
        <v>56</v>
      </c>
      <c r="BG580" s="128" t="s">
        <v>707</v>
      </c>
      <c r="BH580" s="133" t="s">
        <v>173</v>
      </c>
    </row>
    <row r="581" s="77" customFormat="1" ht="15" hidden="1" spans="1:60">
      <c r="A581" s="301">
        <v>574</v>
      </c>
      <c r="B581" s="127" t="s">
        <v>19</v>
      </c>
      <c r="C581" s="127" t="s">
        <v>20</v>
      </c>
      <c r="D581" s="257">
        <v>2015</v>
      </c>
      <c r="E581" s="128" t="s">
        <v>839</v>
      </c>
      <c r="F581" s="127" t="s">
        <v>53</v>
      </c>
      <c r="G581" s="127" t="s">
        <v>53</v>
      </c>
      <c r="H581" s="310">
        <f t="shared" si="207"/>
        <v>550000</v>
      </c>
      <c r="I581" s="310">
        <f t="shared" si="208"/>
        <v>450000</v>
      </c>
      <c r="J581" s="310">
        <f t="shared" si="209"/>
        <v>450000</v>
      </c>
      <c r="K581" s="310">
        <v>450000</v>
      </c>
      <c r="L581" s="310"/>
      <c r="M581" s="310"/>
      <c r="N581" s="310"/>
      <c r="O581" s="310"/>
      <c r="P581" s="310"/>
      <c r="Q581" s="310"/>
      <c r="R581" s="310"/>
      <c r="S581" s="310"/>
      <c r="T581" s="310"/>
      <c r="U581" s="310"/>
      <c r="V581" s="310"/>
      <c r="W581" s="310"/>
      <c r="X581" s="310"/>
      <c r="Y581" s="310"/>
      <c r="Z581" s="310"/>
      <c r="AA581" s="310"/>
      <c r="AB581" s="310"/>
      <c r="AC581" s="310"/>
      <c r="AD581" s="310"/>
      <c r="AE581" s="310"/>
      <c r="AF581" s="310">
        <v>100000</v>
      </c>
      <c r="AG581" s="310">
        <f t="shared" si="213"/>
        <v>450000</v>
      </c>
      <c r="AH581" s="310">
        <f t="shared" si="214"/>
        <v>450000</v>
      </c>
      <c r="AI581" s="310">
        <f t="shared" si="215"/>
        <v>450000</v>
      </c>
      <c r="AJ581" s="310">
        <v>450000</v>
      </c>
      <c r="AK581" s="310"/>
      <c r="AL581" s="310"/>
      <c r="AM581" s="310"/>
      <c r="AN581" s="310"/>
      <c r="AO581" s="310"/>
      <c r="AP581" s="310"/>
      <c r="AQ581" s="310"/>
      <c r="AR581" s="310"/>
      <c r="AS581" s="310"/>
      <c r="AT581" s="310"/>
      <c r="AU581" s="310"/>
      <c r="AV581" s="310"/>
      <c r="AW581" s="310"/>
      <c r="AX581" s="310"/>
      <c r="AY581" s="310"/>
      <c r="AZ581" s="310"/>
      <c r="BA581" s="310"/>
      <c r="BB581" s="310"/>
      <c r="BC581" s="310"/>
      <c r="BD581" s="310"/>
      <c r="BE581" s="312"/>
      <c r="BF581" s="127" t="s">
        <v>56</v>
      </c>
      <c r="BG581" s="128" t="s">
        <v>808</v>
      </c>
      <c r="BH581" s="133" t="s">
        <v>173</v>
      </c>
    </row>
    <row r="582" s="77" customFormat="1" ht="15" hidden="1" spans="1:60">
      <c r="A582" s="301">
        <v>575</v>
      </c>
      <c r="B582" s="127" t="s">
        <v>19</v>
      </c>
      <c r="C582" s="127" t="s">
        <v>20</v>
      </c>
      <c r="D582" s="257">
        <v>2015</v>
      </c>
      <c r="E582" s="128" t="s">
        <v>840</v>
      </c>
      <c r="F582" s="127" t="s">
        <v>53</v>
      </c>
      <c r="G582" s="127" t="s">
        <v>56</v>
      </c>
      <c r="H582" s="310">
        <f t="shared" si="207"/>
        <v>450000</v>
      </c>
      <c r="I582" s="310">
        <f t="shared" si="208"/>
        <v>400000</v>
      </c>
      <c r="J582" s="310">
        <f t="shared" si="209"/>
        <v>400000</v>
      </c>
      <c r="K582" s="310">
        <v>400000</v>
      </c>
      <c r="L582" s="310"/>
      <c r="M582" s="310"/>
      <c r="N582" s="310"/>
      <c r="O582" s="310"/>
      <c r="P582" s="310"/>
      <c r="Q582" s="310"/>
      <c r="R582" s="310"/>
      <c r="S582" s="310"/>
      <c r="T582" s="310"/>
      <c r="U582" s="310"/>
      <c r="V582" s="310"/>
      <c r="W582" s="310"/>
      <c r="X582" s="310"/>
      <c r="Y582" s="310"/>
      <c r="Z582" s="310"/>
      <c r="AA582" s="310"/>
      <c r="AB582" s="310"/>
      <c r="AC582" s="310"/>
      <c r="AD582" s="310"/>
      <c r="AE582" s="310"/>
      <c r="AF582" s="310">
        <v>50000</v>
      </c>
      <c r="AG582" s="310">
        <f t="shared" si="213"/>
        <v>400000</v>
      </c>
      <c r="AH582" s="310">
        <f t="shared" si="214"/>
        <v>400000</v>
      </c>
      <c r="AI582" s="310">
        <f t="shared" si="215"/>
        <v>400000</v>
      </c>
      <c r="AJ582" s="310">
        <v>400000</v>
      </c>
      <c r="AK582" s="310"/>
      <c r="AL582" s="310"/>
      <c r="AM582" s="310"/>
      <c r="AN582" s="310"/>
      <c r="AO582" s="310"/>
      <c r="AP582" s="310"/>
      <c r="AQ582" s="310"/>
      <c r="AR582" s="310"/>
      <c r="AS582" s="310"/>
      <c r="AT582" s="310"/>
      <c r="AU582" s="310"/>
      <c r="AV582" s="310"/>
      <c r="AW582" s="310"/>
      <c r="AX582" s="310"/>
      <c r="AY582" s="310"/>
      <c r="AZ582" s="310"/>
      <c r="BA582" s="310"/>
      <c r="BB582" s="310"/>
      <c r="BC582" s="310"/>
      <c r="BD582" s="310"/>
      <c r="BE582" s="312"/>
      <c r="BF582" s="127" t="s">
        <v>56</v>
      </c>
      <c r="BG582" s="128" t="s">
        <v>497</v>
      </c>
      <c r="BH582" s="133" t="s">
        <v>173</v>
      </c>
    </row>
    <row r="583" s="77" customFormat="1" ht="15" hidden="1" spans="1:60">
      <c r="A583" s="301">
        <v>576</v>
      </c>
      <c r="B583" s="127" t="s">
        <v>19</v>
      </c>
      <c r="C583" s="127" t="s">
        <v>20</v>
      </c>
      <c r="D583" s="257">
        <v>2015</v>
      </c>
      <c r="E583" s="128" t="s">
        <v>841</v>
      </c>
      <c r="F583" s="127" t="s">
        <v>53</v>
      </c>
      <c r="G583" s="127" t="s">
        <v>56</v>
      </c>
      <c r="H583" s="310">
        <f t="shared" si="207"/>
        <v>250000</v>
      </c>
      <c r="I583" s="310">
        <f t="shared" si="208"/>
        <v>200000</v>
      </c>
      <c r="J583" s="310">
        <f t="shared" si="209"/>
        <v>200000</v>
      </c>
      <c r="K583" s="310">
        <v>200000</v>
      </c>
      <c r="L583" s="310"/>
      <c r="M583" s="310"/>
      <c r="N583" s="310"/>
      <c r="O583" s="310"/>
      <c r="P583" s="310"/>
      <c r="Q583" s="310"/>
      <c r="R583" s="310"/>
      <c r="S583" s="310"/>
      <c r="T583" s="310"/>
      <c r="U583" s="310"/>
      <c r="V583" s="310"/>
      <c r="W583" s="310"/>
      <c r="X583" s="310"/>
      <c r="Y583" s="310"/>
      <c r="Z583" s="310"/>
      <c r="AA583" s="310"/>
      <c r="AB583" s="310"/>
      <c r="AC583" s="310"/>
      <c r="AD583" s="310"/>
      <c r="AE583" s="310"/>
      <c r="AF583" s="310">
        <v>50000</v>
      </c>
      <c r="AG583" s="310">
        <f t="shared" si="213"/>
        <v>200000</v>
      </c>
      <c r="AH583" s="310">
        <f t="shared" si="214"/>
        <v>200000</v>
      </c>
      <c r="AI583" s="310">
        <f t="shared" si="215"/>
        <v>200000</v>
      </c>
      <c r="AJ583" s="310">
        <v>200000</v>
      </c>
      <c r="AK583" s="310"/>
      <c r="AL583" s="310"/>
      <c r="AM583" s="310"/>
      <c r="AN583" s="310"/>
      <c r="AO583" s="310"/>
      <c r="AP583" s="310"/>
      <c r="AQ583" s="310"/>
      <c r="AR583" s="310"/>
      <c r="AS583" s="310"/>
      <c r="AT583" s="310"/>
      <c r="AU583" s="310"/>
      <c r="AV583" s="310"/>
      <c r="AW583" s="310"/>
      <c r="AX583" s="310"/>
      <c r="AY583" s="310"/>
      <c r="AZ583" s="310"/>
      <c r="BA583" s="310"/>
      <c r="BB583" s="310"/>
      <c r="BC583" s="310"/>
      <c r="BD583" s="310"/>
      <c r="BE583" s="312"/>
      <c r="BF583" s="127" t="s">
        <v>56</v>
      </c>
      <c r="BG583" s="128" t="s">
        <v>707</v>
      </c>
      <c r="BH583" s="133" t="s">
        <v>173</v>
      </c>
    </row>
    <row r="584" s="77" customFormat="1" ht="15" hidden="1" spans="1:60">
      <c r="A584" s="301">
        <v>577</v>
      </c>
      <c r="B584" s="127" t="s">
        <v>19</v>
      </c>
      <c r="C584" s="127" t="s">
        <v>20</v>
      </c>
      <c r="D584" s="257">
        <v>2014</v>
      </c>
      <c r="E584" s="128" t="s">
        <v>842</v>
      </c>
      <c r="F584" s="127" t="s">
        <v>53</v>
      </c>
      <c r="G584" s="127" t="s">
        <v>56</v>
      </c>
      <c r="H584" s="310">
        <f t="shared" si="207"/>
        <v>500000</v>
      </c>
      <c r="I584" s="310">
        <f t="shared" si="208"/>
        <v>490000</v>
      </c>
      <c r="J584" s="310">
        <f t="shared" si="209"/>
        <v>490000</v>
      </c>
      <c r="K584" s="310">
        <v>490000</v>
      </c>
      <c r="L584" s="310"/>
      <c r="M584" s="310"/>
      <c r="N584" s="310"/>
      <c r="O584" s="310"/>
      <c r="P584" s="310"/>
      <c r="Q584" s="310"/>
      <c r="R584" s="310"/>
      <c r="S584" s="310"/>
      <c r="T584" s="310"/>
      <c r="U584" s="310"/>
      <c r="V584" s="310"/>
      <c r="W584" s="310"/>
      <c r="X584" s="310"/>
      <c r="Y584" s="310"/>
      <c r="Z584" s="310"/>
      <c r="AA584" s="310"/>
      <c r="AB584" s="310"/>
      <c r="AC584" s="310"/>
      <c r="AD584" s="310"/>
      <c r="AE584" s="310"/>
      <c r="AF584" s="310">
        <v>10000</v>
      </c>
      <c r="AG584" s="310">
        <f t="shared" si="213"/>
        <v>490000</v>
      </c>
      <c r="AH584" s="310">
        <f t="shared" si="214"/>
        <v>490000</v>
      </c>
      <c r="AI584" s="310">
        <f t="shared" si="215"/>
        <v>490000</v>
      </c>
      <c r="AJ584" s="310">
        <v>490000</v>
      </c>
      <c r="AK584" s="310"/>
      <c r="AL584" s="310"/>
      <c r="AM584" s="310"/>
      <c r="AN584" s="310"/>
      <c r="AO584" s="310"/>
      <c r="AP584" s="310"/>
      <c r="AQ584" s="310"/>
      <c r="AR584" s="310"/>
      <c r="AS584" s="310"/>
      <c r="AT584" s="310"/>
      <c r="AU584" s="310"/>
      <c r="AV584" s="310"/>
      <c r="AW584" s="310"/>
      <c r="AX584" s="310"/>
      <c r="AY584" s="310"/>
      <c r="AZ584" s="310"/>
      <c r="BA584" s="310"/>
      <c r="BB584" s="310"/>
      <c r="BC584" s="310"/>
      <c r="BD584" s="310"/>
      <c r="BE584" s="312"/>
      <c r="BF584" s="127" t="s">
        <v>56</v>
      </c>
      <c r="BG584" s="128" t="s">
        <v>707</v>
      </c>
      <c r="BH584" s="133" t="s">
        <v>173</v>
      </c>
    </row>
    <row r="585" s="270" customFormat="1" ht="13" hidden="1" customHeight="1" spans="1:60">
      <c r="A585" s="301">
        <v>578</v>
      </c>
      <c r="B585" s="238" t="s">
        <v>19</v>
      </c>
      <c r="C585" s="238" t="s">
        <v>20</v>
      </c>
      <c r="D585" s="262">
        <v>2015</v>
      </c>
      <c r="E585" s="263" t="s">
        <v>843</v>
      </c>
      <c r="F585" s="238" t="s">
        <v>53</v>
      </c>
      <c r="G585" s="238" t="s">
        <v>56</v>
      </c>
      <c r="H585" s="304">
        <f t="shared" si="207"/>
        <v>500000</v>
      </c>
      <c r="I585" s="304">
        <f t="shared" si="208"/>
        <v>450000</v>
      </c>
      <c r="J585" s="304">
        <f t="shared" si="209"/>
        <v>450000</v>
      </c>
      <c r="K585" s="304">
        <v>450000</v>
      </c>
      <c r="L585" s="304"/>
      <c r="M585" s="304"/>
      <c r="N585" s="304"/>
      <c r="O585" s="304"/>
      <c r="P585" s="304"/>
      <c r="Q585" s="304"/>
      <c r="R585" s="304"/>
      <c r="S585" s="304"/>
      <c r="T585" s="304"/>
      <c r="U585" s="304"/>
      <c r="V585" s="304"/>
      <c r="W585" s="304"/>
      <c r="X585" s="304"/>
      <c r="Y585" s="304"/>
      <c r="Z585" s="304"/>
      <c r="AA585" s="304"/>
      <c r="AB585" s="304"/>
      <c r="AC585" s="304"/>
      <c r="AD585" s="304"/>
      <c r="AE585" s="304"/>
      <c r="AF585" s="304">
        <v>50000</v>
      </c>
      <c r="AG585" s="304">
        <f t="shared" si="213"/>
        <v>500000</v>
      </c>
      <c r="AH585" s="304">
        <f t="shared" si="214"/>
        <v>450000</v>
      </c>
      <c r="AI585" s="304">
        <f t="shared" si="215"/>
        <v>450000</v>
      </c>
      <c r="AJ585" s="304">
        <v>450000</v>
      </c>
      <c r="AK585" s="304"/>
      <c r="AL585" s="304"/>
      <c r="AM585" s="304"/>
      <c r="AN585" s="304"/>
      <c r="AO585" s="304"/>
      <c r="AP585" s="304"/>
      <c r="AQ585" s="304"/>
      <c r="AR585" s="304"/>
      <c r="AS585" s="304"/>
      <c r="AT585" s="304"/>
      <c r="AU585" s="304"/>
      <c r="AV585" s="304"/>
      <c r="AW585" s="304"/>
      <c r="AX585" s="304"/>
      <c r="AY585" s="304"/>
      <c r="AZ585" s="304"/>
      <c r="BA585" s="304"/>
      <c r="BB585" s="304"/>
      <c r="BC585" s="304"/>
      <c r="BD585" s="304"/>
      <c r="BE585" s="305">
        <v>50000</v>
      </c>
      <c r="BF585" s="238" t="s">
        <v>53</v>
      </c>
      <c r="BG585" s="263" t="s">
        <v>844</v>
      </c>
      <c r="BH585" s="306" t="s">
        <v>173</v>
      </c>
    </row>
    <row r="586" s="270" customFormat="1" ht="15" hidden="1" spans="1:60">
      <c r="A586" s="301">
        <v>579</v>
      </c>
      <c r="B586" s="238" t="s">
        <v>19</v>
      </c>
      <c r="C586" s="238" t="s">
        <v>20</v>
      </c>
      <c r="D586" s="262">
        <v>2015</v>
      </c>
      <c r="E586" s="263" t="s">
        <v>845</v>
      </c>
      <c r="F586" s="238" t="s">
        <v>53</v>
      </c>
      <c r="G586" s="238" t="s">
        <v>56</v>
      </c>
      <c r="H586" s="304">
        <f t="shared" si="207"/>
        <v>500000</v>
      </c>
      <c r="I586" s="304">
        <f t="shared" si="208"/>
        <v>450000</v>
      </c>
      <c r="J586" s="304">
        <f t="shared" si="209"/>
        <v>450000</v>
      </c>
      <c r="K586" s="304">
        <v>450000</v>
      </c>
      <c r="L586" s="304"/>
      <c r="M586" s="304"/>
      <c r="N586" s="304"/>
      <c r="O586" s="304"/>
      <c r="P586" s="304"/>
      <c r="Q586" s="304"/>
      <c r="R586" s="304"/>
      <c r="S586" s="304"/>
      <c r="T586" s="304"/>
      <c r="U586" s="304"/>
      <c r="V586" s="304"/>
      <c r="W586" s="304"/>
      <c r="X586" s="304"/>
      <c r="Y586" s="304"/>
      <c r="Z586" s="304"/>
      <c r="AA586" s="304"/>
      <c r="AB586" s="304"/>
      <c r="AC586" s="304"/>
      <c r="AD586" s="304"/>
      <c r="AE586" s="304"/>
      <c r="AF586" s="304">
        <v>50000</v>
      </c>
      <c r="AG586" s="304">
        <f t="shared" si="213"/>
        <v>500000</v>
      </c>
      <c r="AH586" s="304">
        <f t="shared" si="214"/>
        <v>450000</v>
      </c>
      <c r="AI586" s="304">
        <f t="shared" si="215"/>
        <v>450000</v>
      </c>
      <c r="AJ586" s="304">
        <v>450000</v>
      </c>
      <c r="AK586" s="304"/>
      <c r="AL586" s="304"/>
      <c r="AM586" s="304"/>
      <c r="AN586" s="304"/>
      <c r="AO586" s="304"/>
      <c r="AP586" s="304"/>
      <c r="AQ586" s="304"/>
      <c r="AR586" s="304"/>
      <c r="AS586" s="304"/>
      <c r="AT586" s="304"/>
      <c r="AU586" s="304"/>
      <c r="AV586" s="304"/>
      <c r="AW586" s="304"/>
      <c r="AX586" s="304"/>
      <c r="AY586" s="304"/>
      <c r="AZ586" s="304"/>
      <c r="BA586" s="304"/>
      <c r="BB586" s="304"/>
      <c r="BC586" s="304"/>
      <c r="BD586" s="304"/>
      <c r="BE586" s="305">
        <v>50000</v>
      </c>
      <c r="BF586" s="238" t="s">
        <v>53</v>
      </c>
      <c r="BG586" s="263" t="s">
        <v>846</v>
      </c>
      <c r="BH586" s="306" t="s">
        <v>173</v>
      </c>
    </row>
    <row r="587" s="77" customFormat="1" ht="15" hidden="1" spans="1:60">
      <c r="A587" s="301">
        <v>580</v>
      </c>
      <c r="B587" s="127" t="s">
        <v>19</v>
      </c>
      <c r="C587" s="127" t="s">
        <v>20</v>
      </c>
      <c r="D587" s="257">
        <v>2013</v>
      </c>
      <c r="E587" s="135" t="s">
        <v>803</v>
      </c>
      <c r="F587" s="127" t="s">
        <v>53</v>
      </c>
      <c r="G587" s="127" t="s">
        <v>53</v>
      </c>
      <c r="H587" s="310">
        <f t="shared" si="207"/>
        <v>390000</v>
      </c>
      <c r="I587" s="310">
        <f t="shared" si="208"/>
        <v>340000</v>
      </c>
      <c r="J587" s="310">
        <f t="shared" si="209"/>
        <v>340000</v>
      </c>
      <c r="K587" s="468">
        <v>340000</v>
      </c>
      <c r="L587" s="132"/>
      <c r="M587" s="132"/>
      <c r="N587" s="130"/>
      <c r="O587" s="130"/>
      <c r="P587" s="130"/>
      <c r="Q587" s="130"/>
      <c r="R587" s="130"/>
      <c r="S587" s="130"/>
      <c r="T587" s="130"/>
      <c r="U587" s="130"/>
      <c r="V587" s="130"/>
      <c r="W587" s="130"/>
      <c r="X587" s="130"/>
      <c r="Y587" s="130"/>
      <c r="Z587" s="130"/>
      <c r="AA587" s="130"/>
      <c r="AB587" s="130"/>
      <c r="AC587" s="130"/>
      <c r="AD587" s="130"/>
      <c r="AE587" s="130"/>
      <c r="AF587" s="310">
        <v>50000</v>
      </c>
      <c r="AG587" s="310">
        <f t="shared" si="213"/>
        <v>340000</v>
      </c>
      <c r="AH587" s="310">
        <f t="shared" si="214"/>
        <v>340000</v>
      </c>
      <c r="AI587" s="310">
        <f t="shared" si="215"/>
        <v>340000</v>
      </c>
      <c r="AJ587" s="310">
        <v>340000</v>
      </c>
      <c r="AK587" s="130"/>
      <c r="AL587" s="130"/>
      <c r="AM587" s="130"/>
      <c r="AN587" s="130"/>
      <c r="AO587" s="130"/>
      <c r="AP587" s="130"/>
      <c r="AQ587" s="130"/>
      <c r="AR587" s="130"/>
      <c r="AS587" s="130"/>
      <c r="AT587" s="130"/>
      <c r="AU587" s="130"/>
      <c r="AV587" s="130"/>
      <c r="AW587" s="130"/>
      <c r="AX587" s="130"/>
      <c r="AY587" s="130"/>
      <c r="AZ587" s="130"/>
      <c r="BA587" s="130"/>
      <c r="BB587" s="130"/>
      <c r="BC587" s="130"/>
      <c r="BD587" s="130"/>
      <c r="BE587" s="310"/>
      <c r="BF587" s="127" t="s">
        <v>56</v>
      </c>
      <c r="BG587" s="128" t="s">
        <v>707</v>
      </c>
      <c r="BH587" s="133" t="s">
        <v>173</v>
      </c>
    </row>
    <row r="588" s="270" customFormat="1" ht="15" hidden="1" spans="1:60">
      <c r="A588" s="301">
        <v>581</v>
      </c>
      <c r="B588" s="238" t="s">
        <v>19</v>
      </c>
      <c r="C588" s="238" t="s">
        <v>20</v>
      </c>
      <c r="D588" s="262">
        <v>2015</v>
      </c>
      <c r="E588" s="263" t="s">
        <v>847</v>
      </c>
      <c r="F588" s="238" t="s">
        <v>53</v>
      </c>
      <c r="G588" s="238" t="s">
        <v>56</v>
      </c>
      <c r="H588" s="304">
        <f t="shared" si="207"/>
        <v>550000</v>
      </c>
      <c r="I588" s="304">
        <f t="shared" si="208"/>
        <v>500000</v>
      </c>
      <c r="J588" s="304">
        <f t="shared" si="209"/>
        <v>500000</v>
      </c>
      <c r="K588" s="304">
        <v>500000</v>
      </c>
      <c r="L588" s="469"/>
      <c r="M588" s="469"/>
      <c r="N588" s="470"/>
      <c r="O588" s="470"/>
      <c r="P588" s="470"/>
      <c r="Q588" s="470"/>
      <c r="R588" s="470"/>
      <c r="S588" s="470"/>
      <c r="T588" s="470"/>
      <c r="U588" s="470"/>
      <c r="V588" s="470"/>
      <c r="W588" s="470"/>
      <c r="X588" s="470"/>
      <c r="Y588" s="470"/>
      <c r="Z588" s="470"/>
      <c r="AA588" s="470"/>
      <c r="AB588" s="470"/>
      <c r="AC588" s="470"/>
      <c r="AD588" s="470"/>
      <c r="AE588" s="470"/>
      <c r="AF588" s="304">
        <v>50000</v>
      </c>
      <c r="AG588" s="304">
        <f t="shared" si="213"/>
        <v>550000</v>
      </c>
      <c r="AH588" s="304">
        <f t="shared" si="214"/>
        <v>500000</v>
      </c>
      <c r="AI588" s="304">
        <f t="shared" si="215"/>
        <v>500000</v>
      </c>
      <c r="AJ588" s="304">
        <v>500000</v>
      </c>
      <c r="AK588" s="470"/>
      <c r="AL588" s="470"/>
      <c r="AM588" s="470"/>
      <c r="AN588" s="470"/>
      <c r="AO588" s="470"/>
      <c r="AP588" s="470"/>
      <c r="AQ588" s="470"/>
      <c r="AR588" s="470"/>
      <c r="AS588" s="470"/>
      <c r="AT588" s="470"/>
      <c r="AU588" s="470"/>
      <c r="AV588" s="470"/>
      <c r="AW588" s="470"/>
      <c r="AX588" s="470"/>
      <c r="AY588" s="470"/>
      <c r="AZ588" s="470"/>
      <c r="BA588" s="470"/>
      <c r="BB588" s="470"/>
      <c r="BC588" s="470"/>
      <c r="BD588" s="470"/>
      <c r="BE588" s="305">
        <v>50000</v>
      </c>
      <c r="BF588" s="238" t="s">
        <v>53</v>
      </c>
      <c r="BG588" s="263" t="s">
        <v>805</v>
      </c>
      <c r="BH588" s="306" t="s">
        <v>173</v>
      </c>
    </row>
    <row r="589" s="77" customFormat="1" ht="15" hidden="1" spans="1:60">
      <c r="A589" s="301">
        <v>582</v>
      </c>
      <c r="B589" s="127" t="s">
        <v>19</v>
      </c>
      <c r="C589" s="127" t="s">
        <v>20</v>
      </c>
      <c r="D589" s="257">
        <v>2015</v>
      </c>
      <c r="E589" s="128" t="s">
        <v>848</v>
      </c>
      <c r="F589" s="127" t="s">
        <v>53</v>
      </c>
      <c r="G589" s="127" t="s">
        <v>56</v>
      </c>
      <c r="H589" s="310">
        <f t="shared" si="207"/>
        <v>500000</v>
      </c>
      <c r="I589" s="310">
        <f t="shared" si="208"/>
        <v>450000</v>
      </c>
      <c r="J589" s="310">
        <f t="shared" si="209"/>
        <v>450000</v>
      </c>
      <c r="K589" s="310">
        <v>450000</v>
      </c>
      <c r="L589" s="132"/>
      <c r="M589" s="132"/>
      <c r="N589" s="130"/>
      <c r="O589" s="130"/>
      <c r="P589" s="130"/>
      <c r="Q589" s="130"/>
      <c r="R589" s="130"/>
      <c r="S589" s="130"/>
      <c r="T589" s="130"/>
      <c r="U589" s="130"/>
      <c r="V589" s="130"/>
      <c r="W589" s="130"/>
      <c r="X589" s="130"/>
      <c r="Y589" s="130"/>
      <c r="Z589" s="130"/>
      <c r="AA589" s="130"/>
      <c r="AB589" s="130"/>
      <c r="AC589" s="130"/>
      <c r="AD589" s="130"/>
      <c r="AE589" s="130"/>
      <c r="AF589" s="310">
        <v>50000</v>
      </c>
      <c r="AG589" s="310">
        <f t="shared" si="213"/>
        <v>450000</v>
      </c>
      <c r="AH589" s="310">
        <f t="shared" si="214"/>
        <v>450000</v>
      </c>
      <c r="AI589" s="310">
        <f t="shared" si="215"/>
        <v>450000</v>
      </c>
      <c r="AJ589" s="310">
        <v>450000</v>
      </c>
      <c r="AK589" s="130"/>
      <c r="AL589" s="130"/>
      <c r="AM589" s="130"/>
      <c r="AN589" s="130"/>
      <c r="AO589" s="130"/>
      <c r="AP589" s="130"/>
      <c r="AQ589" s="130"/>
      <c r="AR589" s="130"/>
      <c r="AS589" s="130"/>
      <c r="AT589" s="130"/>
      <c r="AU589" s="130"/>
      <c r="AV589" s="130"/>
      <c r="AW589" s="130"/>
      <c r="AX589" s="130"/>
      <c r="AY589" s="130"/>
      <c r="AZ589" s="130"/>
      <c r="BA589" s="130"/>
      <c r="BB589" s="130"/>
      <c r="BC589" s="130"/>
      <c r="BD589" s="130"/>
      <c r="BE589" s="471"/>
      <c r="BF589" s="127" t="s">
        <v>56</v>
      </c>
      <c r="BG589" s="128" t="s">
        <v>497</v>
      </c>
      <c r="BH589" s="133" t="s">
        <v>173</v>
      </c>
    </row>
    <row r="590" s="77" customFormat="1" ht="15" hidden="1" spans="1:60">
      <c r="A590" s="301">
        <v>583</v>
      </c>
      <c r="B590" s="127" t="s">
        <v>19</v>
      </c>
      <c r="C590" s="127" t="s">
        <v>20</v>
      </c>
      <c r="D590" s="257">
        <v>2015</v>
      </c>
      <c r="E590" s="128" t="s">
        <v>849</v>
      </c>
      <c r="F590" s="127" t="s">
        <v>53</v>
      </c>
      <c r="G590" s="127" t="s">
        <v>53</v>
      </c>
      <c r="H590" s="310">
        <f t="shared" si="207"/>
        <v>470000</v>
      </c>
      <c r="I590" s="310">
        <f t="shared" si="208"/>
        <v>450000</v>
      </c>
      <c r="J590" s="310">
        <f t="shared" si="209"/>
        <v>450000</v>
      </c>
      <c r="K590" s="310">
        <v>450000</v>
      </c>
      <c r="L590" s="132"/>
      <c r="M590" s="132"/>
      <c r="N590" s="130"/>
      <c r="O590" s="130"/>
      <c r="P590" s="130"/>
      <c r="Q590" s="130"/>
      <c r="R590" s="130"/>
      <c r="S590" s="130"/>
      <c r="T590" s="130"/>
      <c r="U590" s="130"/>
      <c r="V590" s="130"/>
      <c r="W590" s="130"/>
      <c r="X590" s="130"/>
      <c r="Y590" s="130"/>
      <c r="Z590" s="130"/>
      <c r="AA590" s="130"/>
      <c r="AB590" s="130"/>
      <c r="AC590" s="130"/>
      <c r="AD590" s="130"/>
      <c r="AE590" s="130"/>
      <c r="AF590" s="310">
        <v>20000</v>
      </c>
      <c r="AG590" s="310">
        <f t="shared" si="213"/>
        <v>450000</v>
      </c>
      <c r="AH590" s="310">
        <f t="shared" si="214"/>
        <v>450000</v>
      </c>
      <c r="AI590" s="310">
        <f t="shared" si="215"/>
        <v>450000</v>
      </c>
      <c r="AJ590" s="310">
        <v>450000</v>
      </c>
      <c r="AK590" s="130"/>
      <c r="AL590" s="130"/>
      <c r="AM590" s="130"/>
      <c r="AN590" s="130"/>
      <c r="AO590" s="130"/>
      <c r="AP590" s="130"/>
      <c r="AQ590" s="130"/>
      <c r="AR590" s="130"/>
      <c r="AS590" s="130"/>
      <c r="AT590" s="130"/>
      <c r="AU590" s="130"/>
      <c r="AV590" s="130"/>
      <c r="AW590" s="130"/>
      <c r="AX590" s="130"/>
      <c r="AY590" s="130"/>
      <c r="AZ590" s="130"/>
      <c r="BA590" s="130"/>
      <c r="BB590" s="130"/>
      <c r="BC590" s="130"/>
      <c r="BD590" s="130"/>
      <c r="BE590" s="471"/>
      <c r="BF590" s="127" t="s">
        <v>56</v>
      </c>
      <c r="BG590" s="128" t="s">
        <v>850</v>
      </c>
      <c r="BH590" s="133" t="s">
        <v>173</v>
      </c>
    </row>
    <row r="591" s="77" customFormat="1" ht="15" hidden="1" spans="1:60">
      <c r="A591" s="301">
        <v>584</v>
      </c>
      <c r="B591" s="127" t="s">
        <v>19</v>
      </c>
      <c r="C591" s="127" t="s">
        <v>20</v>
      </c>
      <c r="D591" s="257">
        <v>2015</v>
      </c>
      <c r="E591" s="128" t="s">
        <v>851</v>
      </c>
      <c r="F591" s="127" t="s">
        <v>53</v>
      </c>
      <c r="G591" s="127" t="s">
        <v>53</v>
      </c>
      <c r="H591" s="310">
        <f t="shared" si="207"/>
        <v>900000</v>
      </c>
      <c r="I591" s="310">
        <f t="shared" si="208"/>
        <v>800000</v>
      </c>
      <c r="J591" s="310">
        <f t="shared" si="209"/>
        <v>800000</v>
      </c>
      <c r="K591" s="310">
        <v>800000</v>
      </c>
      <c r="L591" s="130"/>
      <c r="M591" s="130"/>
      <c r="N591" s="130"/>
      <c r="O591" s="130"/>
      <c r="P591" s="130"/>
      <c r="Q591" s="130"/>
      <c r="R591" s="130"/>
      <c r="S591" s="130"/>
      <c r="T591" s="130"/>
      <c r="U591" s="130"/>
      <c r="V591" s="130"/>
      <c r="W591" s="130"/>
      <c r="X591" s="130"/>
      <c r="Y591" s="130"/>
      <c r="Z591" s="130"/>
      <c r="AA591" s="130"/>
      <c r="AB591" s="130"/>
      <c r="AC591" s="130"/>
      <c r="AD591" s="130"/>
      <c r="AE591" s="130"/>
      <c r="AF591" s="310">
        <v>100000</v>
      </c>
      <c r="AG591" s="310">
        <f t="shared" ref="AG591:AG602" si="219">AH591+BE591</f>
        <v>800000</v>
      </c>
      <c r="AH591" s="310">
        <f t="shared" si="214"/>
        <v>800000</v>
      </c>
      <c r="AI591" s="310">
        <f t="shared" ref="AI591:AI602" si="220">AM591+AL591+AK591+AJ591</f>
        <v>800000</v>
      </c>
      <c r="AJ591" s="310">
        <v>800000</v>
      </c>
      <c r="AK591" s="130"/>
      <c r="AL591" s="130"/>
      <c r="AM591" s="130"/>
      <c r="AN591" s="130"/>
      <c r="AO591" s="130"/>
      <c r="AP591" s="130"/>
      <c r="AQ591" s="130"/>
      <c r="AR591" s="130"/>
      <c r="AS591" s="130"/>
      <c r="AT591" s="130"/>
      <c r="AU591" s="130"/>
      <c r="AV591" s="130"/>
      <c r="AW591" s="130"/>
      <c r="AX591" s="130"/>
      <c r="AY591" s="130"/>
      <c r="AZ591" s="130"/>
      <c r="BA591" s="130"/>
      <c r="BB591" s="130"/>
      <c r="BC591" s="130"/>
      <c r="BD591" s="130"/>
      <c r="BE591" s="471"/>
      <c r="BF591" s="127" t="s">
        <v>56</v>
      </c>
      <c r="BG591" s="128" t="s">
        <v>852</v>
      </c>
      <c r="BH591" s="133" t="s">
        <v>173</v>
      </c>
    </row>
    <row r="592" s="276" customFormat="1" ht="15" hidden="1" spans="1:60">
      <c r="A592" s="301">
        <v>585</v>
      </c>
      <c r="B592" s="445" t="s">
        <v>19</v>
      </c>
      <c r="C592" s="445" t="s">
        <v>20</v>
      </c>
      <c r="D592" s="446">
        <v>2013</v>
      </c>
      <c r="E592" s="447" t="s">
        <v>853</v>
      </c>
      <c r="F592" s="445" t="s">
        <v>53</v>
      </c>
      <c r="G592" s="445" t="s">
        <v>56</v>
      </c>
      <c r="H592" s="450">
        <f t="shared" ref="H592:H602" si="221">I592+AF592</f>
        <v>550000</v>
      </c>
      <c r="I592" s="450">
        <f t="shared" ref="I592:I602" si="222">O592+J592+T592+Y592+AE592+AC592+AD592</f>
        <v>500000</v>
      </c>
      <c r="J592" s="450">
        <f t="shared" si="209"/>
        <v>500000</v>
      </c>
      <c r="K592" s="450">
        <v>500000</v>
      </c>
      <c r="L592" s="472"/>
      <c r="M592" s="472"/>
      <c r="N592" s="472"/>
      <c r="O592" s="472"/>
      <c r="P592" s="472"/>
      <c r="Q592" s="472"/>
      <c r="R592" s="472"/>
      <c r="S592" s="472"/>
      <c r="T592" s="472"/>
      <c r="U592" s="472"/>
      <c r="V592" s="472"/>
      <c r="W592" s="472"/>
      <c r="X592" s="472"/>
      <c r="Y592" s="472"/>
      <c r="Z592" s="472"/>
      <c r="AA592" s="472"/>
      <c r="AB592" s="472"/>
      <c r="AC592" s="472"/>
      <c r="AD592" s="472"/>
      <c r="AE592" s="472"/>
      <c r="AF592" s="450">
        <v>50000</v>
      </c>
      <c r="AG592" s="450">
        <f t="shared" si="219"/>
        <v>500000</v>
      </c>
      <c r="AH592" s="450">
        <f t="shared" si="214"/>
        <v>500000</v>
      </c>
      <c r="AI592" s="450">
        <f t="shared" si="220"/>
        <v>500000</v>
      </c>
      <c r="AJ592" s="450">
        <v>500000</v>
      </c>
      <c r="AK592" s="472"/>
      <c r="AL592" s="472"/>
      <c r="AM592" s="472"/>
      <c r="AN592" s="472"/>
      <c r="AO592" s="472"/>
      <c r="AP592" s="472"/>
      <c r="AQ592" s="472"/>
      <c r="AR592" s="472"/>
      <c r="AS592" s="472"/>
      <c r="AT592" s="472"/>
      <c r="AU592" s="472"/>
      <c r="AV592" s="472"/>
      <c r="AW592" s="472"/>
      <c r="AX592" s="472"/>
      <c r="AY592" s="472"/>
      <c r="AZ592" s="472"/>
      <c r="BA592" s="472"/>
      <c r="BB592" s="472"/>
      <c r="BC592" s="472"/>
      <c r="BD592" s="472"/>
      <c r="BE592" s="473"/>
      <c r="BF592" s="445" t="s">
        <v>56</v>
      </c>
      <c r="BG592" s="447" t="s">
        <v>707</v>
      </c>
      <c r="BH592" s="452" t="s">
        <v>173</v>
      </c>
    </row>
    <row r="593" s="270" customFormat="1" ht="15" hidden="1" spans="1:60">
      <c r="A593" s="301">
        <v>586</v>
      </c>
      <c r="B593" s="238" t="s">
        <v>19</v>
      </c>
      <c r="C593" s="238" t="s">
        <v>20</v>
      </c>
      <c r="D593" s="262">
        <v>2015</v>
      </c>
      <c r="E593" s="263" t="s">
        <v>854</v>
      </c>
      <c r="F593" s="238" t="s">
        <v>53</v>
      </c>
      <c r="G593" s="238" t="s">
        <v>56</v>
      </c>
      <c r="H593" s="304">
        <f t="shared" si="221"/>
        <v>500000</v>
      </c>
      <c r="I593" s="304">
        <f t="shared" si="222"/>
        <v>450000</v>
      </c>
      <c r="J593" s="304">
        <f t="shared" si="209"/>
        <v>450000</v>
      </c>
      <c r="K593" s="304">
        <v>450000</v>
      </c>
      <c r="L593" s="470"/>
      <c r="M593" s="470"/>
      <c r="N593" s="470"/>
      <c r="O593" s="470"/>
      <c r="P593" s="470"/>
      <c r="Q593" s="470"/>
      <c r="R593" s="470"/>
      <c r="S593" s="470"/>
      <c r="T593" s="470"/>
      <c r="U593" s="470"/>
      <c r="V593" s="470"/>
      <c r="W593" s="470"/>
      <c r="X593" s="470"/>
      <c r="Y593" s="470"/>
      <c r="Z593" s="470"/>
      <c r="AA593" s="470"/>
      <c r="AB593" s="470"/>
      <c r="AC593" s="470"/>
      <c r="AD593" s="470"/>
      <c r="AE593" s="470"/>
      <c r="AF593" s="304">
        <v>50000</v>
      </c>
      <c r="AG593" s="304">
        <f t="shared" si="219"/>
        <v>500000</v>
      </c>
      <c r="AH593" s="304">
        <f t="shared" si="214"/>
        <v>450000</v>
      </c>
      <c r="AI593" s="304">
        <f t="shared" si="220"/>
        <v>450000</v>
      </c>
      <c r="AJ593" s="304">
        <v>450000</v>
      </c>
      <c r="AK593" s="470"/>
      <c r="AL593" s="470"/>
      <c r="AM593" s="470"/>
      <c r="AN593" s="470"/>
      <c r="AO593" s="470"/>
      <c r="AP593" s="470"/>
      <c r="AQ593" s="470"/>
      <c r="AR593" s="470"/>
      <c r="AS593" s="470"/>
      <c r="AT593" s="470"/>
      <c r="AU593" s="470"/>
      <c r="AV593" s="470"/>
      <c r="AW593" s="470"/>
      <c r="AX593" s="470"/>
      <c r="AY593" s="470"/>
      <c r="AZ593" s="470"/>
      <c r="BA593" s="470"/>
      <c r="BB593" s="470"/>
      <c r="BC593" s="470"/>
      <c r="BD593" s="470"/>
      <c r="BE593" s="474">
        <v>50000</v>
      </c>
      <c r="BF593" s="238" t="s">
        <v>53</v>
      </c>
      <c r="BG593" s="263" t="s">
        <v>855</v>
      </c>
      <c r="BH593" s="306" t="s">
        <v>173</v>
      </c>
    </row>
    <row r="594" s="77" customFormat="1" ht="15" hidden="1" spans="1:60">
      <c r="A594" s="301">
        <v>587</v>
      </c>
      <c r="B594" s="127" t="s">
        <v>19</v>
      </c>
      <c r="C594" s="127" t="s">
        <v>20</v>
      </c>
      <c r="D594" s="257">
        <v>2015</v>
      </c>
      <c r="E594" s="128" t="s">
        <v>856</v>
      </c>
      <c r="F594" s="127" t="s">
        <v>53</v>
      </c>
      <c r="G594" s="127" t="s">
        <v>56</v>
      </c>
      <c r="H594" s="310">
        <f t="shared" si="221"/>
        <v>710000</v>
      </c>
      <c r="I594" s="310">
        <f t="shared" si="222"/>
        <v>650000</v>
      </c>
      <c r="J594" s="310">
        <f t="shared" si="209"/>
        <v>650000</v>
      </c>
      <c r="K594" s="310">
        <v>650000</v>
      </c>
      <c r="L594" s="130"/>
      <c r="M594" s="130"/>
      <c r="N594" s="130"/>
      <c r="O594" s="130"/>
      <c r="P594" s="130"/>
      <c r="Q594" s="130"/>
      <c r="R594" s="130"/>
      <c r="S594" s="130"/>
      <c r="T594" s="130"/>
      <c r="U594" s="130"/>
      <c r="V594" s="130"/>
      <c r="W594" s="130"/>
      <c r="X594" s="130"/>
      <c r="Y594" s="130"/>
      <c r="Z594" s="130"/>
      <c r="AA594" s="130"/>
      <c r="AB594" s="130"/>
      <c r="AC594" s="130"/>
      <c r="AD594" s="130"/>
      <c r="AE594" s="130"/>
      <c r="AF594" s="310">
        <v>60000</v>
      </c>
      <c r="AG594" s="310">
        <f t="shared" si="219"/>
        <v>650000</v>
      </c>
      <c r="AH594" s="310">
        <f t="shared" si="214"/>
        <v>650000</v>
      </c>
      <c r="AI594" s="310">
        <f t="shared" si="220"/>
        <v>650000</v>
      </c>
      <c r="AJ594" s="310">
        <v>650000</v>
      </c>
      <c r="AK594" s="130"/>
      <c r="AL594" s="130"/>
      <c r="AM594" s="130"/>
      <c r="AN594" s="130"/>
      <c r="AO594" s="130"/>
      <c r="AP594" s="130"/>
      <c r="AQ594" s="130"/>
      <c r="AR594" s="130"/>
      <c r="AS594" s="130"/>
      <c r="AT594" s="130"/>
      <c r="AU594" s="130"/>
      <c r="AV594" s="130"/>
      <c r="AW594" s="130"/>
      <c r="AX594" s="130"/>
      <c r="AY594" s="130"/>
      <c r="AZ594" s="130"/>
      <c r="BA594" s="130"/>
      <c r="BB594" s="130"/>
      <c r="BC594" s="130"/>
      <c r="BD594" s="130"/>
      <c r="BE594" s="471"/>
      <c r="BF594" s="127" t="s">
        <v>56</v>
      </c>
      <c r="BG594" s="128" t="s">
        <v>707</v>
      </c>
      <c r="BH594" s="133" t="s">
        <v>173</v>
      </c>
    </row>
    <row r="595" s="77" customFormat="1" ht="15" hidden="1" spans="1:60">
      <c r="A595" s="301">
        <v>588</v>
      </c>
      <c r="B595" s="127" t="s">
        <v>19</v>
      </c>
      <c r="C595" s="127" t="s">
        <v>20</v>
      </c>
      <c r="D595" s="257">
        <v>2015</v>
      </c>
      <c r="E595" s="128" t="s">
        <v>857</v>
      </c>
      <c r="F595" s="127" t="s">
        <v>53</v>
      </c>
      <c r="G595" s="127" t="s">
        <v>56</v>
      </c>
      <c r="H595" s="310">
        <f t="shared" si="221"/>
        <v>730000</v>
      </c>
      <c r="I595" s="310">
        <f t="shared" si="222"/>
        <v>700000</v>
      </c>
      <c r="J595" s="310">
        <f t="shared" si="209"/>
        <v>700000</v>
      </c>
      <c r="K595" s="310">
        <v>700000</v>
      </c>
      <c r="L595" s="130"/>
      <c r="M595" s="130"/>
      <c r="N595" s="130"/>
      <c r="O595" s="130"/>
      <c r="P595" s="130"/>
      <c r="Q595" s="130"/>
      <c r="R595" s="130"/>
      <c r="S595" s="130"/>
      <c r="T595" s="130"/>
      <c r="U595" s="130"/>
      <c r="V595" s="130"/>
      <c r="W595" s="130"/>
      <c r="X595" s="130"/>
      <c r="Y595" s="130"/>
      <c r="Z595" s="130"/>
      <c r="AA595" s="130"/>
      <c r="AB595" s="130"/>
      <c r="AC595" s="130"/>
      <c r="AD595" s="130"/>
      <c r="AE595" s="130"/>
      <c r="AF595" s="310">
        <v>30000</v>
      </c>
      <c r="AG595" s="310">
        <f t="shared" si="219"/>
        <v>700000</v>
      </c>
      <c r="AH595" s="310">
        <f t="shared" si="214"/>
        <v>700000</v>
      </c>
      <c r="AI595" s="310">
        <f t="shared" si="220"/>
        <v>700000</v>
      </c>
      <c r="AJ595" s="310">
        <v>700000</v>
      </c>
      <c r="AK595" s="130"/>
      <c r="AL595" s="130"/>
      <c r="AM595" s="130"/>
      <c r="AN595" s="130"/>
      <c r="AO595" s="130"/>
      <c r="AP595" s="130"/>
      <c r="AQ595" s="130"/>
      <c r="AR595" s="130"/>
      <c r="AS595" s="130"/>
      <c r="AT595" s="130"/>
      <c r="AU595" s="130"/>
      <c r="AV595" s="130"/>
      <c r="AW595" s="130"/>
      <c r="AX595" s="130"/>
      <c r="AY595" s="130"/>
      <c r="AZ595" s="130"/>
      <c r="BA595" s="130"/>
      <c r="BB595" s="130"/>
      <c r="BC595" s="130"/>
      <c r="BD595" s="130"/>
      <c r="BE595" s="471"/>
      <c r="BF595" s="127" t="s">
        <v>56</v>
      </c>
      <c r="BG595" s="128" t="s">
        <v>707</v>
      </c>
      <c r="BH595" s="133" t="s">
        <v>173</v>
      </c>
    </row>
    <row r="596" s="77" customFormat="1" ht="15" hidden="1" spans="1:60">
      <c r="A596" s="301">
        <v>589</v>
      </c>
      <c r="B596" s="127" t="s">
        <v>19</v>
      </c>
      <c r="C596" s="127" t="s">
        <v>20</v>
      </c>
      <c r="D596" s="257">
        <v>2013</v>
      </c>
      <c r="E596" s="128" t="s">
        <v>858</v>
      </c>
      <c r="F596" s="127" t="s">
        <v>53</v>
      </c>
      <c r="G596" s="127" t="s">
        <v>56</v>
      </c>
      <c r="H596" s="310">
        <f t="shared" si="221"/>
        <v>550000</v>
      </c>
      <c r="I596" s="310">
        <f t="shared" si="222"/>
        <v>500000</v>
      </c>
      <c r="J596" s="310">
        <f t="shared" si="209"/>
        <v>500000</v>
      </c>
      <c r="K596" s="310">
        <v>500000</v>
      </c>
      <c r="L596" s="130"/>
      <c r="M596" s="130"/>
      <c r="N596" s="130"/>
      <c r="O596" s="130"/>
      <c r="P596" s="130"/>
      <c r="Q596" s="130"/>
      <c r="R596" s="130"/>
      <c r="S596" s="130"/>
      <c r="T596" s="130"/>
      <c r="U596" s="130"/>
      <c r="V596" s="130"/>
      <c r="W596" s="130"/>
      <c r="X596" s="130"/>
      <c r="Y596" s="130"/>
      <c r="Z596" s="130"/>
      <c r="AA596" s="130"/>
      <c r="AB596" s="130"/>
      <c r="AC596" s="130"/>
      <c r="AD596" s="130"/>
      <c r="AE596" s="130"/>
      <c r="AF596" s="310">
        <v>50000</v>
      </c>
      <c r="AG596" s="310">
        <f t="shared" si="219"/>
        <v>550000</v>
      </c>
      <c r="AH596" s="310">
        <f t="shared" si="214"/>
        <v>500000</v>
      </c>
      <c r="AI596" s="310">
        <f t="shared" si="220"/>
        <v>500000</v>
      </c>
      <c r="AJ596" s="310">
        <v>500000</v>
      </c>
      <c r="AK596" s="130"/>
      <c r="AL596" s="130"/>
      <c r="AM596" s="130"/>
      <c r="AN596" s="130"/>
      <c r="AO596" s="130"/>
      <c r="AP596" s="130"/>
      <c r="AQ596" s="130"/>
      <c r="AR596" s="130"/>
      <c r="AS596" s="130"/>
      <c r="AT596" s="130"/>
      <c r="AU596" s="130"/>
      <c r="AV596" s="130"/>
      <c r="AW596" s="130"/>
      <c r="AX596" s="130"/>
      <c r="AY596" s="130"/>
      <c r="AZ596" s="130"/>
      <c r="BA596" s="130"/>
      <c r="BB596" s="130"/>
      <c r="BC596" s="130"/>
      <c r="BD596" s="130"/>
      <c r="BE596" s="471">
        <v>50000</v>
      </c>
      <c r="BF596" s="127" t="s">
        <v>56</v>
      </c>
      <c r="BG596" s="128" t="s">
        <v>707</v>
      </c>
      <c r="BH596" s="133" t="s">
        <v>173</v>
      </c>
    </row>
    <row r="597" s="77" customFormat="1" ht="15" hidden="1" spans="1:60">
      <c r="A597" s="301">
        <v>590</v>
      </c>
      <c r="B597" s="127" t="s">
        <v>19</v>
      </c>
      <c r="C597" s="127" t="s">
        <v>20</v>
      </c>
      <c r="D597" s="257">
        <v>2015</v>
      </c>
      <c r="E597" s="128" t="s">
        <v>859</v>
      </c>
      <c r="F597" s="127" t="s">
        <v>53</v>
      </c>
      <c r="G597" s="127" t="s">
        <v>56</v>
      </c>
      <c r="H597" s="310">
        <f t="shared" si="221"/>
        <v>550000</v>
      </c>
      <c r="I597" s="310">
        <f t="shared" si="222"/>
        <v>500000</v>
      </c>
      <c r="J597" s="310">
        <f t="shared" si="209"/>
        <v>500000</v>
      </c>
      <c r="K597" s="310">
        <v>500000</v>
      </c>
      <c r="L597" s="130"/>
      <c r="M597" s="130"/>
      <c r="N597" s="130"/>
      <c r="O597" s="130"/>
      <c r="P597" s="130"/>
      <c r="Q597" s="130"/>
      <c r="R597" s="130"/>
      <c r="S597" s="130"/>
      <c r="T597" s="130"/>
      <c r="U597" s="130"/>
      <c r="V597" s="130"/>
      <c r="W597" s="130"/>
      <c r="X597" s="130"/>
      <c r="Y597" s="130"/>
      <c r="Z597" s="130"/>
      <c r="AA597" s="130"/>
      <c r="AB597" s="130"/>
      <c r="AC597" s="130"/>
      <c r="AD597" s="130"/>
      <c r="AE597" s="130"/>
      <c r="AF597" s="310">
        <v>50000</v>
      </c>
      <c r="AG597" s="310">
        <f t="shared" si="219"/>
        <v>500000</v>
      </c>
      <c r="AH597" s="310">
        <f t="shared" si="214"/>
        <v>500000</v>
      </c>
      <c r="AI597" s="310">
        <f t="shared" si="220"/>
        <v>500000</v>
      </c>
      <c r="AJ597" s="310">
        <v>500000</v>
      </c>
      <c r="AK597" s="130"/>
      <c r="AL597" s="130"/>
      <c r="AM597" s="130"/>
      <c r="AN597" s="130"/>
      <c r="AO597" s="130"/>
      <c r="AP597" s="130"/>
      <c r="AQ597" s="130"/>
      <c r="AR597" s="130"/>
      <c r="AS597" s="130"/>
      <c r="AT597" s="130"/>
      <c r="AU597" s="130"/>
      <c r="AV597" s="130"/>
      <c r="AW597" s="130"/>
      <c r="AX597" s="130"/>
      <c r="AY597" s="130"/>
      <c r="AZ597" s="130"/>
      <c r="BA597" s="130"/>
      <c r="BB597" s="130"/>
      <c r="BC597" s="130"/>
      <c r="BD597" s="130"/>
      <c r="BE597" s="471"/>
      <c r="BF597" s="127" t="s">
        <v>56</v>
      </c>
      <c r="BG597" s="128" t="s">
        <v>860</v>
      </c>
      <c r="BH597" s="133" t="s">
        <v>173</v>
      </c>
    </row>
    <row r="598" s="77" customFormat="1" ht="15" hidden="1" spans="1:60">
      <c r="A598" s="301">
        <v>591</v>
      </c>
      <c r="B598" s="127" t="s">
        <v>19</v>
      </c>
      <c r="C598" s="127" t="s">
        <v>20</v>
      </c>
      <c r="D598" s="257">
        <v>2014</v>
      </c>
      <c r="E598" s="128" t="s">
        <v>861</v>
      </c>
      <c r="F598" s="127" t="s">
        <v>53</v>
      </c>
      <c r="G598" s="127" t="s">
        <v>53</v>
      </c>
      <c r="H598" s="310">
        <f t="shared" si="221"/>
        <v>450000</v>
      </c>
      <c r="I598" s="310">
        <f t="shared" si="222"/>
        <v>400000</v>
      </c>
      <c r="J598" s="310">
        <f t="shared" si="209"/>
        <v>400000</v>
      </c>
      <c r="K598" s="310">
        <v>400000</v>
      </c>
      <c r="L598" s="130"/>
      <c r="M598" s="130"/>
      <c r="N598" s="130"/>
      <c r="O598" s="130"/>
      <c r="P598" s="130"/>
      <c r="Q598" s="130"/>
      <c r="R598" s="130"/>
      <c r="S598" s="130"/>
      <c r="T598" s="130"/>
      <c r="U598" s="130"/>
      <c r="V598" s="130"/>
      <c r="W598" s="130"/>
      <c r="X598" s="130"/>
      <c r="Y598" s="130"/>
      <c r="Z598" s="130"/>
      <c r="AA598" s="130"/>
      <c r="AB598" s="130"/>
      <c r="AC598" s="130"/>
      <c r="AD598" s="130"/>
      <c r="AE598" s="130"/>
      <c r="AF598" s="310">
        <v>50000</v>
      </c>
      <c r="AG598" s="310">
        <f t="shared" si="219"/>
        <v>400000</v>
      </c>
      <c r="AH598" s="310">
        <f t="shared" si="214"/>
        <v>400000</v>
      </c>
      <c r="AI598" s="310">
        <f t="shared" si="220"/>
        <v>400000</v>
      </c>
      <c r="AJ598" s="310">
        <v>400000</v>
      </c>
      <c r="AK598" s="130"/>
      <c r="AL598" s="130"/>
      <c r="AM598" s="130"/>
      <c r="AN598" s="130"/>
      <c r="AO598" s="130"/>
      <c r="AP598" s="130"/>
      <c r="AQ598" s="130"/>
      <c r="AR598" s="130"/>
      <c r="AS598" s="130"/>
      <c r="AT598" s="130"/>
      <c r="AU598" s="130"/>
      <c r="AV598" s="130"/>
      <c r="AW598" s="130"/>
      <c r="AX598" s="130"/>
      <c r="AY598" s="130"/>
      <c r="AZ598" s="130"/>
      <c r="BA598" s="130"/>
      <c r="BB598" s="130"/>
      <c r="BC598" s="130"/>
      <c r="BD598" s="130"/>
      <c r="BE598" s="471"/>
      <c r="BF598" s="127" t="s">
        <v>56</v>
      </c>
      <c r="BG598" s="128" t="s">
        <v>860</v>
      </c>
      <c r="BH598" s="133" t="s">
        <v>173</v>
      </c>
    </row>
    <row r="599" s="77" customFormat="1" ht="15" hidden="1" spans="1:60">
      <c r="A599" s="301">
        <v>592</v>
      </c>
      <c r="B599" s="127" t="s">
        <v>19</v>
      </c>
      <c r="C599" s="127" t="s">
        <v>20</v>
      </c>
      <c r="D599" s="257">
        <v>2015</v>
      </c>
      <c r="E599" s="128" t="s">
        <v>862</v>
      </c>
      <c r="F599" s="127" t="s">
        <v>53</v>
      </c>
      <c r="G599" s="127" t="s">
        <v>56</v>
      </c>
      <c r="H599" s="310">
        <f t="shared" si="221"/>
        <v>600000</v>
      </c>
      <c r="I599" s="310">
        <f t="shared" si="222"/>
        <v>550000</v>
      </c>
      <c r="J599" s="310">
        <f t="shared" si="209"/>
        <v>550000</v>
      </c>
      <c r="K599" s="310">
        <v>550000</v>
      </c>
      <c r="L599" s="130"/>
      <c r="M599" s="130"/>
      <c r="N599" s="130"/>
      <c r="O599" s="130"/>
      <c r="P599" s="130"/>
      <c r="Q599" s="130"/>
      <c r="R599" s="130"/>
      <c r="S599" s="130"/>
      <c r="T599" s="130"/>
      <c r="U599" s="130"/>
      <c r="V599" s="130"/>
      <c r="W599" s="130"/>
      <c r="X599" s="130"/>
      <c r="Y599" s="130"/>
      <c r="Z599" s="130"/>
      <c r="AA599" s="130"/>
      <c r="AB599" s="130"/>
      <c r="AC599" s="130"/>
      <c r="AD599" s="130"/>
      <c r="AE599" s="130"/>
      <c r="AF599" s="310">
        <v>50000</v>
      </c>
      <c r="AG599" s="310">
        <f t="shared" si="219"/>
        <v>600000</v>
      </c>
      <c r="AH599" s="310">
        <f t="shared" si="214"/>
        <v>550000</v>
      </c>
      <c r="AI599" s="310">
        <f t="shared" si="220"/>
        <v>550000</v>
      </c>
      <c r="AJ599" s="310">
        <v>550000</v>
      </c>
      <c r="AK599" s="130"/>
      <c r="AL599" s="130"/>
      <c r="AM599" s="130"/>
      <c r="AN599" s="130"/>
      <c r="AO599" s="130"/>
      <c r="AP599" s="130"/>
      <c r="AQ599" s="130"/>
      <c r="AR599" s="130"/>
      <c r="AS599" s="130"/>
      <c r="AT599" s="130"/>
      <c r="AU599" s="130"/>
      <c r="AV599" s="130"/>
      <c r="AW599" s="130"/>
      <c r="AX599" s="130"/>
      <c r="AY599" s="130"/>
      <c r="AZ599" s="130"/>
      <c r="BA599" s="130"/>
      <c r="BB599" s="130"/>
      <c r="BC599" s="130"/>
      <c r="BD599" s="130"/>
      <c r="BE599" s="471">
        <v>50000</v>
      </c>
      <c r="BF599" s="127" t="s">
        <v>56</v>
      </c>
      <c r="BG599" s="128" t="s">
        <v>863</v>
      </c>
      <c r="BH599" s="133" t="s">
        <v>173</v>
      </c>
    </row>
    <row r="600" s="77" customFormat="1" ht="15" hidden="1" spans="1:60">
      <c r="A600" s="301">
        <v>593</v>
      </c>
      <c r="B600" s="127" t="s">
        <v>19</v>
      </c>
      <c r="C600" s="127" t="s">
        <v>20</v>
      </c>
      <c r="D600" s="257">
        <v>2013</v>
      </c>
      <c r="E600" s="128" t="s">
        <v>864</v>
      </c>
      <c r="F600" s="127" t="s">
        <v>53</v>
      </c>
      <c r="G600" s="127" t="s">
        <v>56</v>
      </c>
      <c r="H600" s="310">
        <f t="shared" si="221"/>
        <v>500000</v>
      </c>
      <c r="I600" s="310">
        <f t="shared" si="222"/>
        <v>450000</v>
      </c>
      <c r="J600" s="310">
        <f t="shared" si="209"/>
        <v>450000</v>
      </c>
      <c r="K600" s="310">
        <v>450000</v>
      </c>
      <c r="L600" s="130"/>
      <c r="M600" s="130"/>
      <c r="N600" s="130"/>
      <c r="O600" s="130"/>
      <c r="P600" s="130"/>
      <c r="Q600" s="130"/>
      <c r="R600" s="130"/>
      <c r="S600" s="130"/>
      <c r="T600" s="130"/>
      <c r="U600" s="130"/>
      <c r="V600" s="130"/>
      <c r="W600" s="130"/>
      <c r="X600" s="130"/>
      <c r="Y600" s="130"/>
      <c r="Z600" s="130"/>
      <c r="AA600" s="130"/>
      <c r="AB600" s="130"/>
      <c r="AC600" s="130"/>
      <c r="AD600" s="130"/>
      <c r="AE600" s="130"/>
      <c r="AF600" s="310">
        <v>50000</v>
      </c>
      <c r="AG600" s="310">
        <f t="shared" si="219"/>
        <v>450000</v>
      </c>
      <c r="AH600" s="310">
        <f t="shared" si="214"/>
        <v>450000</v>
      </c>
      <c r="AI600" s="310">
        <f t="shared" si="220"/>
        <v>450000</v>
      </c>
      <c r="AJ600" s="310">
        <v>450000</v>
      </c>
      <c r="AK600" s="130"/>
      <c r="AL600" s="130"/>
      <c r="AM600" s="130"/>
      <c r="AN600" s="130"/>
      <c r="AO600" s="130"/>
      <c r="AP600" s="130"/>
      <c r="AQ600" s="130"/>
      <c r="AR600" s="130"/>
      <c r="AS600" s="130"/>
      <c r="AT600" s="130"/>
      <c r="AU600" s="130"/>
      <c r="AV600" s="130"/>
      <c r="AW600" s="130"/>
      <c r="AX600" s="130"/>
      <c r="AY600" s="130"/>
      <c r="AZ600" s="130"/>
      <c r="BA600" s="130"/>
      <c r="BB600" s="130"/>
      <c r="BC600" s="130"/>
      <c r="BD600" s="130"/>
      <c r="BE600" s="471"/>
      <c r="BF600" s="127" t="s">
        <v>56</v>
      </c>
      <c r="BG600" s="128" t="s">
        <v>863</v>
      </c>
      <c r="BH600" s="133" t="s">
        <v>173</v>
      </c>
    </row>
    <row r="601" s="77" customFormat="1" ht="15" hidden="1" spans="1:60">
      <c r="A601" s="301">
        <v>594</v>
      </c>
      <c r="B601" s="127" t="s">
        <v>19</v>
      </c>
      <c r="C601" s="127" t="s">
        <v>20</v>
      </c>
      <c r="D601" s="257">
        <v>2013</v>
      </c>
      <c r="E601" s="313" t="s">
        <v>865</v>
      </c>
      <c r="F601" s="127" t="s">
        <v>53</v>
      </c>
      <c r="G601" s="127" t="s">
        <v>53</v>
      </c>
      <c r="H601" s="310">
        <f t="shared" si="221"/>
        <v>400000</v>
      </c>
      <c r="I601" s="310">
        <f t="shared" si="222"/>
        <v>400000</v>
      </c>
      <c r="J601" s="310">
        <f t="shared" si="209"/>
        <v>400000</v>
      </c>
      <c r="K601" s="310">
        <v>400000</v>
      </c>
      <c r="L601" s="130"/>
      <c r="M601" s="130"/>
      <c r="N601" s="130"/>
      <c r="O601" s="130"/>
      <c r="P601" s="130"/>
      <c r="Q601" s="130"/>
      <c r="R601" s="130"/>
      <c r="S601" s="130"/>
      <c r="T601" s="130"/>
      <c r="U601" s="130"/>
      <c r="V601" s="130"/>
      <c r="W601" s="130"/>
      <c r="X601" s="130"/>
      <c r="Y601" s="130"/>
      <c r="Z601" s="130"/>
      <c r="AA601" s="130"/>
      <c r="AB601" s="130"/>
      <c r="AC601" s="130"/>
      <c r="AD601" s="130"/>
      <c r="AE601" s="130"/>
      <c r="AF601" s="310"/>
      <c r="AG601" s="310">
        <f t="shared" si="219"/>
        <v>400000</v>
      </c>
      <c r="AH601" s="310">
        <f t="shared" si="214"/>
        <v>400000</v>
      </c>
      <c r="AI601" s="310">
        <f t="shared" si="220"/>
        <v>400000</v>
      </c>
      <c r="AJ601" s="310">
        <v>400000</v>
      </c>
      <c r="AK601" s="130"/>
      <c r="AL601" s="130"/>
      <c r="AM601" s="130"/>
      <c r="AN601" s="130"/>
      <c r="AO601" s="130"/>
      <c r="AP601" s="130"/>
      <c r="AQ601" s="130"/>
      <c r="AR601" s="130"/>
      <c r="AS601" s="130"/>
      <c r="AT601" s="130"/>
      <c r="AU601" s="130"/>
      <c r="AV601" s="130"/>
      <c r="AW601" s="130"/>
      <c r="AX601" s="130"/>
      <c r="AY601" s="130"/>
      <c r="AZ601" s="130"/>
      <c r="BA601" s="130"/>
      <c r="BB601" s="130"/>
      <c r="BC601" s="130"/>
      <c r="BD601" s="130"/>
      <c r="BE601" s="471"/>
      <c r="BF601" s="127" t="s">
        <v>56</v>
      </c>
      <c r="BG601" s="128" t="s">
        <v>707</v>
      </c>
      <c r="BH601" s="133" t="s">
        <v>173</v>
      </c>
    </row>
    <row r="602" s="270" customFormat="1" ht="15" hidden="1" spans="1:60">
      <c r="A602" s="301">
        <v>595</v>
      </c>
      <c r="B602" s="238" t="s">
        <v>19</v>
      </c>
      <c r="C602" s="238" t="s">
        <v>20</v>
      </c>
      <c r="D602" s="262">
        <v>2016</v>
      </c>
      <c r="E602" s="263" t="s">
        <v>866</v>
      </c>
      <c r="F602" s="238" t="s">
        <v>53</v>
      </c>
      <c r="G602" s="238" t="s">
        <v>53</v>
      </c>
      <c r="H602" s="304">
        <f t="shared" si="221"/>
        <v>2657300</v>
      </c>
      <c r="I602" s="304">
        <f t="shared" si="222"/>
        <v>2393700</v>
      </c>
      <c r="J602" s="304">
        <f t="shared" si="209"/>
        <v>2393700</v>
      </c>
      <c r="K602" s="470">
        <v>2393700</v>
      </c>
      <c r="L602" s="470"/>
      <c r="M602" s="470"/>
      <c r="N602" s="470"/>
      <c r="O602" s="470"/>
      <c r="P602" s="470"/>
      <c r="Q602" s="470"/>
      <c r="R602" s="470"/>
      <c r="S602" s="470"/>
      <c r="T602" s="470"/>
      <c r="U602" s="470"/>
      <c r="V602" s="470"/>
      <c r="W602" s="470"/>
      <c r="X602" s="470"/>
      <c r="Y602" s="470"/>
      <c r="Z602" s="470"/>
      <c r="AA602" s="470"/>
      <c r="AB602" s="470"/>
      <c r="AC602" s="470"/>
      <c r="AD602" s="470"/>
      <c r="AE602" s="470"/>
      <c r="AF602" s="470">
        <v>263600</v>
      </c>
      <c r="AG602" s="304">
        <f t="shared" si="219"/>
        <v>2657300</v>
      </c>
      <c r="AH602" s="304">
        <f t="shared" si="214"/>
        <v>2393700</v>
      </c>
      <c r="AI602" s="304">
        <f t="shared" si="220"/>
        <v>2393700</v>
      </c>
      <c r="AJ602" s="470">
        <v>2393700</v>
      </c>
      <c r="AK602" s="470"/>
      <c r="AL602" s="470"/>
      <c r="AM602" s="470"/>
      <c r="AN602" s="470"/>
      <c r="AO602" s="470"/>
      <c r="AP602" s="470"/>
      <c r="AQ602" s="470"/>
      <c r="AR602" s="470"/>
      <c r="AS602" s="470"/>
      <c r="AT602" s="470"/>
      <c r="AU602" s="470"/>
      <c r="AV602" s="470"/>
      <c r="AW602" s="470"/>
      <c r="AX602" s="470"/>
      <c r="AY602" s="470"/>
      <c r="AZ602" s="470"/>
      <c r="BA602" s="470"/>
      <c r="BB602" s="470"/>
      <c r="BC602" s="470"/>
      <c r="BD602" s="470"/>
      <c r="BE602" s="470">
        <v>263600</v>
      </c>
      <c r="BF602" s="238" t="s">
        <v>53</v>
      </c>
      <c r="BG602" s="263" t="s">
        <v>107</v>
      </c>
      <c r="BH602" s="306" t="s">
        <v>240</v>
      </c>
    </row>
    <row r="603" ht="13" customHeight="1"/>
    <row r="604" spans="1:60">
      <c r="E604" s="475" t="s">
        <v>154</v>
      </c>
    </row>
    <row r="605" spans="1:60">
      <c r="E605" s="476" t="s">
        <v>867</v>
      </c>
    </row>
    <row r="611" spans="5:5">
      <c r="E611" s="280" t="s">
        <v>868</v>
      </c>
    </row>
    <row r="612" spans="5:5">
      <c r="E612" s="476" t="s">
        <v>869</v>
      </c>
    </row>
  </sheetData>
  <sheetProtection formatCells="0" formatColumns="0" formatRows="0" insertRows="0" insertColumns="0" insertHyperlinks="0" deleteColumns="0" deleteRows="0" sort="0" autoFilter="0" pivotTables="0"/>
  <autoFilter xmlns:etc="http://www.wps.cn/officeDocument/2017/etCustomData" ref="A6:BI602" etc:filterBottomFollowUsedRange="0">
    <filterColumn colId="4">
      <filters>
        <filter val="察隅县易地扶贫搬迁格巴村级活动场所建设项目"/>
      </filters>
    </filterColumn>
    <extLst/>
  </autoFilter>
  <mergeCells count="38">
    <mergeCell ref="A1:BE1"/>
    <mergeCell ref="H2:AF2"/>
    <mergeCell ref="AG2:BE2"/>
    <mergeCell ref="I3:AE3"/>
    <mergeCell ref="AH3:BD3"/>
    <mergeCell ref="J4:N4"/>
    <mergeCell ref="O4:S4"/>
    <mergeCell ref="T4:X4"/>
    <mergeCell ref="Y4:AB4"/>
    <mergeCell ref="AI4:AM4"/>
    <mergeCell ref="AN4:AR4"/>
    <mergeCell ref="AS4:AW4"/>
    <mergeCell ref="AX4:BA4"/>
    <mergeCell ref="J6:AF6"/>
    <mergeCell ref="AI6:BE6"/>
    <mergeCell ref="A7:E7"/>
    <mergeCell ref="A2:A5"/>
    <mergeCell ref="B2:B5"/>
    <mergeCell ref="C2:C5"/>
    <mergeCell ref="D2:D5"/>
    <mergeCell ref="E2:E5"/>
    <mergeCell ref="F2:F5"/>
    <mergeCell ref="G2:G5"/>
    <mergeCell ref="H3:H5"/>
    <mergeCell ref="I4:I5"/>
    <mergeCell ref="AC4:AC5"/>
    <mergeCell ref="AD4:AD5"/>
    <mergeCell ref="AE4:AE5"/>
    <mergeCell ref="AF3:AF5"/>
    <mergeCell ref="AG3:AG5"/>
    <mergeCell ref="AH4:AH5"/>
    <mergeCell ref="BB4:BB5"/>
    <mergeCell ref="BC4:BC5"/>
    <mergeCell ref="BD4:BD5"/>
    <mergeCell ref="BE3:BE5"/>
    <mergeCell ref="BF2:BF5"/>
    <mergeCell ref="BG2:BG5"/>
    <mergeCell ref="BH2:BH5"/>
  </mergeCells>
  <conditionalFormatting sqref="E1:E430 E432:E445 E447 E450:E453 E455:E465 E467:E516 E518:E550 E552:E1048576">
    <cfRule type="duplicateValues" dxfId="0" priority="2"/>
  </conditionalFormatting>
  <conditionalFormatting sqref="E1:E200 E202:E430 E432:E440 E442:E445 E447 E450:E453 E455:E456 E459:E465 E467:E490 E492:E516 E518:E521 E523:E550 E552:E586 E588:E1048576">
    <cfRule type="duplicateValues" dxfId="1" priority="6"/>
  </conditionalFormatting>
  <pageMargins left="0.700694444444445" right="0.700694444444445" top="0.751388888888889" bottom="0.751388888888889" header="0.298611111111111" footer="0.298611111111111"/>
  <pageSetup paperSize="9" scale="12" fitToHeight="0" orientation="landscape" horizontalDpi="6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pageSetUpPr fitToPage="1"/>
  </sheetPr>
  <dimension ref="A1:AH239"/>
  <sheetViews>
    <sheetView zoomScale="70" zoomScaleNormal="70" workbookViewId="0">
      <pane xSplit="5" ySplit="4" topLeftCell="F5" activePane="bottomRight" state="frozen"/>
      <selection/>
      <selection pane="topRight"/>
      <selection pane="bottomLeft"/>
      <selection pane="bottomRight" activeCell="E239" sqref="E239"/>
    </sheetView>
  </sheetViews>
  <sheetFormatPr defaultColWidth="9" defaultRowHeight="14"/>
  <cols>
    <col min="1" max="1" width="18.7636363636364" style="80" customWidth="1"/>
    <col min="2" max="2" width="11.2090909090909" style="32" customWidth="1"/>
    <col min="3" max="4" width="9" style="32"/>
    <col min="5" max="5" width="53.2727272727273" style="158" customWidth="1"/>
    <col min="6" max="6" width="24.8181818181818" style="32" customWidth="1"/>
    <col min="7" max="7" width="23.8727272727273" style="32" customWidth="1"/>
    <col min="8" max="8" width="76.2545454545455" style="159" customWidth="1"/>
    <col min="9" max="9" width="11.5" style="32" customWidth="1"/>
    <col min="10" max="10" width="15.7545454545455" style="32" customWidth="1"/>
    <col min="11" max="11" width="16.6272727272727" style="32" customWidth="1"/>
    <col min="12" max="12" width="16" style="32" customWidth="1"/>
    <col min="13" max="13" width="15.7545454545455" style="32" customWidth="1"/>
    <col min="14" max="14" width="14.6272727272727" style="32" customWidth="1"/>
    <col min="15" max="15" width="8.62727272727273" style="32" customWidth="1"/>
    <col min="16" max="16" width="23.1272727272727" style="32" customWidth="1"/>
    <col min="17" max="17" width="9" style="32" customWidth="1"/>
    <col min="18" max="18" width="12.7272727272727" style="154" customWidth="1"/>
    <col min="19" max="20" width="9" style="32" hidden="1" customWidth="1"/>
    <col min="21" max="21" width="13.0545454545455" style="32" hidden="1" customWidth="1"/>
    <col min="22" max="22" width="25.1363636363636" style="32" hidden="1" customWidth="1"/>
    <col min="23" max="23" width="9" style="32" hidden="1" customWidth="1"/>
    <col min="24" max="24" width="11.8727272727273" style="32" hidden="1" customWidth="1"/>
    <col min="25" max="25" width="12.2636363636364" style="32" hidden="1" customWidth="1"/>
    <col min="26" max="26" width="17.5" style="32" hidden="1" customWidth="1"/>
    <col min="27" max="27" width="9" style="32" hidden="1" customWidth="1"/>
    <col min="28" max="28" width="22.6181818181818" style="32" hidden="1" customWidth="1"/>
    <col min="29" max="29" width="36.2545454545455" style="32" hidden="1" customWidth="1"/>
    <col min="30" max="30" width="10.7272727272727" style="32" customWidth="1"/>
    <col min="31" max="31" width="91.6363636363636" style="32" customWidth="1"/>
    <col min="32" max="32" width="14.5454545454545" style="32" customWidth="1"/>
    <col min="33" max="16384" width="9" style="32"/>
  </cols>
  <sheetData>
    <row r="1" ht="59" customHeight="1" spans="1:34">
      <c r="A1" s="160" t="s">
        <v>870</v>
      </c>
      <c r="B1" s="160"/>
      <c r="C1" s="160"/>
      <c r="D1" s="160"/>
      <c r="E1" s="161"/>
      <c r="F1" s="160"/>
      <c r="G1" s="160"/>
      <c r="H1" s="160"/>
      <c r="I1" s="160"/>
      <c r="J1" s="160"/>
      <c r="K1" s="160"/>
      <c r="L1" s="160"/>
      <c r="M1" s="160"/>
      <c r="N1" s="160"/>
      <c r="O1" s="160"/>
      <c r="P1" s="160"/>
      <c r="Q1" s="160"/>
      <c r="R1" s="160"/>
      <c r="S1" s="160"/>
      <c r="T1" s="160"/>
      <c r="U1" s="160"/>
      <c r="V1" s="160"/>
      <c r="W1" s="160"/>
      <c r="X1" s="160"/>
      <c r="Y1" s="160"/>
      <c r="Z1" s="160"/>
      <c r="AA1" s="160"/>
      <c r="AB1" s="160"/>
      <c r="AC1" s="160"/>
    </row>
    <row r="2" ht="34" customHeight="1" spans="1:34">
      <c r="A2" s="162" t="s">
        <v>871</v>
      </c>
      <c r="B2" s="163" t="s">
        <v>872</v>
      </c>
      <c r="C2" s="163" t="s">
        <v>873</v>
      </c>
      <c r="D2" s="163" t="s">
        <v>874</v>
      </c>
      <c r="E2" s="163" t="s">
        <v>875</v>
      </c>
      <c r="F2" s="163" t="s">
        <v>30</v>
      </c>
      <c r="G2" s="163" t="s">
        <v>876</v>
      </c>
      <c r="H2" s="163" t="s">
        <v>877</v>
      </c>
      <c r="I2" s="164" t="s">
        <v>878</v>
      </c>
      <c r="J2" s="164"/>
      <c r="K2" s="164"/>
      <c r="L2" s="164" t="s">
        <v>879</v>
      </c>
      <c r="M2" s="164"/>
      <c r="N2" s="164"/>
      <c r="O2" s="163" t="s">
        <v>880</v>
      </c>
      <c r="P2" s="163" t="s">
        <v>881</v>
      </c>
      <c r="Q2" s="163" t="s">
        <v>882</v>
      </c>
      <c r="R2" s="165" t="s">
        <v>883</v>
      </c>
      <c r="S2" s="164" t="s">
        <v>884</v>
      </c>
      <c r="T2" s="164" t="s">
        <v>885</v>
      </c>
      <c r="U2" s="166" t="s">
        <v>886</v>
      </c>
      <c r="V2" s="167"/>
      <c r="W2" s="164" t="s">
        <v>887</v>
      </c>
      <c r="X2" s="164" t="s">
        <v>888</v>
      </c>
      <c r="Y2" s="164" t="s">
        <v>889</v>
      </c>
      <c r="Z2" s="164" t="s">
        <v>890</v>
      </c>
      <c r="AA2" s="164" t="s">
        <v>891</v>
      </c>
      <c r="AB2" s="164" t="s">
        <v>892</v>
      </c>
      <c r="AC2" s="163" t="s">
        <v>893</v>
      </c>
      <c r="AD2" s="168" t="s">
        <v>894</v>
      </c>
      <c r="AE2" s="169" t="s">
        <v>895</v>
      </c>
      <c r="AF2" s="170" t="s">
        <v>896</v>
      </c>
      <c r="AG2" s="170" t="s">
        <v>897</v>
      </c>
      <c r="AH2" s="170" t="s">
        <v>898</v>
      </c>
    </row>
    <row r="3" ht="29" customHeight="1" spans="1:34">
      <c r="A3" s="162"/>
      <c r="B3" s="163"/>
      <c r="C3" s="163"/>
      <c r="D3" s="163"/>
      <c r="E3" s="163"/>
      <c r="F3" s="163"/>
      <c r="G3" s="163"/>
      <c r="H3" s="163"/>
      <c r="I3" s="163" t="s">
        <v>5</v>
      </c>
      <c r="J3" s="163" t="s">
        <v>899</v>
      </c>
      <c r="K3" s="163" t="s">
        <v>900</v>
      </c>
      <c r="L3" s="163" t="s">
        <v>5</v>
      </c>
      <c r="M3" s="163" t="s">
        <v>899</v>
      </c>
      <c r="N3" s="163" t="s">
        <v>900</v>
      </c>
      <c r="O3" s="163"/>
      <c r="P3" s="163"/>
      <c r="Q3" s="163"/>
      <c r="R3" s="165"/>
      <c r="S3" s="164"/>
      <c r="T3" s="164"/>
      <c r="U3" s="164" t="s">
        <v>901</v>
      </c>
      <c r="V3" s="164" t="s">
        <v>902</v>
      </c>
      <c r="W3" s="164"/>
      <c r="X3" s="164"/>
      <c r="Y3" s="164"/>
      <c r="Z3" s="164"/>
      <c r="AA3" s="164"/>
      <c r="AB3" s="164"/>
      <c r="AC3" s="163"/>
      <c r="AD3" s="168"/>
      <c r="AE3" s="169"/>
      <c r="AF3" s="171"/>
      <c r="AG3" s="172"/>
      <c r="AH3" s="171"/>
    </row>
    <row r="4" ht="98" spans="1:34">
      <c r="A4" s="35" t="s">
        <v>903</v>
      </c>
      <c r="B4" s="7"/>
      <c r="C4" s="7"/>
      <c r="D4" s="7" t="s">
        <v>904</v>
      </c>
      <c r="E4" s="173"/>
      <c r="F4" s="7"/>
      <c r="G4" s="7" t="s">
        <v>905</v>
      </c>
      <c r="H4" s="7" t="s">
        <v>906</v>
      </c>
      <c r="I4" s="7" t="s">
        <v>907</v>
      </c>
      <c r="J4" s="7"/>
      <c r="K4" s="7"/>
      <c r="L4" s="7" t="s">
        <v>907</v>
      </c>
      <c r="M4" s="7"/>
      <c r="N4" s="7"/>
      <c r="O4" s="7" t="s">
        <v>908</v>
      </c>
      <c r="P4" s="7" t="s">
        <v>909</v>
      </c>
      <c r="Q4" s="7" t="s">
        <v>910</v>
      </c>
      <c r="R4" s="174" t="s">
        <v>911</v>
      </c>
      <c r="S4" s="175" t="s">
        <v>912</v>
      </c>
      <c r="T4" s="175" t="s">
        <v>913</v>
      </c>
      <c r="U4" s="7" t="s">
        <v>914</v>
      </c>
      <c r="V4" s="176"/>
      <c r="W4" s="175" t="s">
        <v>912</v>
      </c>
      <c r="X4" s="175" t="s">
        <v>915</v>
      </c>
      <c r="Y4" s="175" t="s">
        <v>916</v>
      </c>
      <c r="Z4" s="177"/>
      <c r="AA4" s="177"/>
      <c r="AB4" s="178" t="s">
        <v>917</v>
      </c>
      <c r="AC4" s="7"/>
      <c r="AD4" s="168" t="s">
        <v>47</v>
      </c>
      <c r="AE4" s="159" t="s">
        <v>51</v>
      </c>
      <c r="AF4" s="168" t="s">
        <v>47</v>
      </c>
      <c r="AG4" s="171"/>
      <c r="AH4" s="168" t="s">
        <v>47</v>
      </c>
    </row>
    <row r="5" s="150" customFormat="1" hidden="1" spans="1:34">
      <c r="A5" s="118">
        <v>540425201320001</v>
      </c>
      <c r="B5" s="110" t="s">
        <v>19</v>
      </c>
      <c r="C5" s="110" t="s">
        <v>20</v>
      </c>
      <c r="D5" s="110">
        <v>2013</v>
      </c>
      <c r="E5" s="179" t="s">
        <v>356</v>
      </c>
      <c r="F5" s="110" t="s">
        <v>124</v>
      </c>
      <c r="G5" s="110" t="s">
        <v>918</v>
      </c>
      <c r="H5" s="110" t="s">
        <v>919</v>
      </c>
      <c r="I5" s="180">
        <f t="shared" ref="I5:I11" si="0">J5+K5</f>
        <v>24</v>
      </c>
      <c r="J5" s="180">
        <v>24</v>
      </c>
      <c r="K5" s="180">
        <v>0</v>
      </c>
      <c r="L5" s="180">
        <f t="shared" ref="L5:L11" si="1">M5+N5</f>
        <v>24</v>
      </c>
      <c r="M5" s="180">
        <v>24</v>
      </c>
      <c r="N5" s="180">
        <v>0</v>
      </c>
      <c r="O5" s="181" t="s">
        <v>920</v>
      </c>
      <c r="P5" s="110" t="s">
        <v>921</v>
      </c>
      <c r="Q5" s="110" t="s">
        <v>922</v>
      </c>
      <c r="R5" s="182" t="s">
        <v>922</v>
      </c>
      <c r="S5" s="110" t="s">
        <v>56</v>
      </c>
      <c r="T5" s="110"/>
      <c r="U5" s="110"/>
      <c r="V5" s="110"/>
      <c r="W5" s="110"/>
      <c r="X5" s="110"/>
      <c r="Y5" s="110"/>
      <c r="Z5" s="110"/>
      <c r="AA5" s="110"/>
      <c r="AB5" s="110"/>
      <c r="AC5" s="110"/>
      <c r="AD5" s="108" t="s">
        <v>56</v>
      </c>
      <c r="AE5" s="183" t="s">
        <v>239</v>
      </c>
      <c r="AF5" s="108" t="s">
        <v>56</v>
      </c>
      <c r="AG5" s="108" t="s">
        <v>53</v>
      </c>
      <c r="AH5" s="108" t="s">
        <v>53</v>
      </c>
    </row>
    <row r="6" s="150" customFormat="1" ht="70" hidden="1" spans="1:34">
      <c r="A6" s="118">
        <v>540425201517002</v>
      </c>
      <c r="B6" s="110" t="s">
        <v>19</v>
      </c>
      <c r="C6" s="110" t="s">
        <v>20</v>
      </c>
      <c r="D6" s="110">
        <v>2015</v>
      </c>
      <c r="E6" s="184" t="s">
        <v>369</v>
      </c>
      <c r="F6" s="181" t="s">
        <v>371</v>
      </c>
      <c r="G6" s="110" t="s">
        <v>923</v>
      </c>
      <c r="H6" s="110" t="s">
        <v>924</v>
      </c>
      <c r="I6" s="180">
        <f t="shared" si="0"/>
        <v>500</v>
      </c>
      <c r="J6" s="185">
        <v>500</v>
      </c>
      <c r="K6" s="185">
        <v>0</v>
      </c>
      <c r="L6" s="180">
        <f t="shared" si="1"/>
        <v>500</v>
      </c>
      <c r="M6" s="185">
        <v>500</v>
      </c>
      <c r="N6" s="185">
        <v>0</v>
      </c>
      <c r="O6" s="186" t="s">
        <v>925</v>
      </c>
      <c r="P6" s="108" t="s">
        <v>926</v>
      </c>
      <c r="Q6" s="110" t="s">
        <v>927</v>
      </c>
      <c r="R6" s="182"/>
      <c r="S6" s="187"/>
      <c r="T6" s="187"/>
      <c r="U6" s="187"/>
      <c r="V6" s="187"/>
      <c r="W6" s="187"/>
      <c r="X6" s="187"/>
      <c r="Y6" s="187"/>
      <c r="Z6" s="187"/>
      <c r="AA6" s="187"/>
      <c r="AB6" s="187"/>
      <c r="AC6" s="187"/>
      <c r="AD6" s="108" t="s">
        <v>56</v>
      </c>
      <c r="AE6" s="188" t="s">
        <v>370</v>
      </c>
      <c r="AF6" s="108" t="s">
        <v>56</v>
      </c>
      <c r="AG6" s="108" t="s">
        <v>53</v>
      </c>
      <c r="AH6" s="108"/>
    </row>
    <row r="7" s="151" customFormat="1" hidden="1" spans="1:34">
      <c r="A7" s="189">
        <v>540425201517003</v>
      </c>
      <c r="B7" s="190" t="s">
        <v>19</v>
      </c>
      <c r="C7" s="190" t="s">
        <v>20</v>
      </c>
      <c r="D7" s="190">
        <v>2015</v>
      </c>
      <c r="E7" s="191" t="s">
        <v>928</v>
      </c>
      <c r="F7" s="190" t="s">
        <v>381</v>
      </c>
      <c r="G7" s="190" t="s">
        <v>923</v>
      </c>
      <c r="H7" s="190" t="s">
        <v>929</v>
      </c>
      <c r="I7" s="192">
        <f t="shared" si="0"/>
        <v>200</v>
      </c>
      <c r="J7" s="192">
        <v>200</v>
      </c>
      <c r="K7" s="192">
        <v>0</v>
      </c>
      <c r="L7" s="192">
        <f t="shared" si="1"/>
        <v>200</v>
      </c>
      <c r="M7" s="192">
        <v>200</v>
      </c>
      <c r="N7" s="192">
        <v>0</v>
      </c>
      <c r="O7" s="193" t="s">
        <v>920</v>
      </c>
      <c r="P7" s="190" t="s">
        <v>926</v>
      </c>
      <c r="Q7" s="190" t="s">
        <v>927</v>
      </c>
      <c r="R7" s="194" t="s">
        <v>922</v>
      </c>
      <c r="S7" s="187" t="s">
        <v>56</v>
      </c>
      <c r="T7" s="187" t="s">
        <v>930</v>
      </c>
      <c r="U7" s="187" t="s">
        <v>931</v>
      </c>
      <c r="V7" s="187" t="s">
        <v>932</v>
      </c>
      <c r="W7" s="187" t="s">
        <v>56</v>
      </c>
      <c r="X7" s="187"/>
      <c r="Y7" s="187"/>
      <c r="Z7" s="187"/>
      <c r="AA7" s="187"/>
      <c r="AB7" s="187" t="s">
        <v>933</v>
      </c>
      <c r="AC7" s="187"/>
      <c r="AD7" s="195" t="s">
        <v>56</v>
      </c>
      <c r="AE7" s="196" t="s">
        <v>380</v>
      </c>
      <c r="AF7" s="195" t="s">
        <v>56</v>
      </c>
      <c r="AG7" s="197" t="s">
        <v>53</v>
      </c>
      <c r="AH7" s="197"/>
    </row>
    <row r="8" s="151" customFormat="1" hidden="1" spans="1:34">
      <c r="A8" s="189">
        <v>540425201619002</v>
      </c>
      <c r="B8" s="190" t="s">
        <v>19</v>
      </c>
      <c r="C8" s="190" t="s">
        <v>20</v>
      </c>
      <c r="D8" s="190">
        <v>2016</v>
      </c>
      <c r="E8" s="191" t="s">
        <v>389</v>
      </c>
      <c r="F8" s="190" t="s">
        <v>82</v>
      </c>
      <c r="G8" s="190" t="s">
        <v>465</v>
      </c>
      <c r="H8" s="190" t="s">
        <v>934</v>
      </c>
      <c r="I8" s="192">
        <f t="shared" si="0"/>
        <v>150</v>
      </c>
      <c r="J8" s="192">
        <v>150</v>
      </c>
      <c r="K8" s="192">
        <v>0</v>
      </c>
      <c r="L8" s="192">
        <f t="shared" si="1"/>
        <v>60</v>
      </c>
      <c r="M8" s="192">
        <v>60</v>
      </c>
      <c r="N8" s="192">
        <v>0</v>
      </c>
      <c r="O8" s="193" t="s">
        <v>920</v>
      </c>
      <c r="P8" s="190" t="s">
        <v>935</v>
      </c>
      <c r="Q8" s="190" t="s">
        <v>927</v>
      </c>
      <c r="R8" s="194" t="s">
        <v>922</v>
      </c>
      <c r="S8" s="187" t="s">
        <v>56</v>
      </c>
      <c r="T8" s="187"/>
      <c r="U8" s="187"/>
      <c r="V8" s="187"/>
      <c r="W8" s="187"/>
      <c r="X8" s="187"/>
      <c r="Y8" s="187"/>
      <c r="Z8" s="187"/>
      <c r="AA8" s="187"/>
      <c r="AB8" s="187"/>
      <c r="AC8" s="187"/>
      <c r="AD8" s="195" t="s">
        <v>56</v>
      </c>
      <c r="AE8" s="196" t="s">
        <v>390</v>
      </c>
      <c r="AF8" s="195" t="s">
        <v>56</v>
      </c>
      <c r="AG8" s="197" t="s">
        <v>53</v>
      </c>
      <c r="AH8" s="197"/>
    </row>
    <row r="9" s="151" customFormat="1" ht="42" hidden="1" spans="1:34">
      <c r="A9" s="189">
        <v>540425201604002</v>
      </c>
      <c r="B9" s="190" t="s">
        <v>19</v>
      </c>
      <c r="C9" s="190" t="s">
        <v>20</v>
      </c>
      <c r="D9" s="190">
        <v>2016</v>
      </c>
      <c r="E9" s="198" t="s">
        <v>397</v>
      </c>
      <c r="F9" s="190" t="s">
        <v>176</v>
      </c>
      <c r="G9" s="190" t="s">
        <v>20</v>
      </c>
      <c r="H9" s="190" t="s">
        <v>936</v>
      </c>
      <c r="I9" s="192">
        <f t="shared" si="0"/>
        <v>577</v>
      </c>
      <c r="J9" s="199">
        <v>577</v>
      </c>
      <c r="K9" s="199">
        <v>0</v>
      </c>
      <c r="L9" s="192">
        <f t="shared" si="1"/>
        <v>577</v>
      </c>
      <c r="M9" s="199">
        <v>577</v>
      </c>
      <c r="N9" s="199">
        <v>0</v>
      </c>
      <c r="O9" s="200" t="s">
        <v>937</v>
      </c>
      <c r="P9" s="195" t="s">
        <v>938</v>
      </c>
      <c r="Q9" s="190" t="s">
        <v>939</v>
      </c>
      <c r="R9" s="201"/>
      <c r="S9" s="187"/>
      <c r="T9" s="202"/>
      <c r="U9" s="202"/>
      <c r="V9" s="202"/>
      <c r="W9" s="202"/>
      <c r="X9" s="202"/>
      <c r="Y9" s="202"/>
      <c r="Z9" s="202"/>
      <c r="AA9" s="202"/>
      <c r="AB9" s="202"/>
      <c r="AC9" s="202"/>
      <c r="AD9" s="195" t="s">
        <v>56</v>
      </c>
      <c r="AE9" s="196" t="s">
        <v>390</v>
      </c>
      <c r="AF9" s="195" t="s">
        <v>56</v>
      </c>
      <c r="AG9" s="197" t="s">
        <v>53</v>
      </c>
      <c r="AH9" s="197"/>
    </row>
    <row r="10" s="151" customFormat="1" ht="28" hidden="1" spans="1:34">
      <c r="A10" s="189">
        <v>540425201606001</v>
      </c>
      <c r="B10" s="190" t="s">
        <v>19</v>
      </c>
      <c r="C10" s="190" t="s">
        <v>20</v>
      </c>
      <c r="D10" s="190">
        <v>2016</v>
      </c>
      <c r="E10" s="198" t="s">
        <v>398</v>
      </c>
      <c r="F10" s="190" t="s">
        <v>176</v>
      </c>
      <c r="G10" s="190" t="s">
        <v>20</v>
      </c>
      <c r="H10" s="190" t="s">
        <v>940</v>
      </c>
      <c r="I10" s="192">
        <f t="shared" si="0"/>
        <v>30</v>
      </c>
      <c r="J10" s="199">
        <v>30</v>
      </c>
      <c r="K10" s="199">
        <v>0</v>
      </c>
      <c r="L10" s="192">
        <f t="shared" si="1"/>
        <v>30</v>
      </c>
      <c r="M10" s="199">
        <v>30</v>
      </c>
      <c r="N10" s="199">
        <v>0</v>
      </c>
      <c r="O10" s="200" t="s">
        <v>937</v>
      </c>
      <c r="P10" s="195" t="s">
        <v>941</v>
      </c>
      <c r="Q10" s="190" t="s">
        <v>939</v>
      </c>
      <c r="R10" s="194"/>
      <c r="S10" s="187"/>
      <c r="T10" s="187"/>
      <c r="U10" s="187"/>
      <c r="V10" s="187"/>
      <c r="W10" s="187"/>
      <c r="X10" s="187"/>
      <c r="Y10" s="187"/>
      <c r="Z10" s="187"/>
      <c r="AA10" s="187"/>
      <c r="AB10" s="187"/>
      <c r="AC10" s="187"/>
      <c r="AD10" s="195" t="s">
        <v>56</v>
      </c>
      <c r="AE10" s="196" t="s">
        <v>390</v>
      </c>
      <c r="AF10" s="195" t="s">
        <v>56</v>
      </c>
      <c r="AG10" s="197" t="s">
        <v>53</v>
      </c>
      <c r="AH10" s="197"/>
    </row>
    <row r="11" s="151" customFormat="1" ht="56" hidden="1" spans="1:34">
      <c r="A11" s="189">
        <v>540425201619003</v>
      </c>
      <c r="B11" s="190" t="s">
        <v>19</v>
      </c>
      <c r="C11" s="190" t="s">
        <v>20</v>
      </c>
      <c r="D11" s="190">
        <v>2016</v>
      </c>
      <c r="E11" s="198" t="s">
        <v>399</v>
      </c>
      <c r="F11" s="190" t="s">
        <v>176</v>
      </c>
      <c r="G11" s="190" t="s">
        <v>942</v>
      </c>
      <c r="H11" s="190" t="s">
        <v>943</v>
      </c>
      <c r="I11" s="192">
        <f t="shared" si="0"/>
        <v>27</v>
      </c>
      <c r="J11" s="199">
        <v>27</v>
      </c>
      <c r="K11" s="199">
        <v>0</v>
      </c>
      <c r="L11" s="192">
        <f t="shared" si="1"/>
        <v>27</v>
      </c>
      <c r="M11" s="199">
        <v>27</v>
      </c>
      <c r="N11" s="199">
        <v>0</v>
      </c>
      <c r="O11" s="200" t="s">
        <v>937</v>
      </c>
      <c r="P11" s="195" t="s">
        <v>944</v>
      </c>
      <c r="Q11" s="190" t="s">
        <v>922</v>
      </c>
      <c r="R11" s="194"/>
      <c r="S11" s="187"/>
      <c r="T11" s="187"/>
      <c r="U11" s="187"/>
      <c r="V11" s="187"/>
      <c r="W11" s="187"/>
      <c r="X11" s="187"/>
      <c r="Y11" s="187"/>
      <c r="Z11" s="187"/>
      <c r="AA11" s="187"/>
      <c r="AB11" s="187"/>
      <c r="AC11" s="187"/>
      <c r="AD11" s="195" t="s">
        <v>56</v>
      </c>
      <c r="AE11" s="196" t="s">
        <v>390</v>
      </c>
      <c r="AF11" s="195" t="s">
        <v>53</v>
      </c>
      <c r="AG11" s="197" t="s">
        <v>53</v>
      </c>
      <c r="AH11" s="197"/>
    </row>
    <row r="12" s="151" customFormat="1" hidden="1" spans="1:34">
      <c r="A12" s="189">
        <v>540425201619005</v>
      </c>
      <c r="B12" s="190" t="s">
        <v>19</v>
      </c>
      <c r="C12" s="190" t="s">
        <v>20</v>
      </c>
      <c r="D12" s="190">
        <v>2016</v>
      </c>
      <c r="E12" s="191" t="s">
        <v>413</v>
      </c>
      <c r="F12" s="190" t="s">
        <v>82</v>
      </c>
      <c r="G12" s="190" t="s">
        <v>945</v>
      </c>
      <c r="H12" s="190" t="s">
        <v>946</v>
      </c>
      <c r="I12" s="192">
        <f t="shared" ref="I12:I22" si="2">J12+K12</f>
        <v>85</v>
      </c>
      <c r="J12" s="192">
        <v>85</v>
      </c>
      <c r="K12" s="192">
        <v>0</v>
      </c>
      <c r="L12" s="192">
        <f t="shared" ref="L12:L22" si="3">M12+N12</f>
        <v>85</v>
      </c>
      <c r="M12" s="192">
        <v>85</v>
      </c>
      <c r="N12" s="192">
        <v>0</v>
      </c>
      <c r="O12" s="193" t="s">
        <v>920</v>
      </c>
      <c r="P12" s="190" t="s">
        <v>944</v>
      </c>
      <c r="Q12" s="190" t="s">
        <v>922</v>
      </c>
      <c r="R12" s="194" t="s">
        <v>922</v>
      </c>
      <c r="S12" s="187" t="s">
        <v>56</v>
      </c>
      <c r="T12" s="187"/>
      <c r="U12" s="187"/>
      <c r="V12" s="187"/>
      <c r="W12" s="187"/>
      <c r="X12" s="187"/>
      <c r="Y12" s="187"/>
      <c r="Z12" s="187"/>
      <c r="AA12" s="187"/>
      <c r="AB12" s="187"/>
      <c r="AC12" s="187" t="s">
        <v>947</v>
      </c>
      <c r="AD12" s="195" t="s">
        <v>56</v>
      </c>
      <c r="AE12" s="196" t="s">
        <v>390</v>
      </c>
      <c r="AF12" s="195" t="s">
        <v>56</v>
      </c>
      <c r="AG12" s="197" t="s">
        <v>53</v>
      </c>
      <c r="AH12" s="197" t="s">
        <v>53</v>
      </c>
    </row>
    <row r="13" s="151" customFormat="1" hidden="1" spans="1:34">
      <c r="A13" s="189">
        <v>540425201619006</v>
      </c>
      <c r="B13" s="190" t="s">
        <v>19</v>
      </c>
      <c r="C13" s="190" t="s">
        <v>20</v>
      </c>
      <c r="D13" s="190">
        <v>2016</v>
      </c>
      <c r="E13" s="191" t="s">
        <v>417</v>
      </c>
      <c r="F13" s="190" t="s">
        <v>82</v>
      </c>
      <c r="G13" s="190" t="s">
        <v>948</v>
      </c>
      <c r="H13" s="190" t="s">
        <v>949</v>
      </c>
      <c r="I13" s="192">
        <f t="shared" si="2"/>
        <v>60</v>
      </c>
      <c r="J13" s="192">
        <v>60</v>
      </c>
      <c r="K13" s="192">
        <v>0</v>
      </c>
      <c r="L13" s="192">
        <f t="shared" si="3"/>
        <v>60</v>
      </c>
      <c r="M13" s="192">
        <v>60</v>
      </c>
      <c r="N13" s="192">
        <v>0</v>
      </c>
      <c r="O13" s="193" t="s">
        <v>920</v>
      </c>
      <c r="P13" s="190" t="s">
        <v>944</v>
      </c>
      <c r="Q13" s="190" t="s">
        <v>922</v>
      </c>
      <c r="R13" s="194" t="s">
        <v>922</v>
      </c>
      <c r="S13" s="187" t="s">
        <v>56</v>
      </c>
      <c r="T13" s="202"/>
      <c r="U13" s="202"/>
      <c r="V13" s="202"/>
      <c r="W13" s="202"/>
      <c r="X13" s="202"/>
      <c r="Y13" s="202"/>
      <c r="Z13" s="202"/>
      <c r="AA13" s="202"/>
      <c r="AB13" s="202"/>
      <c r="AC13" s="202"/>
      <c r="AD13" s="195" t="s">
        <v>56</v>
      </c>
      <c r="AE13" s="196" t="s">
        <v>390</v>
      </c>
      <c r="AF13" s="195" t="s">
        <v>56</v>
      </c>
      <c r="AG13" s="197" t="s">
        <v>53</v>
      </c>
      <c r="AH13" s="197"/>
    </row>
    <row r="14" s="151" customFormat="1" hidden="1" spans="1:34">
      <c r="A14" s="189">
        <v>540425201619007</v>
      </c>
      <c r="B14" s="190" t="s">
        <v>19</v>
      </c>
      <c r="C14" s="190" t="s">
        <v>20</v>
      </c>
      <c r="D14" s="190">
        <v>2016</v>
      </c>
      <c r="E14" s="198" t="s">
        <v>418</v>
      </c>
      <c r="F14" s="190" t="s">
        <v>176</v>
      </c>
      <c r="G14" s="190" t="s">
        <v>950</v>
      </c>
      <c r="H14" s="190" t="s">
        <v>951</v>
      </c>
      <c r="I14" s="192">
        <f t="shared" si="2"/>
        <v>20</v>
      </c>
      <c r="J14" s="199">
        <v>20</v>
      </c>
      <c r="K14" s="199">
        <v>0</v>
      </c>
      <c r="L14" s="192">
        <f t="shared" si="3"/>
        <v>20</v>
      </c>
      <c r="M14" s="199">
        <v>20</v>
      </c>
      <c r="N14" s="199">
        <v>0</v>
      </c>
      <c r="O14" s="200" t="s">
        <v>925</v>
      </c>
      <c r="P14" s="195" t="s">
        <v>944</v>
      </c>
      <c r="Q14" s="195" t="s">
        <v>922</v>
      </c>
      <c r="R14" s="194"/>
      <c r="S14" s="187"/>
      <c r="T14" s="187"/>
      <c r="U14" s="187"/>
      <c r="V14" s="187"/>
      <c r="W14" s="187"/>
      <c r="X14" s="187"/>
      <c r="Y14" s="187"/>
      <c r="Z14" s="187"/>
      <c r="AA14" s="187"/>
      <c r="AB14" s="187"/>
      <c r="AC14" s="187"/>
      <c r="AD14" s="195" t="s">
        <v>56</v>
      </c>
      <c r="AE14" s="196" t="s">
        <v>390</v>
      </c>
      <c r="AF14" s="195" t="s">
        <v>56</v>
      </c>
      <c r="AG14" s="197" t="s">
        <v>53</v>
      </c>
      <c r="AH14" s="197"/>
    </row>
    <row r="15" s="152" customFormat="1" hidden="1" spans="1:34">
      <c r="A15" s="203">
        <v>540425201608002</v>
      </c>
      <c r="B15" s="204" t="s">
        <v>19</v>
      </c>
      <c r="C15" s="204" t="s">
        <v>20</v>
      </c>
      <c r="D15" s="204">
        <v>2016</v>
      </c>
      <c r="E15" s="205" t="s">
        <v>421</v>
      </c>
      <c r="F15" s="204" t="s">
        <v>124</v>
      </c>
      <c r="G15" s="204" t="s">
        <v>952</v>
      </c>
      <c r="H15" s="204" t="s">
        <v>953</v>
      </c>
      <c r="I15" s="206">
        <f t="shared" si="2"/>
        <v>34</v>
      </c>
      <c r="J15" s="206">
        <v>30</v>
      </c>
      <c r="K15" s="206">
        <v>4</v>
      </c>
      <c r="L15" s="206">
        <f t="shared" si="3"/>
        <v>34</v>
      </c>
      <c r="M15" s="206">
        <v>30</v>
      </c>
      <c r="N15" s="206">
        <v>4</v>
      </c>
      <c r="O15" s="207" t="s">
        <v>937</v>
      </c>
      <c r="P15" s="204" t="s">
        <v>954</v>
      </c>
      <c r="Q15" s="204" t="s">
        <v>922</v>
      </c>
      <c r="R15" s="208"/>
      <c r="S15" s="209" t="s">
        <v>56</v>
      </c>
      <c r="T15" s="209"/>
      <c r="U15" s="209"/>
      <c r="V15" s="209"/>
      <c r="W15" s="209"/>
      <c r="X15" s="209"/>
      <c r="Y15" s="209"/>
      <c r="Z15" s="209"/>
      <c r="AA15" s="209"/>
      <c r="AB15" s="209"/>
      <c r="AC15" s="209"/>
      <c r="AD15" s="210" t="s">
        <v>53</v>
      </c>
      <c r="AE15" s="211" t="s">
        <v>422</v>
      </c>
      <c r="AF15" s="210"/>
      <c r="AG15" s="212" t="s">
        <v>955</v>
      </c>
      <c r="AH15" s="210"/>
    </row>
    <row r="16" s="151" customFormat="1" ht="28" hidden="1" spans="1:34">
      <c r="A16" s="189">
        <v>540425201607004</v>
      </c>
      <c r="B16" s="190" t="s">
        <v>19</v>
      </c>
      <c r="C16" s="190" t="s">
        <v>20</v>
      </c>
      <c r="D16" s="190">
        <v>2016</v>
      </c>
      <c r="E16" s="198" t="s">
        <v>423</v>
      </c>
      <c r="F16" s="190" t="s">
        <v>124</v>
      </c>
      <c r="G16" s="190" t="s">
        <v>952</v>
      </c>
      <c r="H16" s="190" t="s">
        <v>956</v>
      </c>
      <c r="I16" s="192">
        <f t="shared" si="2"/>
        <v>38.907</v>
      </c>
      <c r="J16" s="199">
        <v>38.907</v>
      </c>
      <c r="K16" s="199">
        <v>0</v>
      </c>
      <c r="L16" s="192">
        <f t="shared" si="3"/>
        <v>38.907</v>
      </c>
      <c r="M16" s="199">
        <v>38.907</v>
      </c>
      <c r="N16" s="199">
        <v>0</v>
      </c>
      <c r="O16" s="200" t="s">
        <v>937</v>
      </c>
      <c r="P16" s="195" t="s">
        <v>957</v>
      </c>
      <c r="Q16" s="190" t="s">
        <v>922</v>
      </c>
      <c r="R16" s="194"/>
      <c r="S16" s="187"/>
      <c r="T16" s="187"/>
      <c r="U16" s="187"/>
      <c r="V16" s="187"/>
      <c r="W16" s="187"/>
      <c r="X16" s="187"/>
      <c r="Y16" s="187"/>
      <c r="Z16" s="187"/>
      <c r="AA16" s="187"/>
      <c r="AB16" s="187"/>
      <c r="AC16" s="187"/>
      <c r="AD16" s="195" t="s">
        <v>56</v>
      </c>
      <c r="AE16" s="196" t="s">
        <v>349</v>
      </c>
      <c r="AF16" s="195" t="s">
        <v>56</v>
      </c>
      <c r="AG16" s="197"/>
      <c r="AH16" s="197"/>
    </row>
    <row r="17" s="153" customFormat="1" ht="28" hidden="1" spans="1:34">
      <c r="A17" s="213">
        <v>540425201616005</v>
      </c>
      <c r="B17" s="214" t="s">
        <v>19</v>
      </c>
      <c r="C17" s="214" t="s">
        <v>20</v>
      </c>
      <c r="D17" s="214">
        <v>2016</v>
      </c>
      <c r="E17" s="215" t="s">
        <v>424</v>
      </c>
      <c r="F17" s="214" t="s">
        <v>124</v>
      </c>
      <c r="G17" s="214" t="s">
        <v>958</v>
      </c>
      <c r="H17" s="214" t="s">
        <v>959</v>
      </c>
      <c r="I17" s="216">
        <f t="shared" si="2"/>
        <v>57.19</v>
      </c>
      <c r="J17" s="217">
        <v>57.19</v>
      </c>
      <c r="K17" s="217">
        <v>0</v>
      </c>
      <c r="L17" s="216">
        <f t="shared" si="3"/>
        <v>57.19</v>
      </c>
      <c r="M17" s="217">
        <v>57.19</v>
      </c>
      <c r="N17" s="217">
        <v>0</v>
      </c>
      <c r="O17" s="218" t="s">
        <v>925</v>
      </c>
      <c r="P17" s="219" t="s">
        <v>935</v>
      </c>
      <c r="Q17" s="214" t="s">
        <v>927</v>
      </c>
      <c r="R17" s="220"/>
      <c r="S17" s="187"/>
      <c r="T17" s="187"/>
      <c r="U17" s="187"/>
      <c r="V17" s="187"/>
      <c r="W17" s="187"/>
      <c r="X17" s="187"/>
      <c r="Y17" s="187"/>
      <c r="Z17" s="187"/>
      <c r="AA17" s="187"/>
      <c r="AB17" s="187"/>
      <c r="AC17" s="187"/>
      <c r="AD17" s="219" t="s">
        <v>53</v>
      </c>
      <c r="AE17" s="221" t="s">
        <v>425</v>
      </c>
      <c r="AF17" s="219" t="s">
        <v>53</v>
      </c>
      <c r="AG17" s="219" t="s">
        <v>53</v>
      </c>
      <c r="AH17" s="219"/>
    </row>
    <row r="18" s="153" customFormat="1" ht="28" hidden="1" spans="1:34">
      <c r="A18" s="213">
        <v>540425201608003</v>
      </c>
      <c r="B18" s="214" t="s">
        <v>19</v>
      </c>
      <c r="C18" s="214" t="s">
        <v>20</v>
      </c>
      <c r="D18" s="214">
        <v>2016</v>
      </c>
      <c r="E18" s="215" t="s">
        <v>426</v>
      </c>
      <c r="F18" s="214" t="s">
        <v>124</v>
      </c>
      <c r="G18" s="214" t="s">
        <v>960</v>
      </c>
      <c r="H18" s="214" t="s">
        <v>961</v>
      </c>
      <c r="I18" s="216">
        <f t="shared" si="2"/>
        <v>12.71</v>
      </c>
      <c r="J18" s="217">
        <v>12.71</v>
      </c>
      <c r="K18" s="217">
        <v>0</v>
      </c>
      <c r="L18" s="216">
        <f t="shared" si="3"/>
        <v>12.71</v>
      </c>
      <c r="M18" s="217">
        <v>12.71</v>
      </c>
      <c r="N18" s="217">
        <v>0</v>
      </c>
      <c r="O18" s="218" t="s">
        <v>937</v>
      </c>
      <c r="P18" s="219" t="s">
        <v>954</v>
      </c>
      <c r="Q18" s="214" t="s">
        <v>922</v>
      </c>
      <c r="R18" s="220"/>
      <c r="S18" s="202"/>
      <c r="T18" s="202"/>
      <c r="U18" s="202"/>
      <c r="V18" s="202"/>
      <c r="W18" s="202"/>
      <c r="X18" s="202"/>
      <c r="Y18" s="202"/>
      <c r="Z18" s="202"/>
      <c r="AA18" s="202"/>
      <c r="AB18" s="202"/>
      <c r="AC18" s="202"/>
      <c r="AD18" s="219" t="s">
        <v>53</v>
      </c>
      <c r="AE18" s="221" t="s">
        <v>427</v>
      </c>
      <c r="AF18" s="219" t="s">
        <v>56</v>
      </c>
      <c r="AG18" s="219" t="s">
        <v>955</v>
      </c>
      <c r="AH18" s="219"/>
    </row>
    <row r="19" s="153" customFormat="1" ht="42" hidden="1" spans="1:34">
      <c r="A19" s="213">
        <v>540425201607005</v>
      </c>
      <c r="B19" s="214" t="s">
        <v>19</v>
      </c>
      <c r="C19" s="214" t="s">
        <v>20</v>
      </c>
      <c r="D19" s="214">
        <v>2016</v>
      </c>
      <c r="E19" s="215" t="s">
        <v>428</v>
      </c>
      <c r="F19" s="214" t="s">
        <v>124</v>
      </c>
      <c r="G19" s="214" t="s">
        <v>962</v>
      </c>
      <c r="H19" s="214" t="s">
        <v>963</v>
      </c>
      <c r="I19" s="216">
        <f t="shared" si="2"/>
        <v>42.06</v>
      </c>
      <c r="J19" s="217">
        <v>42.06</v>
      </c>
      <c r="K19" s="217">
        <v>0</v>
      </c>
      <c r="L19" s="216">
        <f t="shared" si="3"/>
        <v>42.06</v>
      </c>
      <c r="M19" s="217">
        <v>42.06</v>
      </c>
      <c r="N19" s="217">
        <v>0</v>
      </c>
      <c r="O19" s="218" t="s">
        <v>937</v>
      </c>
      <c r="P19" s="219" t="s">
        <v>957</v>
      </c>
      <c r="Q19" s="214" t="s">
        <v>922</v>
      </c>
      <c r="R19" s="220"/>
      <c r="S19" s="187"/>
      <c r="T19" s="187"/>
      <c r="U19" s="187"/>
      <c r="V19" s="187"/>
      <c r="W19" s="187"/>
      <c r="X19" s="187"/>
      <c r="Y19" s="187"/>
      <c r="Z19" s="187"/>
      <c r="AA19" s="187"/>
      <c r="AB19" s="187"/>
      <c r="AC19" s="187"/>
      <c r="AD19" s="219" t="s">
        <v>53</v>
      </c>
      <c r="AE19" s="221" t="s">
        <v>429</v>
      </c>
      <c r="AF19" s="219" t="s">
        <v>56</v>
      </c>
      <c r="AG19" s="219" t="s">
        <v>955</v>
      </c>
      <c r="AH19" s="219"/>
    </row>
    <row r="20" s="153" customFormat="1" ht="28" hidden="1" spans="1:34">
      <c r="A20" s="213">
        <v>540425201607006</v>
      </c>
      <c r="B20" s="214" t="s">
        <v>19</v>
      </c>
      <c r="C20" s="214" t="s">
        <v>20</v>
      </c>
      <c r="D20" s="214">
        <v>2016</v>
      </c>
      <c r="E20" s="215" t="s">
        <v>238</v>
      </c>
      <c r="F20" s="214" t="s">
        <v>240</v>
      </c>
      <c r="G20" s="214" t="s">
        <v>964</v>
      </c>
      <c r="H20" s="214" t="s">
        <v>965</v>
      </c>
      <c r="I20" s="216">
        <f t="shared" si="2"/>
        <v>490.394</v>
      </c>
      <c r="J20" s="217">
        <v>474.2525</v>
      </c>
      <c r="K20" s="217">
        <v>16.1415</v>
      </c>
      <c r="L20" s="216">
        <f t="shared" si="3"/>
        <v>474.2525</v>
      </c>
      <c r="M20" s="217">
        <v>474.2525</v>
      </c>
      <c r="N20" s="217"/>
      <c r="O20" s="218" t="s">
        <v>937</v>
      </c>
      <c r="P20" s="219" t="s">
        <v>957</v>
      </c>
      <c r="Q20" s="214" t="s">
        <v>939</v>
      </c>
      <c r="R20" s="220"/>
      <c r="S20" s="110"/>
      <c r="T20" s="110"/>
      <c r="U20" s="110"/>
      <c r="V20" s="110"/>
      <c r="W20" s="110"/>
      <c r="X20" s="110"/>
      <c r="Y20" s="110"/>
      <c r="Z20" s="110"/>
      <c r="AA20" s="110"/>
      <c r="AB20" s="110"/>
      <c r="AC20" s="110"/>
      <c r="AD20" s="219" t="s">
        <v>53</v>
      </c>
      <c r="AE20" s="221" t="s">
        <v>239</v>
      </c>
      <c r="AF20" s="219" t="s">
        <v>56</v>
      </c>
      <c r="AG20" s="219"/>
      <c r="AH20" s="219"/>
    </row>
    <row r="21" s="153" customFormat="1" ht="28" hidden="1" spans="1:34">
      <c r="A21" s="213">
        <v>540425201608004</v>
      </c>
      <c r="B21" s="214" t="s">
        <v>19</v>
      </c>
      <c r="C21" s="214" t="s">
        <v>20</v>
      </c>
      <c r="D21" s="214">
        <v>2016</v>
      </c>
      <c r="E21" s="215" t="s">
        <v>241</v>
      </c>
      <c r="F21" s="214" t="s">
        <v>240</v>
      </c>
      <c r="G21" s="214" t="s">
        <v>964</v>
      </c>
      <c r="H21" s="214" t="s">
        <v>966</v>
      </c>
      <c r="I21" s="216">
        <f t="shared" si="2"/>
        <v>218.605</v>
      </c>
      <c r="J21" s="217">
        <v>208.605</v>
      </c>
      <c r="K21" s="217">
        <v>10</v>
      </c>
      <c r="L21" s="216">
        <f t="shared" si="3"/>
        <v>162.96</v>
      </c>
      <c r="M21" s="217">
        <f>1629600/10000</f>
        <v>162.96</v>
      </c>
      <c r="N21" s="217"/>
      <c r="O21" s="218" t="s">
        <v>937</v>
      </c>
      <c r="P21" s="219" t="s">
        <v>954</v>
      </c>
      <c r="Q21" s="214" t="s">
        <v>939</v>
      </c>
      <c r="R21" s="220"/>
      <c r="S21" s="222"/>
      <c r="T21" s="222"/>
      <c r="U21" s="222"/>
      <c r="V21" s="222"/>
      <c r="W21" s="222"/>
      <c r="X21" s="222"/>
      <c r="Y21" s="222"/>
      <c r="Z21" s="222"/>
      <c r="AA21" s="222"/>
      <c r="AB21" s="222"/>
      <c r="AC21" s="222"/>
      <c r="AD21" s="219" t="s">
        <v>53</v>
      </c>
      <c r="AE21" s="221" t="s">
        <v>239</v>
      </c>
      <c r="AF21" s="219" t="s">
        <v>56</v>
      </c>
      <c r="AG21" s="219" t="s">
        <v>955</v>
      </c>
      <c r="AH21" s="219"/>
    </row>
    <row r="22" s="154" customFormat="1" ht="42" hidden="1" spans="1:34">
      <c r="A22" s="126">
        <v>540425201619009</v>
      </c>
      <c r="B22" s="182" t="s">
        <v>19</v>
      </c>
      <c r="C22" s="182" t="s">
        <v>20</v>
      </c>
      <c r="D22" s="182">
        <v>2016</v>
      </c>
      <c r="E22" s="128" t="s">
        <v>517</v>
      </c>
      <c r="F22" s="182" t="s">
        <v>240</v>
      </c>
      <c r="G22" s="182" t="s">
        <v>967</v>
      </c>
      <c r="H22" s="182" t="s">
        <v>968</v>
      </c>
      <c r="I22" s="223">
        <f t="shared" si="2"/>
        <v>160.32</v>
      </c>
      <c r="J22" s="224">
        <v>160.32</v>
      </c>
      <c r="K22" s="224">
        <v>0</v>
      </c>
      <c r="L22" s="223">
        <f t="shared" si="3"/>
        <v>160.32</v>
      </c>
      <c r="M22" s="224">
        <v>160.32</v>
      </c>
      <c r="N22" s="224">
        <v>0</v>
      </c>
      <c r="O22" s="225" t="s">
        <v>937</v>
      </c>
      <c r="P22" s="127" t="s">
        <v>944</v>
      </c>
      <c r="Q22" s="182" t="s">
        <v>922</v>
      </c>
      <c r="R22" s="182"/>
      <c r="S22" s="226" t="s">
        <v>56</v>
      </c>
      <c r="T22" s="226"/>
      <c r="U22" s="226"/>
      <c r="V22" s="226"/>
      <c r="W22" s="226"/>
      <c r="X22" s="226"/>
      <c r="Y22" s="226"/>
      <c r="Z22" s="226"/>
      <c r="AA22" s="226"/>
      <c r="AB22" s="226"/>
      <c r="AC22" s="226"/>
      <c r="AD22" s="134" t="s">
        <v>56</v>
      </c>
      <c r="AE22" s="227" t="s">
        <v>221</v>
      </c>
      <c r="AF22" s="127" t="s">
        <v>56</v>
      </c>
      <c r="AG22" s="127" t="s">
        <v>53</v>
      </c>
      <c r="AH22" s="127"/>
    </row>
    <row r="23" s="153" customFormat="1" ht="28" hidden="1" spans="1:34">
      <c r="A23" s="213">
        <v>540425201719010</v>
      </c>
      <c r="B23" s="214" t="s">
        <v>19</v>
      </c>
      <c r="C23" s="214" t="s">
        <v>20</v>
      </c>
      <c r="D23" s="214">
        <v>2017</v>
      </c>
      <c r="E23" s="215" t="s">
        <v>441</v>
      </c>
      <c r="F23" s="214" t="s">
        <v>104</v>
      </c>
      <c r="G23" s="214" t="s">
        <v>969</v>
      </c>
      <c r="H23" s="214" t="s">
        <v>970</v>
      </c>
      <c r="I23" s="216">
        <f t="shared" ref="I23:I60" si="4">J23+K23</f>
        <v>24.62</v>
      </c>
      <c r="J23" s="217">
        <v>24.62</v>
      </c>
      <c r="K23" s="217">
        <v>0</v>
      </c>
      <c r="L23" s="216">
        <f t="shared" ref="L23:L60" si="5">M23+N23</f>
        <v>24.62</v>
      </c>
      <c r="M23" s="217">
        <v>24.62</v>
      </c>
      <c r="N23" s="217">
        <v>0</v>
      </c>
      <c r="O23" s="228" t="s">
        <v>925</v>
      </c>
      <c r="P23" s="219" t="s">
        <v>944</v>
      </c>
      <c r="Q23" s="219" t="s">
        <v>922</v>
      </c>
      <c r="R23" s="220"/>
      <c r="S23" s="214" t="s">
        <v>53</v>
      </c>
      <c r="T23" s="214"/>
      <c r="U23" s="214"/>
      <c r="V23" s="214"/>
      <c r="W23" s="214"/>
      <c r="X23" s="214"/>
      <c r="Y23" s="214"/>
      <c r="Z23" s="214"/>
      <c r="AA23" s="214"/>
      <c r="AB23" s="214"/>
      <c r="AC23" s="214"/>
      <c r="AD23" s="219" t="s">
        <v>53</v>
      </c>
      <c r="AE23" s="221" t="s">
        <v>54</v>
      </c>
      <c r="AF23" s="219" t="s">
        <v>56</v>
      </c>
      <c r="AG23" s="108" t="s">
        <v>955</v>
      </c>
      <c r="AH23" s="108"/>
    </row>
    <row r="24" s="153" customFormat="1" ht="42" hidden="1" spans="1:34">
      <c r="A24" s="213">
        <v>540425201718001</v>
      </c>
      <c r="B24" s="214" t="s">
        <v>19</v>
      </c>
      <c r="C24" s="214" t="s">
        <v>20</v>
      </c>
      <c r="D24" s="214">
        <v>2017</v>
      </c>
      <c r="E24" s="229" t="s">
        <v>52</v>
      </c>
      <c r="F24" s="214" t="s">
        <v>121</v>
      </c>
      <c r="G24" s="214" t="s">
        <v>952</v>
      </c>
      <c r="H24" s="214" t="s">
        <v>971</v>
      </c>
      <c r="I24" s="216">
        <f t="shared" si="4"/>
        <v>1383.28</v>
      </c>
      <c r="J24" s="216">
        <v>1383.28</v>
      </c>
      <c r="K24" s="216">
        <v>0</v>
      </c>
      <c r="L24" s="216">
        <f t="shared" si="5"/>
        <v>1308.152951</v>
      </c>
      <c r="M24" s="216">
        <v>1308.152951</v>
      </c>
      <c r="N24" s="216">
        <v>0</v>
      </c>
      <c r="O24" s="230" t="s">
        <v>920</v>
      </c>
      <c r="P24" s="214" t="s">
        <v>972</v>
      </c>
      <c r="Q24" s="214" t="s">
        <v>973</v>
      </c>
      <c r="R24" s="220" t="s">
        <v>973</v>
      </c>
      <c r="S24" s="214" t="s">
        <v>53</v>
      </c>
      <c r="T24" s="214" t="s">
        <v>974</v>
      </c>
      <c r="U24" s="214" t="s">
        <v>975</v>
      </c>
      <c r="V24" s="214" t="s">
        <v>121</v>
      </c>
      <c r="W24" s="214" t="s">
        <v>56</v>
      </c>
      <c r="X24" s="214"/>
      <c r="Y24" s="214"/>
      <c r="Z24" s="214"/>
      <c r="AA24" s="214"/>
      <c r="AB24" s="214" t="s">
        <v>976</v>
      </c>
      <c r="AC24" s="214"/>
      <c r="AD24" s="219" t="s">
        <v>53</v>
      </c>
      <c r="AE24" s="221" t="s">
        <v>54</v>
      </c>
      <c r="AF24" s="108" t="s">
        <v>53</v>
      </c>
      <c r="AG24" s="108" t="s">
        <v>955</v>
      </c>
      <c r="AH24" s="108"/>
    </row>
    <row r="25" ht="56" hidden="1" spans="1:34">
      <c r="A25" s="118">
        <v>540425201715001</v>
      </c>
      <c r="B25" s="110" t="s">
        <v>19</v>
      </c>
      <c r="C25" s="110" t="s">
        <v>20</v>
      </c>
      <c r="D25" s="110">
        <v>2017</v>
      </c>
      <c r="E25" s="179" t="s">
        <v>287</v>
      </c>
      <c r="F25" s="110" t="s">
        <v>240</v>
      </c>
      <c r="G25" s="110" t="s">
        <v>977</v>
      </c>
      <c r="H25" s="110" t="s">
        <v>978</v>
      </c>
      <c r="I25" s="231">
        <f t="shared" si="4"/>
        <v>150</v>
      </c>
      <c r="J25" s="231">
        <v>150</v>
      </c>
      <c r="K25" s="231">
        <v>0</v>
      </c>
      <c r="L25" s="231">
        <f t="shared" si="5"/>
        <v>132.705999</v>
      </c>
      <c r="M25" s="231">
        <v>132.705999</v>
      </c>
      <c r="N25" s="231">
        <v>0</v>
      </c>
      <c r="O25" s="232" t="s">
        <v>920</v>
      </c>
      <c r="P25" s="110" t="s">
        <v>979</v>
      </c>
      <c r="Q25" s="110" t="s">
        <v>973</v>
      </c>
      <c r="R25" s="233" t="s">
        <v>973</v>
      </c>
      <c r="S25" s="110" t="s">
        <v>53</v>
      </c>
      <c r="T25" s="110" t="s">
        <v>930</v>
      </c>
      <c r="U25" s="110" t="s">
        <v>980</v>
      </c>
      <c r="V25" s="110" t="s">
        <v>981</v>
      </c>
      <c r="W25" s="110" t="s">
        <v>53</v>
      </c>
      <c r="X25" s="110"/>
      <c r="Y25" s="110" t="s">
        <v>982</v>
      </c>
      <c r="Z25" s="110">
        <v>99766</v>
      </c>
      <c r="AA25" s="110"/>
      <c r="AB25" s="110" t="s">
        <v>983</v>
      </c>
      <c r="AC25" s="110"/>
      <c r="AD25" s="69" t="s">
        <v>56</v>
      </c>
      <c r="AE25" s="169" t="s">
        <v>162</v>
      </c>
      <c r="AF25" s="108" t="s">
        <v>56</v>
      </c>
      <c r="AG25" s="108" t="s">
        <v>53</v>
      </c>
      <c r="AH25" s="108"/>
    </row>
    <row r="26" ht="28" hidden="1" spans="1:34">
      <c r="A26" s="118">
        <v>540425201718002</v>
      </c>
      <c r="B26" s="110" t="s">
        <v>19</v>
      </c>
      <c r="C26" s="110" t="s">
        <v>20</v>
      </c>
      <c r="D26" s="110">
        <v>2017</v>
      </c>
      <c r="E26" s="179" t="s">
        <v>291</v>
      </c>
      <c r="F26" s="110" t="s">
        <v>283</v>
      </c>
      <c r="G26" s="110" t="s">
        <v>984</v>
      </c>
      <c r="H26" s="110" t="s">
        <v>985</v>
      </c>
      <c r="I26" s="231">
        <f t="shared" si="4"/>
        <v>1936.76</v>
      </c>
      <c r="J26" s="231">
        <v>1936.76</v>
      </c>
      <c r="K26" s="231">
        <v>0</v>
      </c>
      <c r="L26" s="231">
        <f t="shared" si="5"/>
        <v>1904.50766838959</v>
      </c>
      <c r="M26" s="231">
        <v>1904.50766838959</v>
      </c>
      <c r="N26" s="231">
        <v>0</v>
      </c>
      <c r="O26" s="232" t="s">
        <v>920</v>
      </c>
      <c r="P26" s="110" t="s">
        <v>972</v>
      </c>
      <c r="Q26" s="110" t="s">
        <v>973</v>
      </c>
      <c r="R26" s="182" t="s">
        <v>973</v>
      </c>
      <c r="S26" s="110" t="s">
        <v>53</v>
      </c>
      <c r="T26" s="110" t="s">
        <v>974</v>
      </c>
      <c r="U26" s="110" t="s">
        <v>975</v>
      </c>
      <c r="V26" s="110" t="s">
        <v>121</v>
      </c>
      <c r="W26" s="110" t="s">
        <v>56</v>
      </c>
      <c r="X26" s="110"/>
      <c r="Y26" s="110"/>
      <c r="Z26" s="110"/>
      <c r="AA26" s="110"/>
      <c r="AB26" s="110" t="s">
        <v>976</v>
      </c>
      <c r="AC26" s="110"/>
      <c r="AD26" s="69" t="s">
        <v>56</v>
      </c>
      <c r="AE26" s="169" t="s">
        <v>290</v>
      </c>
      <c r="AF26" s="108" t="s">
        <v>56</v>
      </c>
      <c r="AG26" s="108" t="s">
        <v>53</v>
      </c>
      <c r="AH26" s="108"/>
    </row>
    <row r="27" s="150" customFormat="1" ht="168" hidden="1" spans="1:34">
      <c r="A27" s="118">
        <v>540425201715002</v>
      </c>
      <c r="B27" s="110" t="s">
        <v>19</v>
      </c>
      <c r="C27" s="110" t="s">
        <v>20</v>
      </c>
      <c r="D27" s="110">
        <v>2017</v>
      </c>
      <c r="E27" s="179" t="s">
        <v>55</v>
      </c>
      <c r="F27" s="110" t="s">
        <v>216</v>
      </c>
      <c r="G27" s="110" t="s">
        <v>986</v>
      </c>
      <c r="H27" s="110" t="s">
        <v>987</v>
      </c>
      <c r="I27" s="180">
        <f t="shared" si="4"/>
        <v>2130.42</v>
      </c>
      <c r="J27" s="180">
        <v>1484.39</v>
      </c>
      <c r="K27" s="180">
        <v>646.03</v>
      </c>
      <c r="L27" s="180">
        <f t="shared" si="5"/>
        <v>2100.94</v>
      </c>
      <c r="M27" s="180">
        <v>1484.39</v>
      </c>
      <c r="N27" s="180">
        <v>616.55</v>
      </c>
      <c r="O27" s="110" t="s">
        <v>920</v>
      </c>
      <c r="P27" s="110" t="s">
        <v>979</v>
      </c>
      <c r="Q27" s="110" t="s">
        <v>973</v>
      </c>
      <c r="R27" s="182" t="s">
        <v>973</v>
      </c>
      <c r="S27" s="110" t="s">
        <v>53</v>
      </c>
      <c r="T27" s="110" t="s">
        <v>930</v>
      </c>
      <c r="U27" s="110" t="s">
        <v>980</v>
      </c>
      <c r="V27" s="110" t="s">
        <v>988</v>
      </c>
      <c r="W27" s="108" t="s">
        <v>53</v>
      </c>
      <c r="X27" s="108"/>
      <c r="Y27" s="108"/>
      <c r="Z27" s="108">
        <v>1050407</v>
      </c>
      <c r="AA27" s="108"/>
      <c r="AB27" s="108" t="s">
        <v>983</v>
      </c>
      <c r="AC27" s="110" t="s">
        <v>989</v>
      </c>
      <c r="AD27" s="108" t="s">
        <v>56</v>
      </c>
      <c r="AE27" s="183" t="s">
        <v>57</v>
      </c>
      <c r="AF27" s="108" t="s">
        <v>53</v>
      </c>
      <c r="AG27" s="108" t="s">
        <v>53</v>
      </c>
      <c r="AH27" s="108"/>
    </row>
    <row r="28" s="151" customFormat="1" hidden="1" spans="1:34">
      <c r="A28" s="189">
        <v>540425201719011</v>
      </c>
      <c r="B28" s="190" t="s">
        <v>19</v>
      </c>
      <c r="C28" s="190" t="s">
        <v>20</v>
      </c>
      <c r="D28" s="190">
        <v>2017</v>
      </c>
      <c r="E28" s="191" t="s">
        <v>449</v>
      </c>
      <c r="F28" s="190" t="s">
        <v>140</v>
      </c>
      <c r="G28" s="190" t="s">
        <v>990</v>
      </c>
      <c r="H28" s="190" t="s">
        <v>991</v>
      </c>
      <c r="I28" s="192">
        <f t="shared" si="4"/>
        <v>36</v>
      </c>
      <c r="J28" s="192">
        <v>36</v>
      </c>
      <c r="K28" s="192">
        <v>0</v>
      </c>
      <c r="L28" s="192">
        <f t="shared" si="5"/>
        <v>36</v>
      </c>
      <c r="M28" s="192">
        <v>36</v>
      </c>
      <c r="N28" s="192">
        <v>0</v>
      </c>
      <c r="O28" s="190" t="s">
        <v>920</v>
      </c>
      <c r="P28" s="190" t="s">
        <v>972</v>
      </c>
      <c r="Q28" s="190" t="s">
        <v>973</v>
      </c>
      <c r="R28" s="194" t="s">
        <v>922</v>
      </c>
      <c r="S28" s="187" t="s">
        <v>56</v>
      </c>
      <c r="T28" s="187"/>
      <c r="U28" s="187"/>
      <c r="V28" s="187"/>
      <c r="W28" s="234" t="s">
        <v>56</v>
      </c>
      <c r="X28" s="234"/>
      <c r="Y28" s="234"/>
      <c r="Z28" s="234"/>
      <c r="AA28" s="234"/>
      <c r="AB28" s="234" t="s">
        <v>983</v>
      </c>
      <c r="AC28" s="187"/>
      <c r="AD28" s="195" t="s">
        <v>56</v>
      </c>
      <c r="AE28" s="196" t="s">
        <v>450</v>
      </c>
      <c r="AF28" s="195" t="s">
        <v>56</v>
      </c>
      <c r="AG28" s="197" t="s">
        <v>53</v>
      </c>
      <c r="AH28" s="197" t="s">
        <v>53</v>
      </c>
    </row>
    <row r="29" s="151" customFormat="1" hidden="1" spans="1:34">
      <c r="A29" s="189">
        <v>540425201719012</v>
      </c>
      <c r="B29" s="190" t="s">
        <v>19</v>
      </c>
      <c r="C29" s="190" t="s">
        <v>20</v>
      </c>
      <c r="D29" s="190">
        <v>2017</v>
      </c>
      <c r="E29" s="191" t="s">
        <v>453</v>
      </c>
      <c r="F29" s="190" t="s">
        <v>140</v>
      </c>
      <c r="G29" s="190" t="s">
        <v>923</v>
      </c>
      <c r="H29" s="190" t="s">
        <v>992</v>
      </c>
      <c r="I29" s="192">
        <f t="shared" si="4"/>
        <v>20</v>
      </c>
      <c r="J29" s="192">
        <v>20</v>
      </c>
      <c r="K29" s="192">
        <v>0</v>
      </c>
      <c r="L29" s="192">
        <f t="shared" si="5"/>
        <v>20</v>
      </c>
      <c r="M29" s="192">
        <v>20</v>
      </c>
      <c r="N29" s="192">
        <v>0</v>
      </c>
      <c r="O29" s="190" t="s">
        <v>920</v>
      </c>
      <c r="P29" s="190" t="s">
        <v>935</v>
      </c>
      <c r="Q29" s="190" t="s">
        <v>927</v>
      </c>
      <c r="R29" s="194" t="s">
        <v>922</v>
      </c>
      <c r="S29" s="187" t="s">
        <v>56</v>
      </c>
      <c r="T29" s="187" t="s">
        <v>930</v>
      </c>
      <c r="U29" s="187" t="s">
        <v>931</v>
      </c>
      <c r="V29" s="187" t="s">
        <v>993</v>
      </c>
      <c r="W29" s="234" t="s">
        <v>56</v>
      </c>
      <c r="X29" s="234"/>
      <c r="Y29" s="234"/>
      <c r="Z29" s="234"/>
      <c r="AA29" s="234"/>
      <c r="AB29" s="234" t="s">
        <v>983</v>
      </c>
      <c r="AC29" s="187"/>
      <c r="AD29" s="195" t="s">
        <v>56</v>
      </c>
      <c r="AE29" s="196" t="s">
        <v>450</v>
      </c>
      <c r="AF29" s="195" t="s">
        <v>56</v>
      </c>
      <c r="AG29" s="197" t="s">
        <v>53</v>
      </c>
      <c r="AH29" s="197" t="s">
        <v>53</v>
      </c>
    </row>
    <row r="30" s="153" customFormat="1" ht="28" hidden="1" spans="1:34">
      <c r="A30" s="213">
        <v>540425201811001</v>
      </c>
      <c r="B30" s="214" t="s">
        <v>19</v>
      </c>
      <c r="C30" s="214" t="s">
        <v>20</v>
      </c>
      <c r="D30" s="214">
        <v>2018</v>
      </c>
      <c r="E30" s="229" t="s">
        <v>180</v>
      </c>
      <c r="F30" s="214" t="s">
        <v>124</v>
      </c>
      <c r="G30" s="214" t="s">
        <v>994</v>
      </c>
      <c r="H30" s="214" t="s">
        <v>995</v>
      </c>
      <c r="I30" s="216">
        <f t="shared" si="4"/>
        <v>64.4</v>
      </c>
      <c r="J30" s="216">
        <v>50</v>
      </c>
      <c r="K30" s="216">
        <v>14.4</v>
      </c>
      <c r="L30" s="216">
        <f t="shared" si="5"/>
        <v>64.4</v>
      </c>
      <c r="M30" s="216">
        <v>50</v>
      </c>
      <c r="N30" s="216">
        <v>14.4</v>
      </c>
      <c r="O30" s="214" t="s">
        <v>920</v>
      </c>
      <c r="P30" s="214" t="s">
        <v>996</v>
      </c>
      <c r="Q30" s="214" t="s">
        <v>927</v>
      </c>
      <c r="R30" s="220" t="s">
        <v>922</v>
      </c>
      <c r="S30" s="214" t="s">
        <v>56</v>
      </c>
      <c r="T30" s="214"/>
      <c r="U30" s="214"/>
      <c r="V30" s="214"/>
      <c r="W30" s="219"/>
      <c r="X30" s="219"/>
      <c r="Y30" s="219"/>
      <c r="Z30" s="219"/>
      <c r="AA30" s="219"/>
      <c r="AB30" s="219"/>
      <c r="AC30" s="214"/>
      <c r="AD30" s="219" t="s">
        <v>53</v>
      </c>
      <c r="AE30" s="221" t="s">
        <v>54</v>
      </c>
      <c r="AF30" s="108" t="s">
        <v>56</v>
      </c>
      <c r="AG30" s="108" t="s">
        <v>955</v>
      </c>
      <c r="AH30" s="108" t="s">
        <v>53</v>
      </c>
    </row>
    <row r="31" s="153" customFormat="1" ht="28" hidden="1" spans="1:34">
      <c r="A31" s="213">
        <v>540425201811002</v>
      </c>
      <c r="B31" s="214" t="s">
        <v>19</v>
      </c>
      <c r="C31" s="214" t="s">
        <v>20</v>
      </c>
      <c r="D31" s="214">
        <v>2018</v>
      </c>
      <c r="E31" s="229" t="s">
        <v>181</v>
      </c>
      <c r="F31" s="214" t="s">
        <v>124</v>
      </c>
      <c r="G31" s="214" t="s">
        <v>997</v>
      </c>
      <c r="H31" s="214" t="s">
        <v>995</v>
      </c>
      <c r="I31" s="216">
        <f t="shared" si="4"/>
        <v>64.4</v>
      </c>
      <c r="J31" s="216">
        <v>50</v>
      </c>
      <c r="K31" s="216">
        <v>14.4</v>
      </c>
      <c r="L31" s="216">
        <f t="shared" si="5"/>
        <v>64.4</v>
      </c>
      <c r="M31" s="216">
        <v>50</v>
      </c>
      <c r="N31" s="216">
        <v>14.4</v>
      </c>
      <c r="O31" s="214" t="s">
        <v>920</v>
      </c>
      <c r="P31" s="214" t="s">
        <v>996</v>
      </c>
      <c r="Q31" s="214" t="s">
        <v>927</v>
      </c>
      <c r="R31" s="220" t="s">
        <v>922</v>
      </c>
      <c r="S31" s="214" t="s">
        <v>56</v>
      </c>
      <c r="T31" s="214"/>
      <c r="U31" s="214"/>
      <c r="V31" s="214"/>
      <c r="W31" s="219"/>
      <c r="X31" s="219"/>
      <c r="Y31" s="219"/>
      <c r="Z31" s="219"/>
      <c r="AA31" s="219"/>
      <c r="AB31" s="219"/>
      <c r="AC31" s="214"/>
      <c r="AD31" s="219" t="s">
        <v>53</v>
      </c>
      <c r="AE31" s="221" t="s">
        <v>54</v>
      </c>
      <c r="AF31" s="108" t="s">
        <v>56</v>
      </c>
      <c r="AG31" s="108" t="s">
        <v>955</v>
      </c>
      <c r="AH31" s="108" t="s">
        <v>53</v>
      </c>
    </row>
    <row r="32" s="153" customFormat="1" ht="28" hidden="1" spans="1:34">
      <c r="A32" s="213">
        <v>540425201816008</v>
      </c>
      <c r="B32" s="214" t="s">
        <v>19</v>
      </c>
      <c r="C32" s="214" t="s">
        <v>20</v>
      </c>
      <c r="D32" s="214">
        <v>2018</v>
      </c>
      <c r="E32" s="229" t="s">
        <v>182</v>
      </c>
      <c r="F32" s="214" t="s">
        <v>124</v>
      </c>
      <c r="G32" s="214" t="s">
        <v>952</v>
      </c>
      <c r="H32" s="214" t="s">
        <v>998</v>
      </c>
      <c r="I32" s="216">
        <f t="shared" si="4"/>
        <v>51.6</v>
      </c>
      <c r="J32" s="216">
        <v>50</v>
      </c>
      <c r="K32" s="216">
        <v>1.6</v>
      </c>
      <c r="L32" s="216">
        <f t="shared" si="5"/>
        <v>51.6</v>
      </c>
      <c r="M32" s="216">
        <v>50</v>
      </c>
      <c r="N32" s="216">
        <v>1.6</v>
      </c>
      <c r="O32" s="214" t="s">
        <v>920</v>
      </c>
      <c r="P32" s="214" t="s">
        <v>935</v>
      </c>
      <c r="Q32" s="214" t="s">
        <v>927</v>
      </c>
      <c r="R32" s="220" t="s">
        <v>922</v>
      </c>
      <c r="S32" s="214" t="s">
        <v>56</v>
      </c>
      <c r="T32" s="214"/>
      <c r="U32" s="214"/>
      <c r="V32" s="214"/>
      <c r="W32" s="219"/>
      <c r="X32" s="219"/>
      <c r="Y32" s="219"/>
      <c r="Z32" s="219"/>
      <c r="AA32" s="219"/>
      <c r="AB32" s="219"/>
      <c r="AC32" s="214"/>
      <c r="AD32" s="219" t="s">
        <v>53</v>
      </c>
      <c r="AE32" s="221" t="s">
        <v>54</v>
      </c>
      <c r="AF32" s="108" t="s">
        <v>53</v>
      </c>
      <c r="AG32" s="108" t="s">
        <v>955</v>
      </c>
      <c r="AH32" s="108" t="s">
        <v>53</v>
      </c>
    </row>
    <row r="33" s="153" customFormat="1" ht="28" hidden="1" spans="1:34">
      <c r="A33" s="213">
        <v>540425201819013</v>
      </c>
      <c r="B33" s="214" t="s">
        <v>19</v>
      </c>
      <c r="C33" s="214" t="s">
        <v>20</v>
      </c>
      <c r="D33" s="214">
        <v>2018</v>
      </c>
      <c r="E33" s="229" t="s">
        <v>183</v>
      </c>
      <c r="F33" s="214" t="s">
        <v>104</v>
      </c>
      <c r="G33" s="214" t="s">
        <v>969</v>
      </c>
      <c r="H33" s="214" t="s">
        <v>999</v>
      </c>
      <c r="I33" s="216">
        <f t="shared" si="4"/>
        <v>50</v>
      </c>
      <c r="J33" s="216">
        <v>50</v>
      </c>
      <c r="K33" s="216">
        <v>0</v>
      </c>
      <c r="L33" s="216">
        <f t="shared" si="5"/>
        <v>50</v>
      </c>
      <c r="M33" s="216">
        <v>50</v>
      </c>
      <c r="N33" s="216">
        <v>0</v>
      </c>
      <c r="O33" s="214" t="s">
        <v>920</v>
      </c>
      <c r="P33" s="214" t="s">
        <v>996</v>
      </c>
      <c r="Q33" s="214" t="s">
        <v>927</v>
      </c>
      <c r="R33" s="220" t="s">
        <v>922</v>
      </c>
      <c r="S33" s="214" t="s">
        <v>53</v>
      </c>
      <c r="T33" s="214" t="s">
        <v>930</v>
      </c>
      <c r="U33" s="214" t="s">
        <v>980</v>
      </c>
      <c r="V33" s="214" t="s">
        <v>1000</v>
      </c>
      <c r="W33" s="219" t="s">
        <v>53</v>
      </c>
      <c r="X33" s="219"/>
      <c r="Y33" s="219"/>
      <c r="Z33" s="219"/>
      <c r="AA33" s="219"/>
      <c r="AB33" s="219"/>
      <c r="AC33" s="214"/>
      <c r="AD33" s="219" t="s">
        <v>53</v>
      </c>
      <c r="AE33" s="221" t="s">
        <v>94</v>
      </c>
      <c r="AF33" s="219" t="s">
        <v>56</v>
      </c>
      <c r="AG33" s="108" t="s">
        <v>955</v>
      </c>
      <c r="AH33" s="108" t="s">
        <v>53</v>
      </c>
    </row>
    <row r="34" s="153" customFormat="1" ht="56" hidden="1" spans="1:34">
      <c r="A34" s="213">
        <v>540425201807007</v>
      </c>
      <c r="B34" s="214" t="s">
        <v>19</v>
      </c>
      <c r="C34" s="214" t="s">
        <v>20</v>
      </c>
      <c r="D34" s="214">
        <v>2018</v>
      </c>
      <c r="E34" s="229" t="s">
        <v>185</v>
      </c>
      <c r="F34" s="214" t="s">
        <v>140</v>
      </c>
      <c r="G34" s="214" t="s">
        <v>1001</v>
      </c>
      <c r="H34" s="214" t="s">
        <v>1002</v>
      </c>
      <c r="I34" s="216">
        <f t="shared" si="4"/>
        <v>64.84</v>
      </c>
      <c r="J34" s="216">
        <v>50</v>
      </c>
      <c r="K34" s="216">
        <v>14.84</v>
      </c>
      <c r="L34" s="216">
        <f t="shared" si="5"/>
        <v>64.84</v>
      </c>
      <c r="M34" s="216">
        <v>50</v>
      </c>
      <c r="N34" s="216">
        <v>14.84</v>
      </c>
      <c r="O34" s="214" t="s">
        <v>920</v>
      </c>
      <c r="P34" s="214" t="s">
        <v>957</v>
      </c>
      <c r="Q34" s="214" t="s">
        <v>939</v>
      </c>
      <c r="R34" s="220" t="s">
        <v>922</v>
      </c>
      <c r="S34" s="214" t="s">
        <v>53</v>
      </c>
      <c r="T34" s="214" t="s">
        <v>930</v>
      </c>
      <c r="U34" s="214" t="s">
        <v>1003</v>
      </c>
      <c r="V34" s="214" t="s">
        <v>1004</v>
      </c>
      <c r="W34" s="219" t="s">
        <v>56</v>
      </c>
      <c r="X34" s="219"/>
      <c r="Y34" s="219"/>
      <c r="Z34" s="219">
        <v>28000</v>
      </c>
      <c r="AA34" s="219"/>
      <c r="AB34" s="219" t="s">
        <v>983</v>
      </c>
      <c r="AC34" s="214"/>
      <c r="AD34" s="219" t="s">
        <v>53</v>
      </c>
      <c r="AE34" s="221" t="s">
        <v>54</v>
      </c>
      <c r="AF34" s="108" t="s">
        <v>53</v>
      </c>
      <c r="AG34" s="108" t="s">
        <v>955</v>
      </c>
      <c r="AH34" s="108" t="s">
        <v>53</v>
      </c>
    </row>
    <row r="35" s="153" customFormat="1" ht="56" hidden="1" spans="1:34">
      <c r="A35" s="213">
        <v>540425201808005</v>
      </c>
      <c r="B35" s="214" t="s">
        <v>19</v>
      </c>
      <c r="C35" s="214" t="s">
        <v>20</v>
      </c>
      <c r="D35" s="214">
        <v>2018</v>
      </c>
      <c r="E35" s="229" t="s">
        <v>186</v>
      </c>
      <c r="F35" s="214" t="s">
        <v>140</v>
      </c>
      <c r="G35" s="214" t="s">
        <v>1001</v>
      </c>
      <c r="H35" s="214" t="s">
        <v>1005</v>
      </c>
      <c r="I35" s="216">
        <f t="shared" si="4"/>
        <v>55.6</v>
      </c>
      <c r="J35" s="216">
        <v>50</v>
      </c>
      <c r="K35" s="216">
        <v>5.6</v>
      </c>
      <c r="L35" s="216">
        <f t="shared" si="5"/>
        <v>55.6</v>
      </c>
      <c r="M35" s="216">
        <v>50</v>
      </c>
      <c r="N35" s="216">
        <v>5.6</v>
      </c>
      <c r="O35" s="214" t="s">
        <v>920</v>
      </c>
      <c r="P35" s="214" t="s">
        <v>954</v>
      </c>
      <c r="Q35" s="214" t="s">
        <v>939</v>
      </c>
      <c r="R35" s="220" t="s">
        <v>922</v>
      </c>
      <c r="S35" s="214" t="s">
        <v>53</v>
      </c>
      <c r="T35" s="214" t="s">
        <v>930</v>
      </c>
      <c r="U35" s="214" t="s">
        <v>931</v>
      </c>
      <c r="V35" s="214" t="s">
        <v>1006</v>
      </c>
      <c r="W35" s="219" t="s">
        <v>56</v>
      </c>
      <c r="X35" s="219"/>
      <c r="Y35" s="219"/>
      <c r="Z35" s="219">
        <v>51700</v>
      </c>
      <c r="AA35" s="219"/>
      <c r="AB35" s="219" t="s">
        <v>983</v>
      </c>
      <c r="AC35" s="214"/>
      <c r="AD35" s="219" t="s">
        <v>53</v>
      </c>
      <c r="AE35" s="221" t="s">
        <v>54</v>
      </c>
      <c r="AF35" s="108" t="s">
        <v>53</v>
      </c>
      <c r="AG35" s="108" t="s">
        <v>955</v>
      </c>
      <c r="AH35" s="108" t="s">
        <v>53</v>
      </c>
    </row>
    <row r="36" s="153" customFormat="1" ht="42" hidden="1" spans="1:34">
      <c r="A36" s="213">
        <v>540425201807008</v>
      </c>
      <c r="B36" s="214" t="s">
        <v>19</v>
      </c>
      <c r="C36" s="214" t="s">
        <v>20</v>
      </c>
      <c r="D36" s="214">
        <v>2018</v>
      </c>
      <c r="E36" s="229" t="s">
        <v>187</v>
      </c>
      <c r="F36" s="214" t="s">
        <v>98</v>
      </c>
      <c r="G36" s="214" t="s">
        <v>1007</v>
      </c>
      <c r="H36" s="214" t="s">
        <v>1008</v>
      </c>
      <c r="I36" s="216">
        <f t="shared" si="4"/>
        <v>71.44</v>
      </c>
      <c r="J36" s="216">
        <v>50</v>
      </c>
      <c r="K36" s="216">
        <v>21.44</v>
      </c>
      <c r="L36" s="216">
        <f t="shared" si="5"/>
        <v>71.44</v>
      </c>
      <c r="M36" s="216">
        <v>50</v>
      </c>
      <c r="N36" s="216">
        <v>21.44</v>
      </c>
      <c r="O36" s="214" t="s">
        <v>920</v>
      </c>
      <c r="P36" s="214" t="s">
        <v>957</v>
      </c>
      <c r="Q36" s="214" t="s">
        <v>939</v>
      </c>
      <c r="R36" s="220" t="s">
        <v>939</v>
      </c>
      <c r="S36" s="214" t="s">
        <v>53</v>
      </c>
      <c r="T36" s="214" t="s">
        <v>930</v>
      </c>
      <c r="U36" s="214" t="s">
        <v>1009</v>
      </c>
      <c r="V36" s="214" t="s">
        <v>1010</v>
      </c>
      <c r="W36" s="219"/>
      <c r="X36" s="219"/>
      <c r="Y36" s="219"/>
      <c r="Z36" s="219"/>
      <c r="AA36" s="219"/>
      <c r="AB36" s="219" t="s">
        <v>983</v>
      </c>
      <c r="AC36" s="214"/>
      <c r="AD36" s="219" t="s">
        <v>53</v>
      </c>
      <c r="AE36" s="221" t="s">
        <v>54</v>
      </c>
      <c r="AF36" s="108" t="s">
        <v>53</v>
      </c>
      <c r="AG36" s="108" t="s">
        <v>955</v>
      </c>
      <c r="AH36" s="108" t="s">
        <v>53</v>
      </c>
    </row>
    <row r="37" s="153" customFormat="1" ht="42" hidden="1" spans="1:34">
      <c r="A37" s="213">
        <v>540425201807009</v>
      </c>
      <c r="B37" s="214" t="s">
        <v>19</v>
      </c>
      <c r="C37" s="214" t="s">
        <v>20</v>
      </c>
      <c r="D37" s="214">
        <v>2018</v>
      </c>
      <c r="E37" s="229" t="s">
        <v>188</v>
      </c>
      <c r="F37" s="214" t="s">
        <v>98</v>
      </c>
      <c r="G37" s="214" t="s">
        <v>1011</v>
      </c>
      <c r="H37" s="214" t="s">
        <v>1012</v>
      </c>
      <c r="I37" s="216">
        <f t="shared" si="4"/>
        <v>53.08</v>
      </c>
      <c r="J37" s="216">
        <v>50</v>
      </c>
      <c r="K37" s="216">
        <v>3.08</v>
      </c>
      <c r="L37" s="216">
        <f t="shared" si="5"/>
        <v>53.08</v>
      </c>
      <c r="M37" s="216">
        <v>50</v>
      </c>
      <c r="N37" s="216">
        <v>3.08</v>
      </c>
      <c r="O37" s="214" t="s">
        <v>920</v>
      </c>
      <c r="P37" s="214" t="s">
        <v>957</v>
      </c>
      <c r="Q37" s="214" t="s">
        <v>939</v>
      </c>
      <c r="R37" s="220" t="s">
        <v>922</v>
      </c>
      <c r="S37" s="214" t="s">
        <v>53</v>
      </c>
      <c r="T37" s="214" t="s">
        <v>930</v>
      </c>
      <c r="U37" s="214" t="s">
        <v>1009</v>
      </c>
      <c r="V37" s="214" t="s">
        <v>1013</v>
      </c>
      <c r="W37" s="219"/>
      <c r="X37" s="219"/>
      <c r="Y37" s="219"/>
      <c r="Z37" s="219">
        <v>41680</v>
      </c>
      <c r="AA37" s="219"/>
      <c r="AB37" s="219" t="s">
        <v>983</v>
      </c>
      <c r="AC37" s="214"/>
      <c r="AD37" s="219" t="s">
        <v>53</v>
      </c>
      <c r="AE37" s="221" t="s">
        <v>54</v>
      </c>
      <c r="AF37" s="108" t="s">
        <v>53</v>
      </c>
      <c r="AG37" s="108" t="s">
        <v>955</v>
      </c>
      <c r="AH37" s="108" t="s">
        <v>53</v>
      </c>
    </row>
    <row r="38" s="153" customFormat="1" ht="28" hidden="1" spans="1:34">
      <c r="A38" s="213">
        <v>540425201805001</v>
      </c>
      <c r="B38" s="214" t="s">
        <v>19</v>
      </c>
      <c r="C38" s="214" t="s">
        <v>20</v>
      </c>
      <c r="D38" s="214">
        <v>2018</v>
      </c>
      <c r="E38" s="229" t="s">
        <v>189</v>
      </c>
      <c r="F38" s="214" t="s">
        <v>140</v>
      </c>
      <c r="G38" s="214" t="s">
        <v>990</v>
      </c>
      <c r="H38" s="214" t="s">
        <v>1014</v>
      </c>
      <c r="I38" s="216">
        <f t="shared" si="4"/>
        <v>72.58</v>
      </c>
      <c r="J38" s="216">
        <v>50</v>
      </c>
      <c r="K38" s="216">
        <v>22.58</v>
      </c>
      <c r="L38" s="216">
        <f t="shared" si="5"/>
        <v>72.58</v>
      </c>
      <c r="M38" s="216">
        <v>50</v>
      </c>
      <c r="N38" s="216">
        <v>22.58</v>
      </c>
      <c r="O38" s="214" t="s">
        <v>920</v>
      </c>
      <c r="P38" s="214" t="s">
        <v>1015</v>
      </c>
      <c r="Q38" s="214" t="s">
        <v>927</v>
      </c>
      <c r="R38" s="220" t="s">
        <v>927</v>
      </c>
      <c r="S38" s="214" t="s">
        <v>53</v>
      </c>
      <c r="T38" s="214" t="s">
        <v>930</v>
      </c>
      <c r="U38" s="214" t="s">
        <v>1003</v>
      </c>
      <c r="V38" s="214" t="s">
        <v>1016</v>
      </c>
      <c r="W38" s="219" t="s">
        <v>56</v>
      </c>
      <c r="X38" s="219"/>
      <c r="Y38" s="219"/>
      <c r="Z38" s="219">
        <v>76100</v>
      </c>
      <c r="AA38" s="219"/>
      <c r="AB38" s="219" t="s">
        <v>983</v>
      </c>
      <c r="AC38" s="214"/>
      <c r="AD38" s="219" t="s">
        <v>53</v>
      </c>
      <c r="AE38" s="221" t="s">
        <v>54</v>
      </c>
      <c r="AF38" s="219" t="s">
        <v>56</v>
      </c>
      <c r="AG38" s="108" t="s">
        <v>955</v>
      </c>
      <c r="AH38" s="108"/>
    </row>
    <row r="39" s="153" customFormat="1" ht="112" hidden="1" spans="1:34">
      <c r="A39" s="213">
        <v>540425201807010</v>
      </c>
      <c r="B39" s="214" t="s">
        <v>19</v>
      </c>
      <c r="C39" s="214" t="s">
        <v>20</v>
      </c>
      <c r="D39" s="214">
        <v>2018</v>
      </c>
      <c r="E39" s="229" t="s">
        <v>190</v>
      </c>
      <c r="F39" s="214" t="s">
        <v>216</v>
      </c>
      <c r="G39" s="214" t="s">
        <v>1017</v>
      </c>
      <c r="H39" s="214" t="s">
        <v>1018</v>
      </c>
      <c r="I39" s="216">
        <f t="shared" si="4"/>
        <v>54.44</v>
      </c>
      <c r="J39" s="216">
        <v>50</v>
      </c>
      <c r="K39" s="216">
        <v>4.44</v>
      </c>
      <c r="L39" s="216">
        <f t="shared" si="5"/>
        <v>54.44</v>
      </c>
      <c r="M39" s="216">
        <v>50</v>
      </c>
      <c r="N39" s="216">
        <v>4.44</v>
      </c>
      <c r="O39" s="214" t="s">
        <v>920</v>
      </c>
      <c r="P39" s="214" t="s">
        <v>957</v>
      </c>
      <c r="Q39" s="214" t="s">
        <v>939</v>
      </c>
      <c r="R39" s="220" t="s">
        <v>927</v>
      </c>
      <c r="S39" s="214" t="s">
        <v>53</v>
      </c>
      <c r="T39" s="214" t="s">
        <v>930</v>
      </c>
      <c r="U39" s="214" t="s">
        <v>1003</v>
      </c>
      <c r="V39" s="214" t="s">
        <v>1019</v>
      </c>
      <c r="W39" s="219"/>
      <c r="X39" s="219"/>
      <c r="Y39" s="219"/>
      <c r="Z39" s="219"/>
      <c r="AA39" s="219"/>
      <c r="AB39" s="219" t="s">
        <v>983</v>
      </c>
      <c r="AC39" s="214"/>
      <c r="AD39" s="219" t="s">
        <v>53</v>
      </c>
      <c r="AE39" s="221" t="s">
        <v>54</v>
      </c>
      <c r="AF39" s="108" t="s">
        <v>53</v>
      </c>
      <c r="AG39" s="108" t="s">
        <v>955</v>
      </c>
      <c r="AH39" s="108"/>
    </row>
    <row r="40" s="153" customFormat="1" ht="42" hidden="1" spans="1:34">
      <c r="A40" s="213">
        <v>540425201807011</v>
      </c>
      <c r="B40" s="214" t="s">
        <v>19</v>
      </c>
      <c r="C40" s="214" t="s">
        <v>20</v>
      </c>
      <c r="D40" s="214">
        <v>2018</v>
      </c>
      <c r="E40" s="229" t="s">
        <v>191</v>
      </c>
      <c r="F40" s="214" t="s">
        <v>67</v>
      </c>
      <c r="G40" s="214" t="s">
        <v>1020</v>
      </c>
      <c r="H40" s="214" t="s">
        <v>1021</v>
      </c>
      <c r="I40" s="216">
        <f t="shared" si="4"/>
        <v>50</v>
      </c>
      <c r="J40" s="216">
        <v>50</v>
      </c>
      <c r="K40" s="216">
        <v>0</v>
      </c>
      <c r="L40" s="216">
        <f t="shared" si="5"/>
        <v>50</v>
      </c>
      <c r="M40" s="216">
        <v>50</v>
      </c>
      <c r="N40" s="216">
        <v>0</v>
      </c>
      <c r="O40" s="214" t="s">
        <v>920</v>
      </c>
      <c r="P40" s="214" t="s">
        <v>957</v>
      </c>
      <c r="Q40" s="214" t="s">
        <v>939</v>
      </c>
      <c r="R40" s="220" t="s">
        <v>939</v>
      </c>
      <c r="S40" s="214" t="s">
        <v>53</v>
      </c>
      <c r="T40" s="214"/>
      <c r="U40" s="214"/>
      <c r="V40" s="214"/>
      <c r="W40" s="219" t="s">
        <v>56</v>
      </c>
      <c r="X40" s="219"/>
      <c r="Y40" s="219"/>
      <c r="Z40" s="219"/>
      <c r="AA40" s="219"/>
      <c r="AB40" s="219" t="s">
        <v>131</v>
      </c>
      <c r="AC40" s="214"/>
      <c r="AD40" s="219" t="s">
        <v>53</v>
      </c>
      <c r="AE40" s="221" t="s">
        <v>54</v>
      </c>
      <c r="AF40" s="219" t="s">
        <v>53</v>
      </c>
      <c r="AG40" s="108" t="s">
        <v>955</v>
      </c>
      <c r="AH40" s="108" t="s">
        <v>53</v>
      </c>
    </row>
    <row r="41" s="153" customFormat="1" ht="70" hidden="1" spans="1:34">
      <c r="A41" s="213">
        <v>540425201812003</v>
      </c>
      <c r="B41" s="214" t="s">
        <v>19</v>
      </c>
      <c r="C41" s="214" t="s">
        <v>20</v>
      </c>
      <c r="D41" s="214">
        <v>2018</v>
      </c>
      <c r="E41" s="229" t="s">
        <v>192</v>
      </c>
      <c r="F41" s="214" t="s">
        <v>121</v>
      </c>
      <c r="G41" s="214" t="s">
        <v>1022</v>
      </c>
      <c r="H41" s="214" t="s">
        <v>1023</v>
      </c>
      <c r="I41" s="216">
        <f t="shared" si="4"/>
        <v>915.53</v>
      </c>
      <c r="J41" s="216">
        <v>457.765</v>
      </c>
      <c r="K41" s="216">
        <v>457.765</v>
      </c>
      <c r="L41" s="216">
        <f t="shared" si="5"/>
        <v>566.120561</v>
      </c>
      <c r="M41" s="216">
        <v>283.0602805</v>
      </c>
      <c r="N41" s="216">
        <v>283.0602805</v>
      </c>
      <c r="O41" s="214" t="s">
        <v>920</v>
      </c>
      <c r="P41" s="214" t="s">
        <v>1024</v>
      </c>
      <c r="Q41" s="214" t="s">
        <v>927</v>
      </c>
      <c r="R41" s="214" t="s">
        <v>927</v>
      </c>
      <c r="S41" s="214" t="s">
        <v>56</v>
      </c>
      <c r="T41" s="214"/>
      <c r="U41" s="214"/>
      <c r="V41" s="214"/>
      <c r="W41" s="219"/>
      <c r="X41" s="219"/>
      <c r="Y41" s="219"/>
      <c r="Z41" s="219"/>
      <c r="AA41" s="219"/>
      <c r="AB41" s="219"/>
      <c r="AC41" s="214" t="s">
        <v>1025</v>
      </c>
      <c r="AD41" s="219" t="s">
        <v>53</v>
      </c>
      <c r="AE41" s="221" t="s">
        <v>1026</v>
      </c>
      <c r="AF41" s="108" t="s">
        <v>56</v>
      </c>
      <c r="AG41" s="108" t="s">
        <v>955</v>
      </c>
      <c r="AH41" s="108"/>
    </row>
    <row r="42" s="153" customFormat="1" ht="70" hidden="1" spans="1:34">
      <c r="A42" s="213">
        <v>540425201812004</v>
      </c>
      <c r="B42" s="214" t="s">
        <v>19</v>
      </c>
      <c r="C42" s="214" t="s">
        <v>20</v>
      </c>
      <c r="D42" s="214">
        <v>2018</v>
      </c>
      <c r="E42" s="229" t="s">
        <v>194</v>
      </c>
      <c r="F42" s="214" t="s">
        <v>121</v>
      </c>
      <c r="G42" s="214" t="s">
        <v>1027</v>
      </c>
      <c r="H42" s="214" t="s">
        <v>1028</v>
      </c>
      <c r="I42" s="216">
        <f t="shared" si="4"/>
        <v>1205.59</v>
      </c>
      <c r="J42" s="216">
        <v>602.795</v>
      </c>
      <c r="K42" s="216">
        <v>602.795</v>
      </c>
      <c r="L42" s="216">
        <f t="shared" si="5"/>
        <v>937.07852</v>
      </c>
      <c r="M42" s="216">
        <v>468.53926</v>
      </c>
      <c r="N42" s="216">
        <v>468.53926</v>
      </c>
      <c r="O42" s="214" t="s">
        <v>920</v>
      </c>
      <c r="P42" s="214" t="s">
        <v>1024</v>
      </c>
      <c r="Q42" s="214" t="s">
        <v>927</v>
      </c>
      <c r="R42" s="214" t="s">
        <v>927</v>
      </c>
      <c r="S42" s="214" t="s">
        <v>53</v>
      </c>
      <c r="T42" s="214"/>
      <c r="U42" s="214"/>
      <c r="V42" s="214"/>
      <c r="W42" s="219"/>
      <c r="X42" s="219"/>
      <c r="Y42" s="219"/>
      <c r="Z42" s="219"/>
      <c r="AA42" s="219"/>
      <c r="AB42" s="219"/>
      <c r="AC42" s="214"/>
      <c r="AD42" s="219" t="s">
        <v>53</v>
      </c>
      <c r="AE42" s="221" t="s">
        <v>81</v>
      </c>
      <c r="AF42" s="108" t="s">
        <v>56</v>
      </c>
      <c r="AG42" s="108" t="s">
        <v>955</v>
      </c>
      <c r="AH42" s="108"/>
    </row>
    <row r="43" s="155" customFormat="1" ht="42" hidden="1" spans="1:34">
      <c r="A43" s="235">
        <v>540425201819014</v>
      </c>
      <c r="B43" s="220" t="s">
        <v>19</v>
      </c>
      <c r="C43" s="220" t="s">
        <v>20</v>
      </c>
      <c r="D43" s="220">
        <v>2018</v>
      </c>
      <c r="E43" s="236" t="s">
        <v>195</v>
      </c>
      <c r="F43" s="220" t="s">
        <v>121</v>
      </c>
      <c r="G43" s="220" t="s">
        <v>1029</v>
      </c>
      <c r="H43" s="220" t="s">
        <v>1030</v>
      </c>
      <c r="I43" s="237">
        <f t="shared" si="4"/>
        <v>379.93</v>
      </c>
      <c r="J43" s="237">
        <v>250</v>
      </c>
      <c r="K43" s="237">
        <v>129.93</v>
      </c>
      <c r="L43" s="237">
        <f t="shared" si="5"/>
        <v>361.466225</v>
      </c>
      <c r="M43" s="237">
        <v>236.271175</v>
      </c>
      <c r="N43" s="237">
        <v>125.19505</v>
      </c>
      <c r="O43" s="220" t="s">
        <v>920</v>
      </c>
      <c r="P43" s="220" t="s">
        <v>944</v>
      </c>
      <c r="Q43" s="220" t="s">
        <v>939</v>
      </c>
      <c r="R43" s="220" t="s">
        <v>973</v>
      </c>
      <c r="S43" s="220" t="s">
        <v>56</v>
      </c>
      <c r="T43" s="220"/>
      <c r="U43" s="220"/>
      <c r="V43" s="220"/>
      <c r="W43" s="238"/>
      <c r="X43" s="238"/>
      <c r="Y43" s="238"/>
      <c r="Z43" s="238"/>
      <c r="AA43" s="238"/>
      <c r="AB43" s="238"/>
      <c r="AC43" s="220" t="s">
        <v>1031</v>
      </c>
      <c r="AD43" s="238" t="s">
        <v>53</v>
      </c>
      <c r="AE43" s="239" t="s">
        <v>54</v>
      </c>
      <c r="AF43" s="238" t="s">
        <v>56</v>
      </c>
      <c r="AG43" s="108" t="s">
        <v>955</v>
      </c>
      <c r="AH43" s="108"/>
    </row>
    <row r="44" s="151" customFormat="1" ht="42" hidden="1" spans="1:34">
      <c r="A44" s="189">
        <v>540425201812006</v>
      </c>
      <c r="B44" s="190" t="s">
        <v>19</v>
      </c>
      <c r="C44" s="190" t="s">
        <v>20</v>
      </c>
      <c r="D44" s="190">
        <v>2018</v>
      </c>
      <c r="E44" s="191" t="s">
        <v>454</v>
      </c>
      <c r="F44" s="190" t="s">
        <v>456</v>
      </c>
      <c r="G44" s="190" t="s">
        <v>1032</v>
      </c>
      <c r="H44" s="190" t="s">
        <v>1033</v>
      </c>
      <c r="I44" s="192">
        <f t="shared" si="4"/>
        <v>2000</v>
      </c>
      <c r="J44" s="192">
        <v>2000</v>
      </c>
      <c r="K44" s="192">
        <v>0</v>
      </c>
      <c r="L44" s="192">
        <f t="shared" si="5"/>
        <v>2000</v>
      </c>
      <c r="M44" s="192">
        <v>2000</v>
      </c>
      <c r="N44" s="192">
        <v>0</v>
      </c>
      <c r="O44" s="190" t="s">
        <v>920</v>
      </c>
      <c r="P44" s="190" t="s">
        <v>1024</v>
      </c>
      <c r="Q44" s="190" t="s">
        <v>927</v>
      </c>
      <c r="R44" s="194" t="s">
        <v>927</v>
      </c>
      <c r="S44" s="187" t="s">
        <v>53</v>
      </c>
      <c r="T44" s="187" t="s">
        <v>930</v>
      </c>
      <c r="U44" s="187" t="s">
        <v>980</v>
      </c>
      <c r="V44" s="187" t="s">
        <v>1034</v>
      </c>
      <c r="W44" s="234" t="s">
        <v>56</v>
      </c>
      <c r="X44" s="234"/>
      <c r="Y44" s="234"/>
      <c r="Z44" s="234"/>
      <c r="AA44" s="234">
        <v>800</v>
      </c>
      <c r="AB44" s="234" t="s">
        <v>983</v>
      </c>
      <c r="AC44" s="187" t="s">
        <v>1035</v>
      </c>
      <c r="AD44" s="195" t="s">
        <v>56</v>
      </c>
      <c r="AE44" s="196" t="s">
        <v>455</v>
      </c>
      <c r="AF44" s="195" t="s">
        <v>56</v>
      </c>
      <c r="AG44" s="197" t="s">
        <v>53</v>
      </c>
      <c r="AH44" s="197"/>
    </row>
    <row r="45" s="153" customFormat="1" ht="28" hidden="1" spans="1:34">
      <c r="A45" s="213">
        <v>540425201812008</v>
      </c>
      <c r="B45" s="214" t="s">
        <v>19</v>
      </c>
      <c r="C45" s="214" t="s">
        <v>20</v>
      </c>
      <c r="D45" s="214">
        <v>2018</v>
      </c>
      <c r="E45" s="229" t="s">
        <v>438</v>
      </c>
      <c r="F45" s="214" t="s">
        <v>121</v>
      </c>
      <c r="G45" s="214" t="s">
        <v>1036</v>
      </c>
      <c r="H45" s="214" t="s">
        <v>1037</v>
      </c>
      <c r="I45" s="216">
        <f t="shared" si="4"/>
        <v>435.6</v>
      </c>
      <c r="J45" s="216">
        <v>435.6</v>
      </c>
      <c r="K45" s="216">
        <v>0</v>
      </c>
      <c r="L45" s="216">
        <f t="shared" si="5"/>
        <v>435.6</v>
      </c>
      <c r="M45" s="216">
        <v>435.6</v>
      </c>
      <c r="N45" s="216">
        <v>0</v>
      </c>
      <c r="O45" s="214" t="s">
        <v>920</v>
      </c>
      <c r="P45" s="214" t="s">
        <v>1024</v>
      </c>
      <c r="Q45" s="214" t="s">
        <v>927</v>
      </c>
      <c r="R45" s="214" t="s">
        <v>927</v>
      </c>
      <c r="S45" s="214" t="s">
        <v>56</v>
      </c>
      <c r="T45" s="214"/>
      <c r="U45" s="214"/>
      <c r="V45" s="214"/>
      <c r="W45" s="219" t="s">
        <v>56</v>
      </c>
      <c r="X45" s="219"/>
      <c r="Y45" s="219"/>
      <c r="Z45" s="219"/>
      <c r="AA45" s="219"/>
      <c r="AB45" s="219"/>
      <c r="AC45" s="214" t="s">
        <v>1038</v>
      </c>
      <c r="AD45" s="219" t="s">
        <v>53</v>
      </c>
      <c r="AE45" s="221" t="s">
        <v>439</v>
      </c>
      <c r="AF45" s="108" t="s">
        <v>56</v>
      </c>
      <c r="AG45" s="108" t="s">
        <v>955</v>
      </c>
      <c r="AH45" s="108"/>
    </row>
    <row r="46" s="153" customFormat="1" ht="28" hidden="1" spans="1:34">
      <c r="A46" s="213">
        <v>540425201712009</v>
      </c>
      <c r="B46" s="214" t="s">
        <v>19</v>
      </c>
      <c r="C46" s="214" t="s">
        <v>20</v>
      </c>
      <c r="D46" s="214">
        <v>2017</v>
      </c>
      <c r="E46" s="229" t="s">
        <v>440</v>
      </c>
      <c r="F46" s="214" t="s">
        <v>121</v>
      </c>
      <c r="G46" s="214" t="s">
        <v>1039</v>
      </c>
      <c r="H46" s="214" t="s">
        <v>1040</v>
      </c>
      <c r="I46" s="216">
        <f t="shared" si="4"/>
        <v>600.7</v>
      </c>
      <c r="J46" s="216">
        <v>400.47</v>
      </c>
      <c r="K46" s="216">
        <v>200.23</v>
      </c>
      <c r="L46" s="216">
        <f t="shared" si="5"/>
        <v>600.7</v>
      </c>
      <c r="M46" s="216">
        <v>400.47</v>
      </c>
      <c r="N46" s="216">
        <v>200.23</v>
      </c>
      <c r="O46" s="214" t="s">
        <v>920</v>
      </c>
      <c r="P46" s="214" t="s">
        <v>1024</v>
      </c>
      <c r="Q46" s="214" t="s">
        <v>927</v>
      </c>
      <c r="R46" s="220" t="s">
        <v>922</v>
      </c>
      <c r="S46" s="214" t="s">
        <v>56</v>
      </c>
      <c r="T46" s="214"/>
      <c r="U46" s="214"/>
      <c r="V46" s="214"/>
      <c r="W46" s="219"/>
      <c r="X46" s="219"/>
      <c r="Y46" s="219"/>
      <c r="Z46" s="219"/>
      <c r="AA46" s="219"/>
      <c r="AB46" s="219"/>
      <c r="AC46" s="214"/>
      <c r="AD46" s="219" t="s">
        <v>53</v>
      </c>
      <c r="AE46" s="221" t="s">
        <v>1026</v>
      </c>
      <c r="AF46" s="108" t="s">
        <v>56</v>
      </c>
      <c r="AG46" s="108" t="s">
        <v>955</v>
      </c>
      <c r="AH46" s="108"/>
    </row>
    <row r="47" s="153" customFormat="1" hidden="1" spans="1:34">
      <c r="A47" s="213">
        <v>540425201804004</v>
      </c>
      <c r="B47" s="219" t="s">
        <v>19</v>
      </c>
      <c r="C47" s="219" t="s">
        <v>20</v>
      </c>
      <c r="D47" s="219">
        <v>2018</v>
      </c>
      <c r="E47" s="215" t="s">
        <v>459</v>
      </c>
      <c r="F47" s="214" t="s">
        <v>131</v>
      </c>
      <c r="G47" s="214" t="s">
        <v>1041</v>
      </c>
      <c r="H47" s="214" t="s">
        <v>1042</v>
      </c>
      <c r="I47" s="216">
        <f t="shared" si="4"/>
        <v>12.5112</v>
      </c>
      <c r="J47" s="217">
        <v>12.5112</v>
      </c>
      <c r="K47" s="217">
        <v>0</v>
      </c>
      <c r="L47" s="216">
        <f t="shared" si="5"/>
        <v>12.5112</v>
      </c>
      <c r="M47" s="217">
        <v>12.5112</v>
      </c>
      <c r="N47" s="217">
        <v>0</v>
      </c>
      <c r="O47" s="219" t="s">
        <v>937</v>
      </c>
      <c r="P47" s="219" t="s">
        <v>938</v>
      </c>
      <c r="Q47" s="219" t="s">
        <v>922</v>
      </c>
      <c r="R47" s="238"/>
      <c r="S47" s="219" t="s">
        <v>56</v>
      </c>
      <c r="T47" s="219"/>
      <c r="U47" s="219"/>
      <c r="V47" s="219"/>
      <c r="W47" s="219"/>
      <c r="X47" s="219"/>
      <c r="Y47" s="219"/>
      <c r="Z47" s="219"/>
      <c r="AA47" s="219"/>
      <c r="AB47" s="219"/>
      <c r="AC47" s="219" t="s">
        <v>1043</v>
      </c>
      <c r="AD47" s="219" t="s">
        <v>53</v>
      </c>
      <c r="AE47" s="221" t="s">
        <v>54</v>
      </c>
      <c r="AF47" s="108" t="s">
        <v>56</v>
      </c>
      <c r="AG47" s="108" t="s">
        <v>955</v>
      </c>
      <c r="AH47" s="108"/>
    </row>
    <row r="48" s="153" customFormat="1" ht="42" hidden="1" spans="1:34">
      <c r="A48" s="213">
        <v>540425201820008</v>
      </c>
      <c r="B48" s="214" t="s">
        <v>19</v>
      </c>
      <c r="C48" s="214" t="s">
        <v>20</v>
      </c>
      <c r="D48" s="214">
        <v>2018</v>
      </c>
      <c r="E48" s="229" t="s">
        <v>196</v>
      </c>
      <c r="F48" s="214" t="s">
        <v>210</v>
      </c>
      <c r="G48" s="214" t="s">
        <v>1044</v>
      </c>
      <c r="H48" s="214" t="s">
        <v>1045</v>
      </c>
      <c r="I48" s="216">
        <f t="shared" si="4"/>
        <v>180.14</v>
      </c>
      <c r="J48" s="216">
        <v>180.14</v>
      </c>
      <c r="K48" s="216">
        <v>0</v>
      </c>
      <c r="L48" s="216">
        <f t="shared" si="5"/>
        <v>171.659074</v>
      </c>
      <c r="M48" s="216">
        <v>171.659074</v>
      </c>
      <c r="N48" s="216">
        <v>0</v>
      </c>
      <c r="O48" s="214" t="s">
        <v>920</v>
      </c>
      <c r="P48" s="214" t="s">
        <v>921</v>
      </c>
      <c r="Q48" s="214" t="s">
        <v>922</v>
      </c>
      <c r="R48" s="220" t="s">
        <v>922</v>
      </c>
      <c r="S48" s="214" t="s">
        <v>56</v>
      </c>
      <c r="T48" s="214"/>
      <c r="U48" s="214"/>
      <c r="V48" s="214"/>
      <c r="W48" s="219"/>
      <c r="X48" s="219"/>
      <c r="Y48" s="219"/>
      <c r="Z48" s="219"/>
      <c r="AA48" s="219"/>
      <c r="AB48" s="219"/>
      <c r="AC48" s="214" t="s">
        <v>947</v>
      </c>
      <c r="AD48" s="219" t="s">
        <v>53</v>
      </c>
      <c r="AE48" s="221" t="s">
        <v>54</v>
      </c>
      <c r="AF48" s="108" t="s">
        <v>56</v>
      </c>
      <c r="AG48" s="108" t="s">
        <v>955</v>
      </c>
      <c r="AH48" s="108" t="s">
        <v>53</v>
      </c>
    </row>
    <row r="49" s="153" customFormat="1" ht="42" hidden="1" spans="1:34">
      <c r="A49" s="213">
        <v>540425201820009</v>
      </c>
      <c r="B49" s="214" t="s">
        <v>19</v>
      </c>
      <c r="C49" s="214" t="s">
        <v>20</v>
      </c>
      <c r="D49" s="214">
        <v>2018</v>
      </c>
      <c r="E49" s="229" t="s">
        <v>197</v>
      </c>
      <c r="F49" s="214" t="s">
        <v>210</v>
      </c>
      <c r="G49" s="214" t="s">
        <v>1046</v>
      </c>
      <c r="H49" s="214" t="s">
        <v>1047</v>
      </c>
      <c r="I49" s="216">
        <f t="shared" si="4"/>
        <v>160.52</v>
      </c>
      <c r="J49" s="216">
        <v>160.52</v>
      </c>
      <c r="K49" s="216">
        <v>0</v>
      </c>
      <c r="L49" s="216">
        <f t="shared" si="5"/>
        <v>160.52</v>
      </c>
      <c r="M49" s="216">
        <v>160.52</v>
      </c>
      <c r="N49" s="216">
        <v>0</v>
      </c>
      <c r="O49" s="214" t="s">
        <v>920</v>
      </c>
      <c r="P49" s="214" t="s">
        <v>921</v>
      </c>
      <c r="Q49" s="214" t="s">
        <v>922</v>
      </c>
      <c r="R49" s="220" t="s">
        <v>939</v>
      </c>
      <c r="S49" s="214" t="s">
        <v>53</v>
      </c>
      <c r="T49" s="214" t="s">
        <v>930</v>
      </c>
      <c r="U49" s="214" t="s">
        <v>931</v>
      </c>
      <c r="V49" s="214" t="s">
        <v>1048</v>
      </c>
      <c r="W49" s="219" t="s">
        <v>56</v>
      </c>
      <c r="X49" s="219"/>
      <c r="Y49" s="219"/>
      <c r="Z49" s="219"/>
      <c r="AA49" s="219"/>
      <c r="AB49" s="219" t="s">
        <v>1049</v>
      </c>
      <c r="AC49" s="214" t="s">
        <v>1050</v>
      </c>
      <c r="AD49" s="219" t="s">
        <v>53</v>
      </c>
      <c r="AE49" s="221" t="s">
        <v>1026</v>
      </c>
      <c r="AF49" s="108" t="s">
        <v>56</v>
      </c>
      <c r="AG49" s="108" t="s">
        <v>955</v>
      </c>
      <c r="AH49" s="108" t="s">
        <v>53</v>
      </c>
    </row>
    <row r="50" s="153" customFormat="1" ht="28" hidden="1" spans="1:34">
      <c r="A50" s="213">
        <v>540425201820010</v>
      </c>
      <c r="B50" s="214" t="s">
        <v>19</v>
      </c>
      <c r="C50" s="214" t="s">
        <v>20</v>
      </c>
      <c r="D50" s="214">
        <v>2018</v>
      </c>
      <c r="E50" s="229" t="s">
        <v>199</v>
      </c>
      <c r="F50" s="214" t="s">
        <v>210</v>
      </c>
      <c r="G50" s="214" t="s">
        <v>1051</v>
      </c>
      <c r="H50" s="214" t="s">
        <v>1052</v>
      </c>
      <c r="I50" s="216">
        <f t="shared" si="4"/>
        <v>101.45</v>
      </c>
      <c r="J50" s="216">
        <v>101.45</v>
      </c>
      <c r="K50" s="216">
        <v>0</v>
      </c>
      <c r="L50" s="216">
        <f t="shared" si="5"/>
        <v>95.284457</v>
      </c>
      <c r="M50" s="216">
        <v>95.284457</v>
      </c>
      <c r="N50" s="216">
        <v>0</v>
      </c>
      <c r="O50" s="214" t="s">
        <v>920</v>
      </c>
      <c r="P50" s="214" t="s">
        <v>921</v>
      </c>
      <c r="Q50" s="214" t="s">
        <v>922</v>
      </c>
      <c r="R50" s="220" t="s">
        <v>939</v>
      </c>
      <c r="S50" s="214" t="s">
        <v>56</v>
      </c>
      <c r="T50" s="214" t="s">
        <v>974</v>
      </c>
      <c r="U50" s="214"/>
      <c r="V50" s="214"/>
      <c r="W50" s="219" t="s">
        <v>56</v>
      </c>
      <c r="X50" s="219"/>
      <c r="Y50" s="219"/>
      <c r="Z50" s="219"/>
      <c r="AA50" s="219"/>
      <c r="AB50" s="219" t="s">
        <v>131</v>
      </c>
      <c r="AC50" s="214"/>
      <c r="AD50" s="219" t="s">
        <v>53</v>
      </c>
      <c r="AE50" s="221" t="s">
        <v>54</v>
      </c>
      <c r="AF50" s="108" t="s">
        <v>53</v>
      </c>
      <c r="AG50" s="108" t="s">
        <v>955</v>
      </c>
      <c r="AH50" s="108" t="s">
        <v>53</v>
      </c>
    </row>
    <row r="51" s="153" customFormat="1" ht="28" hidden="1" spans="1:34">
      <c r="A51" s="213">
        <v>540425201820011</v>
      </c>
      <c r="B51" s="214" t="s">
        <v>19</v>
      </c>
      <c r="C51" s="214" t="s">
        <v>20</v>
      </c>
      <c r="D51" s="214">
        <v>2018</v>
      </c>
      <c r="E51" s="229" t="s">
        <v>200</v>
      </c>
      <c r="F51" s="214" t="s">
        <v>210</v>
      </c>
      <c r="G51" s="214" t="s">
        <v>1053</v>
      </c>
      <c r="H51" s="214" t="s">
        <v>1054</v>
      </c>
      <c r="I51" s="216">
        <f t="shared" si="4"/>
        <v>60.87</v>
      </c>
      <c r="J51" s="216">
        <v>60.87</v>
      </c>
      <c r="K51" s="216">
        <v>0</v>
      </c>
      <c r="L51" s="216">
        <f t="shared" si="5"/>
        <v>57.611099</v>
      </c>
      <c r="M51" s="216">
        <v>57.611099</v>
      </c>
      <c r="N51" s="216">
        <v>0</v>
      </c>
      <c r="O51" s="214" t="s">
        <v>920</v>
      </c>
      <c r="P51" s="214" t="s">
        <v>921</v>
      </c>
      <c r="Q51" s="214" t="s">
        <v>922</v>
      </c>
      <c r="R51" s="220" t="s">
        <v>922</v>
      </c>
      <c r="S51" s="214" t="s">
        <v>56</v>
      </c>
      <c r="T51" s="214"/>
      <c r="U51" s="214"/>
      <c r="V51" s="214"/>
      <c r="W51" s="219"/>
      <c r="X51" s="219"/>
      <c r="Y51" s="219"/>
      <c r="Z51" s="219"/>
      <c r="AA51" s="219"/>
      <c r="AB51" s="219"/>
      <c r="AC51" s="214" t="s">
        <v>947</v>
      </c>
      <c r="AD51" s="219" t="s">
        <v>53</v>
      </c>
      <c r="AE51" s="221" t="s">
        <v>54</v>
      </c>
      <c r="AF51" s="108" t="s">
        <v>56</v>
      </c>
      <c r="AG51" s="108" t="s">
        <v>955</v>
      </c>
      <c r="AH51" s="108" t="s">
        <v>53</v>
      </c>
    </row>
    <row r="52" s="153" customFormat="1" ht="42" hidden="1" spans="1:34">
      <c r="A52" s="213">
        <v>540425201820012</v>
      </c>
      <c r="B52" s="214" t="s">
        <v>19</v>
      </c>
      <c r="C52" s="214" t="s">
        <v>20</v>
      </c>
      <c r="D52" s="214">
        <v>2018</v>
      </c>
      <c r="E52" s="229" t="s">
        <v>201</v>
      </c>
      <c r="F52" s="214" t="s">
        <v>210</v>
      </c>
      <c r="G52" s="214" t="s">
        <v>1055</v>
      </c>
      <c r="H52" s="214" t="s">
        <v>1056</v>
      </c>
      <c r="I52" s="216">
        <f t="shared" si="4"/>
        <v>148.07</v>
      </c>
      <c r="J52" s="216">
        <v>148.07</v>
      </c>
      <c r="K52" s="216">
        <v>0</v>
      </c>
      <c r="L52" s="216">
        <f t="shared" si="5"/>
        <v>138.449527</v>
      </c>
      <c r="M52" s="216">
        <v>138.449527</v>
      </c>
      <c r="N52" s="216">
        <v>0</v>
      </c>
      <c r="O52" s="214" t="s">
        <v>920</v>
      </c>
      <c r="P52" s="214" t="s">
        <v>921</v>
      </c>
      <c r="Q52" s="214" t="s">
        <v>922</v>
      </c>
      <c r="R52" s="220" t="s">
        <v>927</v>
      </c>
      <c r="S52" s="214" t="s">
        <v>56</v>
      </c>
      <c r="T52" s="214" t="s">
        <v>974</v>
      </c>
      <c r="U52" s="214"/>
      <c r="V52" s="214"/>
      <c r="W52" s="219"/>
      <c r="X52" s="219"/>
      <c r="Y52" s="219"/>
      <c r="Z52" s="219"/>
      <c r="AA52" s="219"/>
      <c r="AB52" s="219" t="s">
        <v>131</v>
      </c>
      <c r="AC52" s="214"/>
      <c r="AD52" s="219" t="s">
        <v>53</v>
      </c>
      <c r="AE52" s="221" t="s">
        <v>54</v>
      </c>
      <c r="AF52" s="108" t="s">
        <v>56</v>
      </c>
      <c r="AG52" s="108" t="s">
        <v>955</v>
      </c>
      <c r="AH52" s="108"/>
    </row>
    <row r="53" s="153" customFormat="1" ht="56" hidden="1" spans="1:34">
      <c r="A53" s="213">
        <v>540425201820013</v>
      </c>
      <c r="B53" s="214" t="s">
        <v>19</v>
      </c>
      <c r="C53" s="214" t="s">
        <v>20</v>
      </c>
      <c r="D53" s="214">
        <v>2018</v>
      </c>
      <c r="E53" s="229" t="s">
        <v>202</v>
      </c>
      <c r="F53" s="214" t="s">
        <v>210</v>
      </c>
      <c r="G53" s="214" t="s">
        <v>1057</v>
      </c>
      <c r="H53" s="214" t="s">
        <v>1058</v>
      </c>
      <c r="I53" s="216">
        <f t="shared" si="4"/>
        <v>521.33</v>
      </c>
      <c r="J53" s="216">
        <v>521.33</v>
      </c>
      <c r="K53" s="216">
        <v>0</v>
      </c>
      <c r="L53" s="216">
        <f t="shared" si="5"/>
        <v>440.095915</v>
      </c>
      <c r="M53" s="216">
        <v>440.095915</v>
      </c>
      <c r="N53" s="216">
        <v>0</v>
      </c>
      <c r="O53" s="214" t="s">
        <v>920</v>
      </c>
      <c r="P53" s="214" t="s">
        <v>921</v>
      </c>
      <c r="Q53" s="214" t="s">
        <v>922</v>
      </c>
      <c r="R53" s="220" t="s">
        <v>922</v>
      </c>
      <c r="S53" s="214" t="s">
        <v>56</v>
      </c>
      <c r="T53" s="214"/>
      <c r="U53" s="214"/>
      <c r="V53" s="214"/>
      <c r="W53" s="219"/>
      <c r="X53" s="219"/>
      <c r="Y53" s="219"/>
      <c r="Z53" s="219"/>
      <c r="AA53" s="219"/>
      <c r="AB53" s="219"/>
      <c r="AC53" s="214" t="s">
        <v>947</v>
      </c>
      <c r="AD53" s="219" t="s">
        <v>53</v>
      </c>
      <c r="AE53" s="221" t="s">
        <v>54</v>
      </c>
      <c r="AF53" s="108" t="s">
        <v>53</v>
      </c>
      <c r="AG53" s="108" t="s">
        <v>955</v>
      </c>
      <c r="AH53" s="108" t="s">
        <v>53</v>
      </c>
    </row>
    <row r="54" s="153" customFormat="1" ht="140" hidden="1" spans="1:34">
      <c r="A54" s="213">
        <v>540425201819016</v>
      </c>
      <c r="B54" s="219" t="s">
        <v>19</v>
      </c>
      <c r="C54" s="219" t="s">
        <v>20</v>
      </c>
      <c r="D54" s="219">
        <v>2018</v>
      </c>
      <c r="E54" s="215" t="s">
        <v>460</v>
      </c>
      <c r="F54" s="214" t="s">
        <v>210</v>
      </c>
      <c r="G54" s="214" t="s">
        <v>1059</v>
      </c>
      <c r="H54" s="214" t="s">
        <v>1060</v>
      </c>
      <c r="I54" s="216">
        <f t="shared" si="4"/>
        <v>153.1</v>
      </c>
      <c r="J54" s="217">
        <v>153.1</v>
      </c>
      <c r="K54" s="217">
        <v>0</v>
      </c>
      <c r="L54" s="216">
        <f t="shared" si="5"/>
        <v>153.1</v>
      </c>
      <c r="M54" s="217">
        <v>153.1</v>
      </c>
      <c r="N54" s="217">
        <v>0</v>
      </c>
      <c r="O54" s="219" t="s">
        <v>937</v>
      </c>
      <c r="P54" s="219" t="s">
        <v>944</v>
      </c>
      <c r="Q54" s="214" t="s">
        <v>922</v>
      </c>
      <c r="R54" s="238"/>
      <c r="S54" s="219"/>
      <c r="T54" s="219"/>
      <c r="U54" s="219"/>
      <c r="V54" s="219"/>
      <c r="W54" s="219"/>
      <c r="X54" s="219"/>
      <c r="Y54" s="219"/>
      <c r="Z54" s="219"/>
      <c r="AA54" s="219"/>
      <c r="AB54" s="219"/>
      <c r="AC54" s="219" t="s">
        <v>947</v>
      </c>
      <c r="AD54" s="219" t="s">
        <v>53</v>
      </c>
      <c r="AE54" s="221" t="s">
        <v>54</v>
      </c>
      <c r="AF54" s="108" t="s">
        <v>56</v>
      </c>
      <c r="AG54" s="108" t="s">
        <v>955</v>
      </c>
      <c r="AH54" s="108"/>
    </row>
    <row r="55" s="155" customFormat="1" ht="42" hidden="1" spans="1:34">
      <c r="A55" s="235">
        <v>540425201815003</v>
      </c>
      <c r="B55" s="220" t="s">
        <v>19</v>
      </c>
      <c r="C55" s="220" t="s">
        <v>20</v>
      </c>
      <c r="D55" s="220">
        <v>2018</v>
      </c>
      <c r="E55" s="236" t="s">
        <v>203</v>
      </c>
      <c r="F55" s="220" t="s">
        <v>121</v>
      </c>
      <c r="G55" s="220" t="s">
        <v>1027</v>
      </c>
      <c r="H55" s="220" t="s">
        <v>1061</v>
      </c>
      <c r="I55" s="237">
        <f t="shared" si="4"/>
        <v>771.95</v>
      </c>
      <c r="J55" s="237">
        <v>500</v>
      </c>
      <c r="K55" s="237">
        <v>271.95</v>
      </c>
      <c r="L55" s="237">
        <f t="shared" si="5"/>
        <v>693.685557</v>
      </c>
      <c r="M55" s="237">
        <v>474.863231</v>
      </c>
      <c r="N55" s="237">
        <v>218.822326</v>
      </c>
      <c r="O55" s="220" t="s">
        <v>920</v>
      </c>
      <c r="P55" s="220" t="s">
        <v>979</v>
      </c>
      <c r="Q55" s="220" t="s">
        <v>973</v>
      </c>
      <c r="R55" s="220" t="s">
        <v>927</v>
      </c>
      <c r="S55" s="220" t="s">
        <v>53</v>
      </c>
      <c r="T55" s="220"/>
      <c r="U55" s="220"/>
      <c r="V55" s="220"/>
      <c r="W55" s="238"/>
      <c r="X55" s="238"/>
      <c r="Y55" s="238"/>
      <c r="Z55" s="238"/>
      <c r="AA55" s="238"/>
      <c r="AB55" s="238"/>
      <c r="AC55" s="220"/>
      <c r="AD55" s="238" t="s">
        <v>53</v>
      </c>
      <c r="AE55" s="239" t="s">
        <v>204</v>
      </c>
      <c r="AF55" s="238" t="s">
        <v>56</v>
      </c>
      <c r="AG55" s="108" t="s">
        <v>955</v>
      </c>
      <c r="AH55" s="108"/>
    </row>
    <row r="56" s="156" customFormat="1" ht="28" hidden="1" spans="1:34">
      <c r="A56" s="126">
        <v>540425201820015</v>
      </c>
      <c r="B56" s="182" t="s">
        <v>19</v>
      </c>
      <c r="C56" s="182" t="s">
        <v>20</v>
      </c>
      <c r="D56" s="182">
        <v>2018</v>
      </c>
      <c r="E56" s="240" t="s">
        <v>208</v>
      </c>
      <c r="F56" s="182" t="s">
        <v>210</v>
      </c>
      <c r="G56" s="182" t="s">
        <v>997</v>
      </c>
      <c r="H56" s="182" t="s">
        <v>1062</v>
      </c>
      <c r="I56" s="129">
        <f t="shared" si="4"/>
        <v>77.25</v>
      </c>
      <c r="J56" s="129">
        <v>77.25</v>
      </c>
      <c r="K56" s="129">
        <v>0</v>
      </c>
      <c r="L56" s="129">
        <f t="shared" si="5"/>
        <v>77.25</v>
      </c>
      <c r="M56" s="129">
        <v>77.25</v>
      </c>
      <c r="N56" s="129">
        <v>0</v>
      </c>
      <c r="O56" s="182" t="s">
        <v>920</v>
      </c>
      <c r="P56" s="182" t="s">
        <v>921</v>
      </c>
      <c r="Q56" s="226" t="s">
        <v>922</v>
      </c>
      <c r="R56" s="182" t="s">
        <v>939</v>
      </c>
      <c r="S56" s="226" t="s">
        <v>56</v>
      </c>
      <c r="T56" s="226" t="s">
        <v>974</v>
      </c>
      <c r="U56" s="226" t="s">
        <v>1063</v>
      </c>
      <c r="V56" s="226" t="s">
        <v>1064</v>
      </c>
      <c r="W56" s="146" t="s">
        <v>56</v>
      </c>
      <c r="X56" s="146"/>
      <c r="Y56" s="146"/>
      <c r="Z56" s="146"/>
      <c r="AA56" s="146"/>
      <c r="AB56" s="146" t="s">
        <v>131</v>
      </c>
      <c r="AC56" s="226"/>
      <c r="AD56" s="127" t="s">
        <v>56</v>
      </c>
      <c r="AE56" s="241" t="s">
        <v>209</v>
      </c>
      <c r="AF56" s="127" t="s">
        <v>56</v>
      </c>
      <c r="AG56" s="127" t="s">
        <v>53</v>
      </c>
      <c r="AH56" s="127" t="s">
        <v>53</v>
      </c>
    </row>
    <row r="57" s="151" customFormat="1" hidden="1" spans="1:34">
      <c r="A57" s="189">
        <v>540425201819017</v>
      </c>
      <c r="B57" s="190" t="s">
        <v>19</v>
      </c>
      <c r="C57" s="190" t="s">
        <v>20</v>
      </c>
      <c r="D57" s="190">
        <v>2018</v>
      </c>
      <c r="E57" s="191" t="s">
        <v>470</v>
      </c>
      <c r="F57" s="190" t="s">
        <v>140</v>
      </c>
      <c r="G57" s="190" t="s">
        <v>1001</v>
      </c>
      <c r="H57" s="190" t="s">
        <v>992</v>
      </c>
      <c r="I57" s="192">
        <f t="shared" si="4"/>
        <v>30</v>
      </c>
      <c r="J57" s="192">
        <v>30</v>
      </c>
      <c r="K57" s="192">
        <v>0</v>
      </c>
      <c r="L57" s="192">
        <f t="shared" si="5"/>
        <v>30</v>
      </c>
      <c r="M57" s="192">
        <v>30</v>
      </c>
      <c r="N57" s="192">
        <v>0</v>
      </c>
      <c r="O57" s="190" t="s">
        <v>920</v>
      </c>
      <c r="P57" s="190" t="s">
        <v>935</v>
      </c>
      <c r="Q57" s="190" t="s">
        <v>927</v>
      </c>
      <c r="R57" s="194" t="s">
        <v>922</v>
      </c>
      <c r="S57" s="187" t="s">
        <v>53</v>
      </c>
      <c r="T57" s="187" t="s">
        <v>930</v>
      </c>
      <c r="U57" s="187" t="s">
        <v>931</v>
      </c>
      <c r="V57" s="187" t="s">
        <v>1065</v>
      </c>
      <c r="W57" s="234" t="s">
        <v>56</v>
      </c>
      <c r="X57" s="234"/>
      <c r="Y57" s="234"/>
      <c r="Z57" s="234"/>
      <c r="AA57" s="234"/>
      <c r="AB57" s="234" t="s">
        <v>983</v>
      </c>
      <c r="AC57" s="187"/>
      <c r="AD57" s="195" t="s">
        <v>56</v>
      </c>
      <c r="AE57" s="196" t="s">
        <v>450</v>
      </c>
      <c r="AF57" s="195" t="s">
        <v>56</v>
      </c>
      <c r="AG57" s="197" t="s">
        <v>53</v>
      </c>
      <c r="AH57" s="197"/>
    </row>
    <row r="58" s="151" customFormat="1" hidden="1" spans="1:34">
      <c r="A58" s="189">
        <v>540425201819018</v>
      </c>
      <c r="B58" s="190" t="s">
        <v>19</v>
      </c>
      <c r="C58" s="190" t="s">
        <v>20</v>
      </c>
      <c r="D58" s="190">
        <v>2018</v>
      </c>
      <c r="E58" s="191" t="s">
        <v>471</v>
      </c>
      <c r="F58" s="190" t="s">
        <v>140</v>
      </c>
      <c r="G58" s="190" t="s">
        <v>1066</v>
      </c>
      <c r="H58" s="190" t="s">
        <v>992</v>
      </c>
      <c r="I58" s="192">
        <f t="shared" si="4"/>
        <v>43</v>
      </c>
      <c r="J58" s="192">
        <v>40</v>
      </c>
      <c r="K58" s="192">
        <v>3</v>
      </c>
      <c r="L58" s="192">
        <f t="shared" si="5"/>
        <v>40</v>
      </c>
      <c r="M58" s="192">
        <v>40</v>
      </c>
      <c r="N58" s="192">
        <v>0</v>
      </c>
      <c r="O58" s="190" t="s">
        <v>920</v>
      </c>
      <c r="P58" s="190" t="s">
        <v>944</v>
      </c>
      <c r="Q58" s="190" t="s">
        <v>922</v>
      </c>
      <c r="R58" s="194" t="s">
        <v>922</v>
      </c>
      <c r="S58" s="187" t="s">
        <v>56</v>
      </c>
      <c r="T58" s="187"/>
      <c r="U58" s="187"/>
      <c r="V58" s="187"/>
      <c r="W58" s="234" t="s">
        <v>56</v>
      </c>
      <c r="X58" s="234"/>
      <c r="Y58" s="234"/>
      <c r="Z58" s="234"/>
      <c r="AA58" s="234"/>
      <c r="AB58" s="234" t="s">
        <v>983</v>
      </c>
      <c r="AC58" s="187"/>
      <c r="AD58" s="195" t="s">
        <v>56</v>
      </c>
      <c r="AE58" s="196" t="s">
        <v>472</v>
      </c>
      <c r="AF58" s="195" t="s">
        <v>56</v>
      </c>
      <c r="AG58" s="197" t="s">
        <v>53</v>
      </c>
      <c r="AH58" s="197" t="s">
        <v>53</v>
      </c>
    </row>
    <row r="59" s="150" customFormat="1" ht="28" hidden="1" spans="1:34">
      <c r="A59" s="118">
        <v>540425201820017</v>
      </c>
      <c r="B59" s="110" t="s">
        <v>19</v>
      </c>
      <c r="C59" s="110" t="s">
        <v>20</v>
      </c>
      <c r="D59" s="110">
        <v>2018</v>
      </c>
      <c r="E59" s="179" t="s">
        <v>211</v>
      </c>
      <c r="F59" s="110" t="s">
        <v>210</v>
      </c>
      <c r="G59" s="110" t="s">
        <v>918</v>
      </c>
      <c r="H59" s="110" t="s">
        <v>1067</v>
      </c>
      <c r="I59" s="180">
        <f t="shared" si="4"/>
        <v>238.36</v>
      </c>
      <c r="J59" s="180">
        <v>238.36</v>
      </c>
      <c r="K59" s="180">
        <v>0</v>
      </c>
      <c r="L59" s="180">
        <f t="shared" si="5"/>
        <v>238.36</v>
      </c>
      <c r="M59" s="180">
        <v>238.36</v>
      </c>
      <c r="N59" s="180">
        <v>0</v>
      </c>
      <c r="O59" s="110" t="s">
        <v>920</v>
      </c>
      <c r="P59" s="110" t="s">
        <v>921</v>
      </c>
      <c r="Q59" s="110" t="s">
        <v>922</v>
      </c>
      <c r="R59" s="182" t="s">
        <v>939</v>
      </c>
      <c r="S59" s="110" t="s">
        <v>53</v>
      </c>
      <c r="T59" s="110"/>
      <c r="U59" s="110"/>
      <c r="V59" s="110"/>
      <c r="W59" s="108"/>
      <c r="X59" s="108"/>
      <c r="Y59" s="108"/>
      <c r="Z59" s="108"/>
      <c r="AA59" s="108"/>
      <c r="AB59" s="108"/>
      <c r="AC59" s="110"/>
      <c r="AD59" s="108" t="s">
        <v>56</v>
      </c>
      <c r="AE59" s="183" t="s">
        <v>133</v>
      </c>
      <c r="AF59" s="108" t="s">
        <v>56</v>
      </c>
      <c r="AG59" s="108" t="s">
        <v>53</v>
      </c>
      <c r="AH59" s="108" t="s">
        <v>53</v>
      </c>
    </row>
    <row r="60" s="153" customFormat="1" ht="98" hidden="1" spans="1:34">
      <c r="A60" s="213">
        <v>540425201918003</v>
      </c>
      <c r="B60" s="214" t="s">
        <v>19</v>
      </c>
      <c r="C60" s="214" t="s">
        <v>20</v>
      </c>
      <c r="D60" s="214">
        <v>2019</v>
      </c>
      <c r="E60" s="229" t="s">
        <v>64</v>
      </c>
      <c r="F60" s="214" t="s">
        <v>121</v>
      </c>
      <c r="G60" s="214" t="s">
        <v>984</v>
      </c>
      <c r="H60" s="214" t="s">
        <v>1068</v>
      </c>
      <c r="I60" s="216">
        <f t="shared" si="4"/>
        <v>2476</v>
      </c>
      <c r="J60" s="216">
        <v>2476</v>
      </c>
      <c r="K60" s="216">
        <v>0</v>
      </c>
      <c r="L60" s="216">
        <f t="shared" si="5"/>
        <v>2304.742556</v>
      </c>
      <c r="M60" s="216">
        <v>2304.742556</v>
      </c>
      <c r="N60" s="216">
        <v>0</v>
      </c>
      <c r="O60" s="214" t="s">
        <v>920</v>
      </c>
      <c r="P60" s="214" t="s">
        <v>972</v>
      </c>
      <c r="Q60" s="214" t="s">
        <v>973</v>
      </c>
      <c r="R60" s="220" t="s">
        <v>973</v>
      </c>
      <c r="S60" s="214" t="s">
        <v>53</v>
      </c>
      <c r="T60" s="214" t="s">
        <v>974</v>
      </c>
      <c r="U60" s="214" t="s">
        <v>975</v>
      </c>
      <c r="V60" s="214" t="s">
        <v>121</v>
      </c>
      <c r="W60" s="219" t="s">
        <v>56</v>
      </c>
      <c r="X60" s="219"/>
      <c r="Y60" s="219"/>
      <c r="Z60" s="219"/>
      <c r="AA60" s="219"/>
      <c r="AB60" s="219" t="s">
        <v>323</v>
      </c>
      <c r="AC60" s="214"/>
      <c r="AD60" s="219" t="s">
        <v>53</v>
      </c>
      <c r="AE60" s="221" t="s">
        <v>65</v>
      </c>
      <c r="AF60" s="108" t="s">
        <v>56</v>
      </c>
      <c r="AG60" s="108" t="s">
        <v>955</v>
      </c>
      <c r="AH60" s="108"/>
    </row>
    <row r="61" s="153" customFormat="1" ht="42" hidden="1" spans="1:34">
      <c r="A61" s="213">
        <v>540425201920018</v>
      </c>
      <c r="B61" s="214" t="s">
        <v>19</v>
      </c>
      <c r="C61" s="214" t="s">
        <v>20</v>
      </c>
      <c r="D61" s="214">
        <v>2019</v>
      </c>
      <c r="E61" s="229" t="s">
        <v>66</v>
      </c>
      <c r="F61" s="214" t="s">
        <v>67</v>
      </c>
      <c r="G61" s="214" t="s">
        <v>465</v>
      </c>
      <c r="H61" s="214" t="s">
        <v>1069</v>
      </c>
      <c r="I61" s="216">
        <f t="shared" ref="I61:I124" si="6">J61+K61</f>
        <v>50</v>
      </c>
      <c r="J61" s="216">
        <v>50</v>
      </c>
      <c r="K61" s="216">
        <v>0</v>
      </c>
      <c r="L61" s="216">
        <f t="shared" ref="L61:L124" si="7">M61+N61</f>
        <v>50</v>
      </c>
      <c r="M61" s="216">
        <v>50</v>
      </c>
      <c r="N61" s="216">
        <v>0</v>
      </c>
      <c r="O61" s="214" t="s">
        <v>920</v>
      </c>
      <c r="P61" s="214" t="s">
        <v>921</v>
      </c>
      <c r="Q61" s="214" t="s">
        <v>922</v>
      </c>
      <c r="R61" s="220" t="s">
        <v>922</v>
      </c>
      <c r="S61" s="214" t="s">
        <v>56</v>
      </c>
      <c r="T61" s="214" t="s">
        <v>974</v>
      </c>
      <c r="U61" s="214" t="s">
        <v>1063</v>
      </c>
      <c r="V61" s="214" t="s">
        <v>1070</v>
      </c>
      <c r="W61" s="219" t="s">
        <v>56</v>
      </c>
      <c r="X61" s="219"/>
      <c r="Y61" s="219"/>
      <c r="Z61" s="219">
        <v>62000</v>
      </c>
      <c r="AA61" s="219"/>
      <c r="AB61" s="219" t="s">
        <v>131</v>
      </c>
      <c r="AC61" s="214"/>
      <c r="AD61" s="219" t="s">
        <v>53</v>
      </c>
      <c r="AE61" s="221" t="s">
        <v>54</v>
      </c>
      <c r="AF61" s="219" t="s">
        <v>53</v>
      </c>
      <c r="AG61" s="108" t="s">
        <v>955</v>
      </c>
      <c r="AH61" s="108"/>
    </row>
    <row r="62" s="153" customFormat="1" ht="56" hidden="1" spans="1:34">
      <c r="A62" s="213">
        <v>540425201908006</v>
      </c>
      <c r="B62" s="214" t="s">
        <v>19</v>
      </c>
      <c r="C62" s="214" t="s">
        <v>20</v>
      </c>
      <c r="D62" s="214">
        <v>2019</v>
      </c>
      <c r="E62" s="229" t="s">
        <v>212</v>
      </c>
      <c r="F62" s="214" t="s">
        <v>98</v>
      </c>
      <c r="G62" s="214" t="s">
        <v>1071</v>
      </c>
      <c r="H62" s="214" t="s">
        <v>1072</v>
      </c>
      <c r="I62" s="216">
        <f t="shared" si="6"/>
        <v>62.11</v>
      </c>
      <c r="J62" s="216">
        <v>60</v>
      </c>
      <c r="K62" s="216">
        <v>2.11</v>
      </c>
      <c r="L62" s="216">
        <f t="shared" si="7"/>
        <v>62.11</v>
      </c>
      <c r="M62" s="216">
        <v>60</v>
      </c>
      <c r="N62" s="216">
        <v>2.11</v>
      </c>
      <c r="O62" s="214" t="s">
        <v>920</v>
      </c>
      <c r="P62" s="214" t="s">
        <v>954</v>
      </c>
      <c r="Q62" s="214" t="s">
        <v>939</v>
      </c>
      <c r="R62" s="220" t="s">
        <v>922</v>
      </c>
      <c r="S62" s="214" t="s">
        <v>53</v>
      </c>
      <c r="T62" s="214" t="s">
        <v>930</v>
      </c>
      <c r="U62" s="214" t="s">
        <v>1009</v>
      </c>
      <c r="V62" s="214" t="s">
        <v>1073</v>
      </c>
      <c r="W62" s="219" t="s">
        <v>56</v>
      </c>
      <c r="X62" s="219"/>
      <c r="Y62" s="219"/>
      <c r="Z62" s="219">
        <v>60000</v>
      </c>
      <c r="AA62" s="219">
        <v>2</v>
      </c>
      <c r="AB62" s="219" t="s">
        <v>983</v>
      </c>
      <c r="AC62" s="214"/>
      <c r="AD62" s="219" t="s">
        <v>53</v>
      </c>
      <c r="AE62" s="221" t="s">
        <v>1026</v>
      </c>
      <c r="AF62" s="108" t="s">
        <v>56</v>
      </c>
      <c r="AG62" s="108" t="s">
        <v>955</v>
      </c>
      <c r="AH62" s="108" t="s">
        <v>53</v>
      </c>
    </row>
    <row r="63" s="153" customFormat="1" ht="28" hidden="1" spans="1:34">
      <c r="A63" s="213">
        <v>540425201907012</v>
      </c>
      <c r="B63" s="214" t="s">
        <v>19</v>
      </c>
      <c r="C63" s="214" t="s">
        <v>20</v>
      </c>
      <c r="D63" s="214">
        <v>2019</v>
      </c>
      <c r="E63" s="229" t="s">
        <v>214</v>
      </c>
      <c r="F63" s="214" t="s">
        <v>216</v>
      </c>
      <c r="G63" s="214" t="s">
        <v>1074</v>
      </c>
      <c r="H63" s="214" t="s">
        <v>1075</v>
      </c>
      <c r="I63" s="216">
        <f t="shared" si="6"/>
        <v>53.68</v>
      </c>
      <c r="J63" s="216">
        <v>50</v>
      </c>
      <c r="K63" s="216">
        <v>3.68</v>
      </c>
      <c r="L63" s="216">
        <f t="shared" si="7"/>
        <v>53.68</v>
      </c>
      <c r="M63" s="216">
        <v>50</v>
      </c>
      <c r="N63" s="216">
        <v>3.68</v>
      </c>
      <c r="O63" s="214" t="s">
        <v>920</v>
      </c>
      <c r="P63" s="214" t="s">
        <v>957</v>
      </c>
      <c r="Q63" s="214" t="s">
        <v>939</v>
      </c>
      <c r="R63" s="220" t="s">
        <v>927</v>
      </c>
      <c r="S63" s="214" t="s">
        <v>53</v>
      </c>
      <c r="T63" s="214" t="s">
        <v>930</v>
      </c>
      <c r="U63" s="214" t="s">
        <v>1003</v>
      </c>
      <c r="V63" s="214" t="s">
        <v>1076</v>
      </c>
      <c r="W63" s="219" t="s">
        <v>56</v>
      </c>
      <c r="X63" s="219"/>
      <c r="Y63" s="219"/>
      <c r="Z63" s="219">
        <v>96600</v>
      </c>
      <c r="AA63" s="219"/>
      <c r="AB63" s="219" t="s">
        <v>983</v>
      </c>
      <c r="AC63" s="214"/>
      <c r="AD63" s="219" t="s">
        <v>53</v>
      </c>
      <c r="AE63" s="221" t="s">
        <v>54</v>
      </c>
      <c r="AF63" s="108" t="s">
        <v>53</v>
      </c>
      <c r="AG63" s="108" t="s">
        <v>955</v>
      </c>
      <c r="AH63" s="108"/>
    </row>
    <row r="64" s="153" customFormat="1" ht="28" hidden="1" spans="1:34">
      <c r="A64" s="213">
        <v>540425201907013</v>
      </c>
      <c r="B64" s="214" t="s">
        <v>19</v>
      </c>
      <c r="C64" s="214" t="s">
        <v>20</v>
      </c>
      <c r="D64" s="214">
        <v>2019</v>
      </c>
      <c r="E64" s="229" t="s">
        <v>215</v>
      </c>
      <c r="F64" s="214" t="s">
        <v>216</v>
      </c>
      <c r="G64" s="214" t="s">
        <v>1077</v>
      </c>
      <c r="H64" s="214" t="s">
        <v>1078</v>
      </c>
      <c r="I64" s="216">
        <f t="shared" si="6"/>
        <v>30</v>
      </c>
      <c r="J64" s="216">
        <v>30</v>
      </c>
      <c r="K64" s="216">
        <v>0</v>
      </c>
      <c r="L64" s="216">
        <f t="shared" si="7"/>
        <v>30</v>
      </c>
      <c r="M64" s="216">
        <v>30</v>
      </c>
      <c r="N64" s="216">
        <v>0</v>
      </c>
      <c r="O64" s="214" t="s">
        <v>920</v>
      </c>
      <c r="P64" s="214" t="s">
        <v>957</v>
      </c>
      <c r="Q64" s="214" t="s">
        <v>939</v>
      </c>
      <c r="R64" s="220" t="s">
        <v>922</v>
      </c>
      <c r="S64" s="214" t="s">
        <v>56</v>
      </c>
      <c r="T64" s="214"/>
      <c r="U64" s="214"/>
      <c r="V64" s="214"/>
      <c r="W64" s="219"/>
      <c r="X64" s="219"/>
      <c r="Y64" s="219"/>
      <c r="Z64" s="219"/>
      <c r="AA64" s="219"/>
      <c r="AB64" s="219"/>
      <c r="AC64" s="214"/>
      <c r="AD64" s="219" t="s">
        <v>53</v>
      </c>
      <c r="AE64" s="221" t="s">
        <v>54</v>
      </c>
      <c r="AF64" s="219" t="s">
        <v>56</v>
      </c>
      <c r="AG64" s="108" t="s">
        <v>955</v>
      </c>
      <c r="AH64" s="108" t="s">
        <v>53</v>
      </c>
    </row>
    <row r="65" s="153" customFormat="1" hidden="1" spans="1:34">
      <c r="A65" s="213">
        <v>540425201907014</v>
      </c>
      <c r="B65" s="214" t="s">
        <v>19</v>
      </c>
      <c r="C65" s="214" t="s">
        <v>20</v>
      </c>
      <c r="D65" s="214">
        <v>2019</v>
      </c>
      <c r="E65" s="229" t="s">
        <v>217</v>
      </c>
      <c r="F65" s="214" t="s">
        <v>216</v>
      </c>
      <c r="G65" s="214" t="s">
        <v>1079</v>
      </c>
      <c r="H65" s="214" t="s">
        <v>1080</v>
      </c>
      <c r="I65" s="216">
        <f t="shared" si="6"/>
        <v>20</v>
      </c>
      <c r="J65" s="216">
        <v>20</v>
      </c>
      <c r="K65" s="216">
        <v>0</v>
      </c>
      <c r="L65" s="216">
        <f t="shared" si="7"/>
        <v>20</v>
      </c>
      <c r="M65" s="216">
        <v>20</v>
      </c>
      <c r="N65" s="216">
        <v>0</v>
      </c>
      <c r="O65" s="214" t="s">
        <v>920</v>
      </c>
      <c r="P65" s="214" t="s">
        <v>957</v>
      </c>
      <c r="Q65" s="214" t="s">
        <v>939</v>
      </c>
      <c r="R65" s="220" t="s">
        <v>939</v>
      </c>
      <c r="S65" s="214" t="s">
        <v>53</v>
      </c>
      <c r="T65" s="214" t="s">
        <v>930</v>
      </c>
      <c r="U65" s="214" t="s">
        <v>1009</v>
      </c>
      <c r="V65" s="214" t="s">
        <v>1081</v>
      </c>
      <c r="W65" s="219" t="s">
        <v>56</v>
      </c>
      <c r="X65" s="219"/>
      <c r="Y65" s="219"/>
      <c r="Z65" s="219"/>
      <c r="AA65" s="219"/>
      <c r="AB65" s="219"/>
      <c r="AC65" s="214"/>
      <c r="AD65" s="219" t="s">
        <v>53</v>
      </c>
      <c r="AE65" s="221" t="s">
        <v>54</v>
      </c>
      <c r="AF65" s="108" t="s">
        <v>53</v>
      </c>
      <c r="AG65" s="108" t="s">
        <v>955</v>
      </c>
      <c r="AH65" s="108" t="s">
        <v>53</v>
      </c>
    </row>
    <row r="66" s="153" customFormat="1" ht="28" hidden="1" spans="1:34">
      <c r="A66" s="213">
        <v>540425201907015</v>
      </c>
      <c r="B66" s="214" t="s">
        <v>19</v>
      </c>
      <c r="C66" s="214" t="s">
        <v>20</v>
      </c>
      <c r="D66" s="214">
        <v>2019</v>
      </c>
      <c r="E66" s="229" t="s">
        <v>218</v>
      </c>
      <c r="F66" s="214" t="s">
        <v>216</v>
      </c>
      <c r="G66" s="214" t="s">
        <v>1082</v>
      </c>
      <c r="H66" s="214" t="s">
        <v>1083</v>
      </c>
      <c r="I66" s="216">
        <f t="shared" si="6"/>
        <v>20</v>
      </c>
      <c r="J66" s="216">
        <v>20</v>
      </c>
      <c r="K66" s="216">
        <v>0</v>
      </c>
      <c r="L66" s="216">
        <f t="shared" si="7"/>
        <v>20</v>
      </c>
      <c r="M66" s="216">
        <v>20</v>
      </c>
      <c r="N66" s="216">
        <v>0</v>
      </c>
      <c r="O66" s="214" t="s">
        <v>920</v>
      </c>
      <c r="P66" s="214" t="s">
        <v>957</v>
      </c>
      <c r="Q66" s="214" t="s">
        <v>939</v>
      </c>
      <c r="R66" s="220" t="s">
        <v>927</v>
      </c>
      <c r="S66" s="214" t="s">
        <v>53</v>
      </c>
      <c r="T66" s="214" t="s">
        <v>974</v>
      </c>
      <c r="U66" s="214" t="s">
        <v>1003</v>
      </c>
      <c r="V66" s="214" t="s">
        <v>1084</v>
      </c>
      <c r="W66" s="219"/>
      <c r="X66" s="219"/>
      <c r="Y66" s="219"/>
      <c r="Z66" s="219"/>
      <c r="AA66" s="219"/>
      <c r="AB66" s="219"/>
      <c r="AC66" s="214"/>
      <c r="AD66" s="219" t="s">
        <v>53</v>
      </c>
      <c r="AE66" s="221" t="s">
        <v>54</v>
      </c>
      <c r="AF66" s="219" t="s">
        <v>56</v>
      </c>
      <c r="AG66" s="108" t="s">
        <v>955</v>
      </c>
      <c r="AH66" s="108"/>
    </row>
    <row r="67" s="153" customFormat="1" hidden="1" spans="1:34">
      <c r="A67" s="213">
        <v>540425201908007</v>
      </c>
      <c r="B67" s="214" t="s">
        <v>19</v>
      </c>
      <c r="C67" s="214" t="s">
        <v>20</v>
      </c>
      <c r="D67" s="214">
        <v>2019</v>
      </c>
      <c r="E67" s="229" t="s">
        <v>219</v>
      </c>
      <c r="F67" s="214" t="s">
        <v>98</v>
      </c>
      <c r="G67" s="214" t="s">
        <v>1007</v>
      </c>
      <c r="H67" s="214" t="s">
        <v>1085</v>
      </c>
      <c r="I67" s="216">
        <f t="shared" si="6"/>
        <v>41.03</v>
      </c>
      <c r="J67" s="216">
        <v>30</v>
      </c>
      <c r="K67" s="216">
        <v>11.03</v>
      </c>
      <c r="L67" s="216">
        <f t="shared" si="7"/>
        <v>41.03</v>
      </c>
      <c r="M67" s="216">
        <v>30</v>
      </c>
      <c r="N67" s="216">
        <v>11.03</v>
      </c>
      <c r="O67" s="214" t="s">
        <v>920</v>
      </c>
      <c r="P67" s="214" t="s">
        <v>954</v>
      </c>
      <c r="Q67" s="214" t="s">
        <v>939</v>
      </c>
      <c r="R67" s="220" t="s">
        <v>939</v>
      </c>
      <c r="S67" s="214" t="s">
        <v>56</v>
      </c>
      <c r="T67" s="214" t="s">
        <v>930</v>
      </c>
      <c r="U67" s="214" t="s">
        <v>1009</v>
      </c>
      <c r="V67" s="214" t="s">
        <v>1086</v>
      </c>
      <c r="W67" s="219"/>
      <c r="X67" s="219"/>
      <c r="Y67" s="219"/>
      <c r="Z67" s="219"/>
      <c r="AA67" s="219"/>
      <c r="AB67" s="219"/>
      <c r="AC67" s="214"/>
      <c r="AD67" s="219" t="s">
        <v>53</v>
      </c>
      <c r="AE67" s="221" t="s">
        <v>54</v>
      </c>
      <c r="AF67" s="108" t="s">
        <v>56</v>
      </c>
      <c r="AG67" s="108" t="s">
        <v>955</v>
      </c>
      <c r="AH67" s="108" t="s">
        <v>53</v>
      </c>
    </row>
    <row r="68" s="153" customFormat="1" ht="56" hidden="1" spans="1:34">
      <c r="A68" s="213">
        <v>540425201907016</v>
      </c>
      <c r="B68" s="214" t="s">
        <v>19</v>
      </c>
      <c r="C68" s="214" t="s">
        <v>20</v>
      </c>
      <c r="D68" s="214">
        <v>2019</v>
      </c>
      <c r="E68" s="229" t="s">
        <v>549</v>
      </c>
      <c r="F68" s="214" t="s">
        <v>124</v>
      </c>
      <c r="G68" s="214" t="s">
        <v>1087</v>
      </c>
      <c r="H68" s="214" t="s">
        <v>1088</v>
      </c>
      <c r="I68" s="216">
        <f t="shared" si="6"/>
        <v>50.6</v>
      </c>
      <c r="J68" s="216">
        <v>50</v>
      </c>
      <c r="K68" s="216">
        <v>0.6</v>
      </c>
      <c r="L68" s="216">
        <f t="shared" si="7"/>
        <v>50.6</v>
      </c>
      <c r="M68" s="216">
        <v>50</v>
      </c>
      <c r="N68" s="216">
        <v>0.6</v>
      </c>
      <c r="O68" s="214" t="s">
        <v>920</v>
      </c>
      <c r="P68" s="214" t="s">
        <v>957</v>
      </c>
      <c r="Q68" s="214" t="s">
        <v>939</v>
      </c>
      <c r="R68" s="220" t="s">
        <v>922</v>
      </c>
      <c r="S68" s="214" t="s">
        <v>56</v>
      </c>
      <c r="T68" s="214"/>
      <c r="U68" s="214"/>
      <c r="V68" s="214"/>
      <c r="W68" s="219" t="s">
        <v>56</v>
      </c>
      <c r="X68" s="219"/>
      <c r="Y68" s="219"/>
      <c r="Z68" s="219"/>
      <c r="AA68" s="219"/>
      <c r="AB68" s="219" t="s">
        <v>131</v>
      </c>
      <c r="AC68" s="214" t="s">
        <v>1089</v>
      </c>
      <c r="AD68" s="219" t="s">
        <v>53</v>
      </c>
      <c r="AE68" s="221" t="s">
        <v>54</v>
      </c>
      <c r="AF68" s="108" t="s">
        <v>56</v>
      </c>
      <c r="AG68" s="108" t="s">
        <v>955</v>
      </c>
      <c r="AH68" s="108" t="s">
        <v>53</v>
      </c>
    </row>
    <row r="69" s="153" customFormat="1" ht="42" hidden="1" spans="1:34">
      <c r="A69" s="213">
        <v>540425201907017</v>
      </c>
      <c r="B69" s="214" t="s">
        <v>19</v>
      </c>
      <c r="C69" s="214" t="s">
        <v>20</v>
      </c>
      <c r="D69" s="214">
        <v>2019</v>
      </c>
      <c r="E69" s="229" t="s">
        <v>68</v>
      </c>
      <c r="F69" s="214" t="s">
        <v>98</v>
      </c>
      <c r="G69" s="214" t="s">
        <v>984</v>
      </c>
      <c r="H69" s="214" t="s">
        <v>1090</v>
      </c>
      <c r="I69" s="216">
        <f t="shared" si="6"/>
        <v>50</v>
      </c>
      <c r="J69" s="216">
        <v>50</v>
      </c>
      <c r="K69" s="216">
        <v>0</v>
      </c>
      <c r="L69" s="216">
        <f t="shared" si="7"/>
        <v>50</v>
      </c>
      <c r="M69" s="216">
        <v>50</v>
      </c>
      <c r="N69" s="216">
        <v>0</v>
      </c>
      <c r="O69" s="214" t="s">
        <v>920</v>
      </c>
      <c r="P69" s="214" t="s">
        <v>957</v>
      </c>
      <c r="Q69" s="214" t="s">
        <v>939</v>
      </c>
      <c r="R69" s="220" t="s">
        <v>939</v>
      </c>
      <c r="S69" s="214" t="s">
        <v>56</v>
      </c>
      <c r="T69" s="214"/>
      <c r="U69" s="214"/>
      <c r="V69" s="214"/>
      <c r="W69" s="219"/>
      <c r="X69" s="219"/>
      <c r="Y69" s="219"/>
      <c r="Z69" s="219"/>
      <c r="AA69" s="219"/>
      <c r="AB69" s="219"/>
      <c r="AC69" s="214"/>
      <c r="AD69" s="219" t="s">
        <v>53</v>
      </c>
      <c r="AE69" s="221" t="s">
        <v>94</v>
      </c>
      <c r="AF69" s="108" t="s">
        <v>56</v>
      </c>
      <c r="AG69" s="108" t="s">
        <v>955</v>
      </c>
      <c r="AH69" s="108" t="s">
        <v>53</v>
      </c>
    </row>
    <row r="70" s="153" customFormat="1" ht="28" hidden="1" spans="1:34">
      <c r="A70" s="213">
        <v>540425201919019</v>
      </c>
      <c r="B70" s="214" t="s">
        <v>19</v>
      </c>
      <c r="C70" s="214" t="s">
        <v>20</v>
      </c>
      <c r="D70" s="214">
        <v>2019</v>
      </c>
      <c r="E70" s="229" t="s">
        <v>550</v>
      </c>
      <c r="F70" s="214" t="s">
        <v>124</v>
      </c>
      <c r="G70" s="214" t="s">
        <v>1091</v>
      </c>
      <c r="H70" s="214" t="s">
        <v>1092</v>
      </c>
      <c r="I70" s="216">
        <f t="shared" si="6"/>
        <v>50.06</v>
      </c>
      <c r="J70" s="216">
        <v>50</v>
      </c>
      <c r="K70" s="216">
        <v>0.06</v>
      </c>
      <c r="L70" s="216">
        <f t="shared" si="7"/>
        <v>50.06</v>
      </c>
      <c r="M70" s="216">
        <v>50</v>
      </c>
      <c r="N70" s="216">
        <v>0.06</v>
      </c>
      <c r="O70" s="214" t="s">
        <v>920</v>
      </c>
      <c r="P70" s="214" t="s">
        <v>935</v>
      </c>
      <c r="Q70" s="214" t="s">
        <v>927</v>
      </c>
      <c r="R70" s="220" t="s">
        <v>939</v>
      </c>
      <c r="S70" s="214" t="s">
        <v>53</v>
      </c>
      <c r="T70" s="214" t="s">
        <v>930</v>
      </c>
      <c r="U70" s="214" t="s">
        <v>931</v>
      </c>
      <c r="V70" s="214" t="s">
        <v>1093</v>
      </c>
      <c r="W70" s="219" t="s">
        <v>56</v>
      </c>
      <c r="X70" s="219"/>
      <c r="Y70" s="219"/>
      <c r="Z70" s="219"/>
      <c r="AA70" s="219"/>
      <c r="AB70" s="219" t="s">
        <v>131</v>
      </c>
      <c r="AC70" s="214"/>
      <c r="AD70" s="219" t="s">
        <v>53</v>
      </c>
      <c r="AE70" s="221" t="s">
        <v>54</v>
      </c>
      <c r="AF70" s="219" t="s">
        <v>56</v>
      </c>
      <c r="AG70" s="108" t="s">
        <v>955</v>
      </c>
      <c r="AH70" s="108" t="s">
        <v>53</v>
      </c>
    </row>
    <row r="71" s="153" customFormat="1" ht="28" hidden="1" spans="1:34">
      <c r="A71" s="213">
        <v>540425201919020</v>
      </c>
      <c r="B71" s="214" t="s">
        <v>19</v>
      </c>
      <c r="C71" s="214" t="s">
        <v>20</v>
      </c>
      <c r="D71" s="214">
        <v>2019</v>
      </c>
      <c r="E71" s="229" t="s">
        <v>551</v>
      </c>
      <c r="F71" s="214" t="s">
        <v>124</v>
      </c>
      <c r="G71" s="214" t="s">
        <v>1053</v>
      </c>
      <c r="H71" s="214" t="s">
        <v>1094</v>
      </c>
      <c r="I71" s="216">
        <f t="shared" si="6"/>
        <v>76.11</v>
      </c>
      <c r="J71" s="216">
        <v>50</v>
      </c>
      <c r="K71" s="216">
        <v>26.11</v>
      </c>
      <c r="L71" s="216">
        <f t="shared" si="7"/>
        <v>76.11</v>
      </c>
      <c r="M71" s="216">
        <v>50</v>
      </c>
      <c r="N71" s="216">
        <v>26.11</v>
      </c>
      <c r="O71" s="214" t="s">
        <v>920</v>
      </c>
      <c r="P71" s="214" t="s">
        <v>935</v>
      </c>
      <c r="Q71" s="214" t="s">
        <v>927</v>
      </c>
      <c r="R71" s="220" t="s">
        <v>922</v>
      </c>
      <c r="S71" s="214" t="s">
        <v>56</v>
      </c>
      <c r="T71" s="214"/>
      <c r="U71" s="214"/>
      <c r="V71" s="214"/>
      <c r="W71" s="219"/>
      <c r="X71" s="219"/>
      <c r="Y71" s="219"/>
      <c r="Z71" s="219"/>
      <c r="AA71" s="219"/>
      <c r="AB71" s="219"/>
      <c r="AC71" s="214" t="s">
        <v>947</v>
      </c>
      <c r="AD71" s="219" t="s">
        <v>53</v>
      </c>
      <c r="AE71" s="221" t="s">
        <v>54</v>
      </c>
      <c r="AF71" s="219" t="s">
        <v>56</v>
      </c>
      <c r="AG71" s="108" t="s">
        <v>955</v>
      </c>
      <c r="AH71" s="108" t="s">
        <v>53</v>
      </c>
    </row>
    <row r="72" s="157" customFormat="1" ht="70" hidden="1" spans="1:34">
      <c r="A72" s="138">
        <v>540425201919021</v>
      </c>
      <c r="B72" s="139" t="s">
        <v>19</v>
      </c>
      <c r="C72" s="139" t="s">
        <v>20</v>
      </c>
      <c r="D72" s="139">
        <v>2019</v>
      </c>
      <c r="E72" s="140" t="s">
        <v>220</v>
      </c>
      <c r="F72" s="226" t="s">
        <v>210</v>
      </c>
      <c r="G72" s="226" t="s">
        <v>1095</v>
      </c>
      <c r="H72" s="242" t="s">
        <v>1096</v>
      </c>
      <c r="I72" s="243">
        <f t="shared" si="6"/>
        <v>150</v>
      </c>
      <c r="J72" s="148">
        <v>150</v>
      </c>
      <c r="K72" s="148">
        <v>0</v>
      </c>
      <c r="L72" s="243">
        <f t="shared" si="7"/>
        <v>150</v>
      </c>
      <c r="M72" s="148">
        <v>150</v>
      </c>
      <c r="N72" s="148">
        <v>0</v>
      </c>
      <c r="O72" s="139" t="s">
        <v>925</v>
      </c>
      <c r="P72" s="139" t="s">
        <v>944</v>
      </c>
      <c r="Q72" s="139" t="s">
        <v>922</v>
      </c>
      <c r="R72" s="139"/>
      <c r="S72" s="139"/>
      <c r="T72" s="139"/>
      <c r="U72" s="139"/>
      <c r="V72" s="139"/>
      <c r="W72" s="139"/>
      <c r="X72" s="139"/>
      <c r="Y72" s="139"/>
      <c r="Z72" s="139"/>
      <c r="AA72" s="139"/>
      <c r="AB72" s="139"/>
      <c r="AC72" s="139"/>
      <c r="AD72" s="139" t="s">
        <v>56</v>
      </c>
      <c r="AE72" s="244" t="s">
        <v>221</v>
      </c>
      <c r="AF72" s="146" t="s">
        <v>53</v>
      </c>
      <c r="AG72" s="108" t="s">
        <v>53</v>
      </c>
      <c r="AH72" s="108"/>
    </row>
    <row r="73" ht="28" hidden="1" spans="1:34">
      <c r="A73" s="118">
        <v>540425201912011</v>
      </c>
      <c r="B73" s="168" t="s">
        <v>19</v>
      </c>
      <c r="C73" s="168" t="s">
        <v>20</v>
      </c>
      <c r="D73" s="168">
        <v>2019</v>
      </c>
      <c r="E73" s="179" t="s">
        <v>554</v>
      </c>
      <c r="F73" s="110" t="s">
        <v>456</v>
      </c>
      <c r="G73" s="110" t="s">
        <v>1039</v>
      </c>
      <c r="H73" s="168" t="s">
        <v>1097</v>
      </c>
      <c r="I73" s="231">
        <f t="shared" si="6"/>
        <v>285.98</v>
      </c>
      <c r="J73" s="231">
        <v>285.98</v>
      </c>
      <c r="K73" s="231">
        <v>0</v>
      </c>
      <c r="L73" s="231">
        <f t="shared" si="7"/>
        <v>279.814274</v>
      </c>
      <c r="M73" s="231">
        <v>279.814274</v>
      </c>
      <c r="N73" s="231">
        <v>0</v>
      </c>
      <c r="O73" s="168" t="s">
        <v>920</v>
      </c>
      <c r="P73" s="168" t="s">
        <v>1024</v>
      </c>
      <c r="Q73" s="168" t="s">
        <v>927</v>
      </c>
      <c r="R73" s="233" t="s">
        <v>922</v>
      </c>
      <c r="S73" s="168" t="s">
        <v>56</v>
      </c>
      <c r="T73" s="168"/>
      <c r="U73" s="168"/>
      <c r="V73" s="168"/>
      <c r="W73" s="69"/>
      <c r="X73" s="69"/>
      <c r="Y73" s="69"/>
      <c r="Z73" s="69"/>
      <c r="AA73" s="69"/>
      <c r="AB73" s="69"/>
      <c r="AC73" s="168"/>
      <c r="AD73" s="69" t="s">
        <v>56</v>
      </c>
      <c r="AE73" s="169" t="s">
        <v>555</v>
      </c>
      <c r="AF73" s="108" t="s">
        <v>56</v>
      </c>
      <c r="AG73" s="108" t="s">
        <v>53</v>
      </c>
      <c r="AH73" s="108"/>
    </row>
    <row r="74" s="153" customFormat="1" ht="56" hidden="1" spans="1:34">
      <c r="A74" s="213">
        <v>540425201919022</v>
      </c>
      <c r="B74" s="214" t="s">
        <v>19</v>
      </c>
      <c r="C74" s="214" t="s">
        <v>20</v>
      </c>
      <c r="D74" s="214">
        <v>2019</v>
      </c>
      <c r="E74" s="229" t="s">
        <v>222</v>
      </c>
      <c r="F74" s="214" t="s">
        <v>67</v>
      </c>
      <c r="G74" s="214" t="s">
        <v>945</v>
      </c>
      <c r="H74" s="214" t="s">
        <v>1098</v>
      </c>
      <c r="I74" s="216">
        <f t="shared" si="6"/>
        <v>50</v>
      </c>
      <c r="J74" s="216">
        <v>50</v>
      </c>
      <c r="K74" s="216">
        <v>0</v>
      </c>
      <c r="L74" s="216">
        <f t="shared" si="7"/>
        <v>50</v>
      </c>
      <c r="M74" s="216">
        <v>50</v>
      </c>
      <c r="N74" s="216">
        <v>0</v>
      </c>
      <c r="O74" s="214" t="s">
        <v>920</v>
      </c>
      <c r="P74" s="214" t="s">
        <v>935</v>
      </c>
      <c r="Q74" s="214" t="s">
        <v>927</v>
      </c>
      <c r="R74" s="220" t="s">
        <v>922</v>
      </c>
      <c r="S74" s="214" t="s">
        <v>56</v>
      </c>
      <c r="T74" s="214"/>
      <c r="U74" s="214"/>
      <c r="V74" s="214"/>
      <c r="W74" s="219"/>
      <c r="X74" s="219"/>
      <c r="Y74" s="219"/>
      <c r="Z74" s="219"/>
      <c r="AA74" s="219"/>
      <c r="AB74" s="219" t="s">
        <v>1049</v>
      </c>
      <c r="AC74" s="214" t="s">
        <v>947</v>
      </c>
      <c r="AD74" s="219" t="s">
        <v>53</v>
      </c>
      <c r="AE74" s="221" t="s">
        <v>54</v>
      </c>
      <c r="AF74" s="219" t="s">
        <v>53</v>
      </c>
      <c r="AG74" s="108" t="s">
        <v>955</v>
      </c>
      <c r="AH74" s="108" t="s">
        <v>53</v>
      </c>
    </row>
    <row r="75" s="153" customFormat="1" hidden="1" spans="1:34">
      <c r="A75" s="213">
        <v>540425201919023</v>
      </c>
      <c r="B75" s="214" t="s">
        <v>19</v>
      </c>
      <c r="C75" s="214" t="s">
        <v>20</v>
      </c>
      <c r="D75" s="214">
        <v>2019</v>
      </c>
      <c r="E75" s="229" t="s">
        <v>69</v>
      </c>
      <c r="F75" s="214" t="s">
        <v>131</v>
      </c>
      <c r="G75" s="214" t="s">
        <v>967</v>
      </c>
      <c r="H75" s="214" t="s">
        <v>1099</v>
      </c>
      <c r="I75" s="216">
        <f t="shared" si="6"/>
        <v>250</v>
      </c>
      <c r="J75" s="216">
        <v>250</v>
      </c>
      <c r="K75" s="216">
        <v>0</v>
      </c>
      <c r="L75" s="216">
        <f t="shared" si="7"/>
        <v>239.927031</v>
      </c>
      <c r="M75" s="216">
        <v>239.927031</v>
      </c>
      <c r="N75" s="216">
        <v>0</v>
      </c>
      <c r="O75" s="214" t="s">
        <v>920</v>
      </c>
      <c r="P75" s="214" t="s">
        <v>935</v>
      </c>
      <c r="Q75" s="214" t="s">
        <v>927</v>
      </c>
      <c r="R75" s="220" t="s">
        <v>939</v>
      </c>
      <c r="S75" s="214" t="s">
        <v>56</v>
      </c>
      <c r="T75" s="214"/>
      <c r="U75" s="214"/>
      <c r="V75" s="214"/>
      <c r="W75" s="219"/>
      <c r="X75" s="219"/>
      <c r="Y75" s="219"/>
      <c r="Z75" s="219"/>
      <c r="AA75" s="219"/>
      <c r="AB75" s="219"/>
      <c r="AC75" s="214" t="s">
        <v>1100</v>
      </c>
      <c r="AD75" s="219" t="s">
        <v>53</v>
      </c>
      <c r="AE75" s="221" t="s">
        <v>1026</v>
      </c>
      <c r="AF75" s="108" t="s">
        <v>56</v>
      </c>
      <c r="AG75" s="108" t="s">
        <v>955</v>
      </c>
      <c r="AH75" s="108"/>
    </row>
    <row r="76" s="153" customFormat="1" ht="42" hidden="1" spans="1:34">
      <c r="A76" s="213">
        <v>540425201919024</v>
      </c>
      <c r="B76" s="214" t="s">
        <v>19</v>
      </c>
      <c r="C76" s="214" t="s">
        <v>20</v>
      </c>
      <c r="D76" s="214">
        <v>2019</v>
      </c>
      <c r="E76" s="229" t="s">
        <v>91</v>
      </c>
      <c r="F76" s="214" t="s">
        <v>210</v>
      </c>
      <c r="G76" s="214" t="s">
        <v>1101</v>
      </c>
      <c r="H76" s="214" t="s">
        <v>1102</v>
      </c>
      <c r="I76" s="216">
        <f t="shared" si="6"/>
        <v>943.67</v>
      </c>
      <c r="J76" s="216">
        <v>943.67</v>
      </c>
      <c r="K76" s="216">
        <v>0</v>
      </c>
      <c r="L76" s="216">
        <f t="shared" si="7"/>
        <v>881.452615</v>
      </c>
      <c r="M76" s="216">
        <v>881.452615</v>
      </c>
      <c r="N76" s="216">
        <v>0</v>
      </c>
      <c r="O76" s="214" t="s">
        <v>920</v>
      </c>
      <c r="P76" s="214" t="s">
        <v>921</v>
      </c>
      <c r="Q76" s="214" t="s">
        <v>939</v>
      </c>
      <c r="R76" s="220" t="s">
        <v>922</v>
      </c>
      <c r="S76" s="214" t="s">
        <v>56</v>
      </c>
      <c r="T76" s="214"/>
      <c r="U76" s="214"/>
      <c r="V76" s="214"/>
      <c r="W76" s="219"/>
      <c r="X76" s="219"/>
      <c r="Y76" s="219"/>
      <c r="Z76" s="219"/>
      <c r="AA76" s="219"/>
      <c r="AB76" s="219"/>
      <c r="AC76" s="214" t="s">
        <v>1103</v>
      </c>
      <c r="AD76" s="219" t="s">
        <v>53</v>
      </c>
      <c r="AE76" s="221" t="s">
        <v>54</v>
      </c>
      <c r="AF76" s="108" t="s">
        <v>56</v>
      </c>
      <c r="AG76" s="108" t="s">
        <v>955</v>
      </c>
      <c r="AH76" s="108" t="s">
        <v>53</v>
      </c>
    </row>
    <row r="77" s="153" customFormat="1" ht="28" hidden="1" spans="1:34">
      <c r="A77" s="213">
        <v>540425201912012</v>
      </c>
      <c r="B77" s="214" t="s">
        <v>19</v>
      </c>
      <c r="C77" s="214" t="s">
        <v>20</v>
      </c>
      <c r="D77" s="214">
        <v>2019</v>
      </c>
      <c r="E77" s="229" t="s">
        <v>223</v>
      </c>
      <c r="F77" s="214" t="s">
        <v>456</v>
      </c>
      <c r="G77" s="214" t="s">
        <v>1104</v>
      </c>
      <c r="H77" s="214" t="s">
        <v>1105</v>
      </c>
      <c r="I77" s="216">
        <f t="shared" si="6"/>
        <v>265.93</v>
      </c>
      <c r="J77" s="216">
        <v>265.93</v>
      </c>
      <c r="K77" s="216">
        <v>0</v>
      </c>
      <c r="L77" s="216">
        <f t="shared" si="7"/>
        <v>251.863632</v>
      </c>
      <c r="M77" s="216">
        <v>251.863632</v>
      </c>
      <c r="N77" s="216">
        <v>0</v>
      </c>
      <c r="O77" s="214" t="s">
        <v>920</v>
      </c>
      <c r="P77" s="214" t="s">
        <v>1024</v>
      </c>
      <c r="Q77" s="214" t="s">
        <v>927</v>
      </c>
      <c r="R77" s="214" t="s">
        <v>927</v>
      </c>
      <c r="S77" s="214" t="s">
        <v>53</v>
      </c>
      <c r="T77" s="214" t="s">
        <v>930</v>
      </c>
      <c r="U77" s="214" t="s">
        <v>980</v>
      </c>
      <c r="V77" s="214" t="s">
        <v>1106</v>
      </c>
      <c r="W77" s="219" t="s">
        <v>56</v>
      </c>
      <c r="X77" s="219"/>
      <c r="Y77" s="219"/>
      <c r="Z77" s="219"/>
      <c r="AA77" s="219"/>
      <c r="AB77" s="219"/>
      <c r="AC77" s="214"/>
      <c r="AD77" s="219" t="s">
        <v>53</v>
      </c>
      <c r="AE77" s="221" t="s">
        <v>1026</v>
      </c>
      <c r="AF77" s="219" t="s">
        <v>56</v>
      </c>
      <c r="AG77" s="108" t="s">
        <v>955</v>
      </c>
      <c r="AH77" s="108"/>
    </row>
    <row r="78" s="153" customFormat="1" ht="42" hidden="1" spans="1:34">
      <c r="A78" s="213">
        <v>540425201903001</v>
      </c>
      <c r="B78" s="214" t="s">
        <v>19</v>
      </c>
      <c r="C78" s="214" t="s">
        <v>20</v>
      </c>
      <c r="D78" s="214">
        <v>2019</v>
      </c>
      <c r="E78" s="229" t="s">
        <v>557</v>
      </c>
      <c r="F78" s="214" t="s">
        <v>216</v>
      </c>
      <c r="G78" s="214" t="s">
        <v>1107</v>
      </c>
      <c r="H78" s="214" t="s">
        <v>1108</v>
      </c>
      <c r="I78" s="216">
        <f t="shared" si="6"/>
        <v>306</v>
      </c>
      <c r="J78" s="216">
        <v>306</v>
      </c>
      <c r="K78" s="216">
        <v>0</v>
      </c>
      <c r="L78" s="216">
        <f t="shared" si="7"/>
        <v>295.333946</v>
      </c>
      <c r="M78" s="216">
        <v>295.333946</v>
      </c>
      <c r="N78" s="216">
        <v>0</v>
      </c>
      <c r="O78" s="214" t="s">
        <v>920</v>
      </c>
      <c r="P78" s="214" t="s">
        <v>1109</v>
      </c>
      <c r="Q78" s="214" t="s">
        <v>927</v>
      </c>
      <c r="R78" s="220" t="s">
        <v>927</v>
      </c>
      <c r="S78" s="214" t="s">
        <v>56</v>
      </c>
      <c r="T78" s="214"/>
      <c r="U78" s="214"/>
      <c r="V78" s="214"/>
      <c r="W78" s="219"/>
      <c r="X78" s="219"/>
      <c r="Y78" s="219"/>
      <c r="Z78" s="219"/>
      <c r="AA78" s="219"/>
      <c r="AB78" s="219"/>
      <c r="AC78" s="214"/>
      <c r="AD78" s="219" t="s">
        <v>53</v>
      </c>
      <c r="AE78" s="221" t="s">
        <v>54</v>
      </c>
      <c r="AF78" s="108" t="s">
        <v>56</v>
      </c>
      <c r="AG78" s="108" t="s">
        <v>955</v>
      </c>
      <c r="AH78" s="108"/>
    </row>
    <row r="79" s="153" customFormat="1" hidden="1" spans="1:34">
      <c r="A79" s="213">
        <v>540425201912013</v>
      </c>
      <c r="B79" s="214" t="s">
        <v>19</v>
      </c>
      <c r="C79" s="214" t="s">
        <v>20</v>
      </c>
      <c r="D79" s="214">
        <v>2019</v>
      </c>
      <c r="E79" s="229" t="s">
        <v>224</v>
      </c>
      <c r="F79" s="214" t="s">
        <v>82</v>
      </c>
      <c r="G79" s="214" t="s">
        <v>1104</v>
      </c>
      <c r="H79" s="214" t="s">
        <v>1110</v>
      </c>
      <c r="I79" s="216">
        <f t="shared" si="6"/>
        <v>205.93</v>
      </c>
      <c r="J79" s="216">
        <v>205.93</v>
      </c>
      <c r="K79" s="216">
        <v>0</v>
      </c>
      <c r="L79" s="216">
        <f t="shared" si="7"/>
        <v>185.694216</v>
      </c>
      <c r="M79" s="216">
        <v>185.694216</v>
      </c>
      <c r="N79" s="216">
        <v>0</v>
      </c>
      <c r="O79" s="214" t="s">
        <v>920</v>
      </c>
      <c r="P79" s="214" t="s">
        <v>1024</v>
      </c>
      <c r="Q79" s="214" t="s">
        <v>927</v>
      </c>
      <c r="R79" s="214" t="s">
        <v>927</v>
      </c>
      <c r="S79" s="214" t="s">
        <v>56</v>
      </c>
      <c r="T79" s="214"/>
      <c r="U79" s="214"/>
      <c r="V79" s="214"/>
      <c r="W79" s="219"/>
      <c r="X79" s="219"/>
      <c r="Y79" s="219"/>
      <c r="Z79" s="219"/>
      <c r="AA79" s="219"/>
      <c r="AB79" s="219"/>
      <c r="AC79" s="214"/>
      <c r="AD79" s="219" t="s">
        <v>53</v>
      </c>
      <c r="AE79" s="221" t="s">
        <v>1026</v>
      </c>
      <c r="AF79" s="219" t="s">
        <v>56</v>
      </c>
      <c r="AG79" s="108" t="s">
        <v>955</v>
      </c>
      <c r="AH79" s="108"/>
    </row>
    <row r="80" s="153" customFormat="1" ht="42" hidden="1" spans="1:34">
      <c r="A80" s="213">
        <v>540425201919025</v>
      </c>
      <c r="B80" s="219" t="s">
        <v>19</v>
      </c>
      <c r="C80" s="219" t="s">
        <v>20</v>
      </c>
      <c r="D80" s="219">
        <v>2019</v>
      </c>
      <c r="E80" s="215" t="s">
        <v>93</v>
      </c>
      <c r="F80" s="214" t="s">
        <v>95</v>
      </c>
      <c r="G80" s="214" t="s">
        <v>20</v>
      </c>
      <c r="H80" s="214" t="s">
        <v>1111</v>
      </c>
      <c r="I80" s="216">
        <f t="shared" si="6"/>
        <v>50</v>
      </c>
      <c r="J80" s="217">
        <v>50</v>
      </c>
      <c r="K80" s="217">
        <v>0</v>
      </c>
      <c r="L80" s="216">
        <f t="shared" si="7"/>
        <v>45.3</v>
      </c>
      <c r="M80" s="217">
        <v>45.3</v>
      </c>
      <c r="N80" s="217">
        <v>0</v>
      </c>
      <c r="O80" s="219" t="s">
        <v>925</v>
      </c>
      <c r="P80" s="219" t="s">
        <v>944</v>
      </c>
      <c r="Q80" s="219" t="s">
        <v>922</v>
      </c>
      <c r="R80" s="238"/>
      <c r="S80" s="219"/>
      <c r="T80" s="219"/>
      <c r="U80" s="219"/>
      <c r="V80" s="219"/>
      <c r="W80" s="219"/>
      <c r="X80" s="219"/>
      <c r="Y80" s="219"/>
      <c r="Z80" s="219"/>
      <c r="AA80" s="219"/>
      <c r="AB80" s="219"/>
      <c r="AC80" s="219"/>
      <c r="AD80" s="219" t="s">
        <v>53</v>
      </c>
      <c r="AE80" s="221" t="s">
        <v>94</v>
      </c>
      <c r="AF80" s="219" t="s">
        <v>56</v>
      </c>
      <c r="AG80" s="108" t="s">
        <v>955</v>
      </c>
      <c r="AH80" s="108"/>
    </row>
    <row r="81" s="153" customFormat="1" ht="28" hidden="1" spans="1:34">
      <c r="A81" s="213">
        <v>540425201916009</v>
      </c>
      <c r="B81" s="214" t="s">
        <v>19</v>
      </c>
      <c r="C81" s="214" t="s">
        <v>20</v>
      </c>
      <c r="D81" s="214">
        <v>2019</v>
      </c>
      <c r="E81" s="229" t="s">
        <v>96</v>
      </c>
      <c r="F81" s="214" t="s">
        <v>1112</v>
      </c>
      <c r="G81" s="214" t="s">
        <v>1113</v>
      </c>
      <c r="H81" s="214" t="s">
        <v>1114</v>
      </c>
      <c r="I81" s="216">
        <f t="shared" si="6"/>
        <v>143.46</v>
      </c>
      <c r="J81" s="216">
        <v>143.46</v>
      </c>
      <c r="K81" s="216">
        <v>0</v>
      </c>
      <c r="L81" s="216">
        <f t="shared" si="7"/>
        <v>121.212634</v>
      </c>
      <c r="M81" s="216">
        <v>121.212634</v>
      </c>
      <c r="N81" s="216">
        <v>0</v>
      </c>
      <c r="O81" s="218" t="s">
        <v>925</v>
      </c>
      <c r="P81" s="214" t="s">
        <v>935</v>
      </c>
      <c r="Q81" s="214" t="s">
        <v>927</v>
      </c>
      <c r="R81" s="220"/>
      <c r="S81" s="214" t="s">
        <v>53</v>
      </c>
      <c r="T81" s="214" t="s">
        <v>930</v>
      </c>
      <c r="U81" s="214" t="s">
        <v>980</v>
      </c>
      <c r="V81" s="214" t="s">
        <v>1115</v>
      </c>
      <c r="W81" s="219" t="s">
        <v>56</v>
      </c>
      <c r="X81" s="219"/>
      <c r="Y81" s="219"/>
      <c r="Z81" s="219"/>
      <c r="AA81" s="219"/>
      <c r="AB81" s="219"/>
      <c r="AC81" s="214" t="s">
        <v>1116</v>
      </c>
      <c r="AD81" s="219" t="s">
        <v>53</v>
      </c>
      <c r="AE81" s="221" t="s">
        <v>54</v>
      </c>
      <c r="AF81" s="108" t="s">
        <v>56</v>
      </c>
      <c r="AG81" s="108" t="s">
        <v>955</v>
      </c>
      <c r="AH81" s="108"/>
    </row>
    <row r="82" s="153" customFormat="1" hidden="1" spans="1:34">
      <c r="A82" s="213">
        <v>540425201916010</v>
      </c>
      <c r="B82" s="214" t="s">
        <v>19</v>
      </c>
      <c r="C82" s="214" t="s">
        <v>20</v>
      </c>
      <c r="D82" s="214">
        <v>2019</v>
      </c>
      <c r="E82" s="229" t="s">
        <v>102</v>
      </c>
      <c r="F82" s="214" t="s">
        <v>104</v>
      </c>
      <c r="G82" s="214" t="s">
        <v>1117</v>
      </c>
      <c r="H82" s="214" t="s">
        <v>1118</v>
      </c>
      <c r="I82" s="216">
        <f t="shared" si="6"/>
        <v>35.2</v>
      </c>
      <c r="J82" s="216">
        <v>35.2</v>
      </c>
      <c r="K82" s="216">
        <v>0</v>
      </c>
      <c r="L82" s="216">
        <f t="shared" si="7"/>
        <v>35.2</v>
      </c>
      <c r="M82" s="216">
        <v>35.2</v>
      </c>
      <c r="N82" s="216">
        <v>0</v>
      </c>
      <c r="O82" s="214" t="s">
        <v>920</v>
      </c>
      <c r="P82" s="214" t="s">
        <v>935</v>
      </c>
      <c r="Q82" s="214" t="s">
        <v>927</v>
      </c>
      <c r="R82" s="220" t="s">
        <v>927</v>
      </c>
      <c r="S82" s="214" t="s">
        <v>53</v>
      </c>
      <c r="T82" s="214" t="s">
        <v>930</v>
      </c>
      <c r="U82" s="214" t="s">
        <v>1009</v>
      </c>
      <c r="V82" s="214" t="s">
        <v>1119</v>
      </c>
      <c r="W82" s="219" t="s">
        <v>56</v>
      </c>
      <c r="X82" s="219"/>
      <c r="Y82" s="219"/>
      <c r="Z82" s="219"/>
      <c r="AA82" s="219"/>
      <c r="AB82" s="219"/>
      <c r="AC82" s="214"/>
      <c r="AD82" s="219" t="s">
        <v>53</v>
      </c>
      <c r="AE82" s="221" t="s">
        <v>54</v>
      </c>
      <c r="AF82" s="219" t="s">
        <v>56</v>
      </c>
      <c r="AG82" s="108" t="s">
        <v>955</v>
      </c>
      <c r="AH82" s="108"/>
    </row>
    <row r="83" s="153" customFormat="1" ht="28" hidden="1" spans="1:34">
      <c r="A83" s="213">
        <v>540425201916011</v>
      </c>
      <c r="B83" s="214" t="s">
        <v>19</v>
      </c>
      <c r="C83" s="214" t="s">
        <v>20</v>
      </c>
      <c r="D83" s="214">
        <v>2019</v>
      </c>
      <c r="E83" s="229" t="s">
        <v>106</v>
      </c>
      <c r="F83" s="214" t="s">
        <v>98</v>
      </c>
      <c r="G83" s="214" t="s">
        <v>1120</v>
      </c>
      <c r="H83" s="214" t="s">
        <v>1121</v>
      </c>
      <c r="I83" s="216">
        <f t="shared" si="6"/>
        <v>58.4</v>
      </c>
      <c r="J83" s="216">
        <v>58.4</v>
      </c>
      <c r="K83" s="216">
        <v>0</v>
      </c>
      <c r="L83" s="216">
        <f t="shared" si="7"/>
        <v>58.4</v>
      </c>
      <c r="M83" s="216">
        <v>58.4</v>
      </c>
      <c r="N83" s="216">
        <v>0</v>
      </c>
      <c r="O83" s="214" t="s">
        <v>937</v>
      </c>
      <c r="P83" s="214" t="s">
        <v>935</v>
      </c>
      <c r="Q83" s="214" t="s">
        <v>927</v>
      </c>
      <c r="R83" s="220"/>
      <c r="S83" s="214" t="s">
        <v>53</v>
      </c>
      <c r="T83" s="214"/>
      <c r="U83" s="214"/>
      <c r="V83" s="214"/>
      <c r="W83" s="219"/>
      <c r="X83" s="219"/>
      <c r="Y83" s="219"/>
      <c r="Z83" s="219"/>
      <c r="AA83" s="219"/>
      <c r="AB83" s="219"/>
      <c r="AC83" s="214"/>
      <c r="AD83" s="219" t="s">
        <v>53</v>
      </c>
      <c r="AE83" s="221" t="s">
        <v>107</v>
      </c>
      <c r="AF83" s="219" t="s">
        <v>56</v>
      </c>
      <c r="AG83" s="108" t="s">
        <v>955</v>
      </c>
      <c r="AH83" s="108"/>
    </row>
    <row r="84" s="153" customFormat="1" ht="28" hidden="1" spans="1:34">
      <c r="A84" s="213">
        <v>540425201916012</v>
      </c>
      <c r="B84" s="214" t="s">
        <v>19</v>
      </c>
      <c r="C84" s="214" t="s">
        <v>20</v>
      </c>
      <c r="D84" s="214">
        <v>2019</v>
      </c>
      <c r="E84" s="229" t="s">
        <v>113</v>
      </c>
      <c r="F84" s="214" t="s">
        <v>240</v>
      </c>
      <c r="G84" s="214" t="s">
        <v>1029</v>
      </c>
      <c r="H84" s="214" t="s">
        <v>1122</v>
      </c>
      <c r="I84" s="216">
        <f t="shared" si="6"/>
        <v>750</v>
      </c>
      <c r="J84" s="216">
        <v>750</v>
      </c>
      <c r="K84" s="216">
        <v>0</v>
      </c>
      <c r="L84" s="216">
        <f t="shared" si="7"/>
        <v>742.0825</v>
      </c>
      <c r="M84" s="216">
        <v>742.0825</v>
      </c>
      <c r="N84" s="216">
        <v>0</v>
      </c>
      <c r="O84" s="214" t="s">
        <v>920</v>
      </c>
      <c r="P84" s="214" t="s">
        <v>935</v>
      </c>
      <c r="Q84" s="214" t="s">
        <v>927</v>
      </c>
      <c r="R84" s="220" t="s">
        <v>973</v>
      </c>
      <c r="S84" s="214" t="s">
        <v>53</v>
      </c>
      <c r="T84" s="214" t="s">
        <v>930</v>
      </c>
      <c r="U84" s="214" t="s">
        <v>980</v>
      </c>
      <c r="V84" s="214" t="s">
        <v>1123</v>
      </c>
      <c r="W84" s="219" t="s">
        <v>56</v>
      </c>
      <c r="X84" s="219"/>
      <c r="Y84" s="219"/>
      <c r="Z84" s="219">
        <v>23898.29</v>
      </c>
      <c r="AA84" s="219">
        <v>14</v>
      </c>
      <c r="AB84" s="219" t="s">
        <v>983</v>
      </c>
      <c r="AC84" s="214"/>
      <c r="AD84" s="219" t="s">
        <v>53</v>
      </c>
      <c r="AE84" s="221" t="s">
        <v>159</v>
      </c>
      <c r="AF84" s="108" t="s">
        <v>56</v>
      </c>
      <c r="AG84" s="108" t="s">
        <v>955</v>
      </c>
      <c r="AH84" s="108"/>
    </row>
    <row r="85" s="150" customFormat="1" ht="28" hidden="1" spans="1:34">
      <c r="A85" s="118">
        <v>540425201917009</v>
      </c>
      <c r="B85" s="110" t="s">
        <v>19</v>
      </c>
      <c r="C85" s="110" t="s">
        <v>20</v>
      </c>
      <c r="D85" s="110">
        <v>2019</v>
      </c>
      <c r="E85" s="179" t="s">
        <v>225</v>
      </c>
      <c r="F85" s="110" t="s">
        <v>124</v>
      </c>
      <c r="G85" s="110" t="s">
        <v>997</v>
      </c>
      <c r="H85" s="110" t="s">
        <v>1124</v>
      </c>
      <c r="I85" s="180">
        <f t="shared" si="6"/>
        <v>85</v>
      </c>
      <c r="J85" s="180">
        <v>85</v>
      </c>
      <c r="K85" s="180">
        <v>0</v>
      </c>
      <c r="L85" s="180">
        <f t="shared" si="7"/>
        <v>80.818207</v>
      </c>
      <c r="M85" s="180">
        <v>80.818207</v>
      </c>
      <c r="N85" s="180">
        <v>0</v>
      </c>
      <c r="O85" s="110" t="s">
        <v>920</v>
      </c>
      <c r="P85" s="110" t="s">
        <v>926</v>
      </c>
      <c r="Q85" s="110" t="s">
        <v>927</v>
      </c>
      <c r="R85" s="182" t="s">
        <v>939</v>
      </c>
      <c r="S85" s="110" t="s">
        <v>53</v>
      </c>
      <c r="T85" s="110" t="s">
        <v>930</v>
      </c>
      <c r="U85" s="110" t="s">
        <v>931</v>
      </c>
      <c r="V85" s="110" t="s">
        <v>1125</v>
      </c>
      <c r="W85" s="108" t="s">
        <v>56</v>
      </c>
      <c r="X85" s="108"/>
      <c r="Y85" s="108"/>
      <c r="Z85" s="108"/>
      <c r="AA85" s="108"/>
      <c r="AB85" s="108" t="s">
        <v>131</v>
      </c>
      <c r="AC85" s="110"/>
      <c r="AD85" s="108" t="s">
        <v>56</v>
      </c>
      <c r="AE85" s="183" t="s">
        <v>162</v>
      </c>
      <c r="AF85" s="108" t="s">
        <v>56</v>
      </c>
      <c r="AG85" s="108" t="s">
        <v>53</v>
      </c>
      <c r="AH85" s="108" t="s">
        <v>53</v>
      </c>
    </row>
    <row r="86" s="150" customFormat="1" ht="28" hidden="1" spans="1:34">
      <c r="A86" s="118">
        <v>540425201917010</v>
      </c>
      <c r="B86" s="110" t="s">
        <v>19</v>
      </c>
      <c r="C86" s="110" t="s">
        <v>20</v>
      </c>
      <c r="D86" s="110">
        <v>2019</v>
      </c>
      <c r="E86" s="245" t="s">
        <v>558</v>
      </c>
      <c r="F86" s="110" t="s">
        <v>124</v>
      </c>
      <c r="G86" s="110" t="s">
        <v>1126</v>
      </c>
      <c r="H86" s="110" t="s">
        <v>1127</v>
      </c>
      <c r="I86" s="180">
        <f t="shared" si="6"/>
        <v>253.08</v>
      </c>
      <c r="J86" s="180">
        <v>10</v>
      </c>
      <c r="K86" s="180">
        <v>243.08</v>
      </c>
      <c r="L86" s="180">
        <f t="shared" si="7"/>
        <v>253.08</v>
      </c>
      <c r="M86" s="180">
        <v>10</v>
      </c>
      <c r="N86" s="180">
        <v>243.08</v>
      </c>
      <c r="O86" s="110" t="s">
        <v>920</v>
      </c>
      <c r="P86" s="110" t="s">
        <v>926</v>
      </c>
      <c r="Q86" s="110" t="s">
        <v>927</v>
      </c>
      <c r="R86" s="182" t="s">
        <v>973</v>
      </c>
      <c r="S86" s="110" t="s">
        <v>56</v>
      </c>
      <c r="T86" s="110"/>
      <c r="U86" s="110"/>
      <c r="V86" s="110"/>
      <c r="W86" s="108"/>
      <c r="X86" s="108"/>
      <c r="Y86" s="108"/>
      <c r="Z86" s="108"/>
      <c r="AA86" s="108"/>
      <c r="AB86" s="108"/>
      <c r="AC86" s="110" t="s">
        <v>947</v>
      </c>
      <c r="AD86" s="108" t="s">
        <v>56</v>
      </c>
      <c r="AE86" s="183" t="s">
        <v>1128</v>
      </c>
      <c r="AF86" s="108" t="s">
        <v>56</v>
      </c>
      <c r="AG86" s="108" t="s">
        <v>53</v>
      </c>
      <c r="AH86" s="108"/>
    </row>
    <row r="87" s="150" customFormat="1" ht="42" hidden="1" spans="1:34">
      <c r="A87" s="118">
        <v>540425201920020</v>
      </c>
      <c r="B87" s="110" t="s">
        <v>19</v>
      </c>
      <c r="C87" s="110" t="s">
        <v>20</v>
      </c>
      <c r="D87" s="110">
        <v>2019</v>
      </c>
      <c r="E87" s="179" t="s">
        <v>226</v>
      </c>
      <c r="F87" s="110" t="s">
        <v>124</v>
      </c>
      <c r="G87" s="110" t="s">
        <v>1129</v>
      </c>
      <c r="H87" s="110" t="s">
        <v>1130</v>
      </c>
      <c r="I87" s="180">
        <f t="shared" si="6"/>
        <v>60</v>
      </c>
      <c r="J87" s="180">
        <v>60</v>
      </c>
      <c r="K87" s="180">
        <v>0</v>
      </c>
      <c r="L87" s="180">
        <f t="shared" si="7"/>
        <v>55.241853</v>
      </c>
      <c r="M87" s="180">
        <v>55.241853</v>
      </c>
      <c r="N87" s="180">
        <v>0</v>
      </c>
      <c r="O87" s="110" t="s">
        <v>920</v>
      </c>
      <c r="P87" s="110" t="s">
        <v>921</v>
      </c>
      <c r="Q87" s="110" t="s">
        <v>922</v>
      </c>
      <c r="R87" s="182" t="s">
        <v>939</v>
      </c>
      <c r="S87" s="110" t="s">
        <v>53</v>
      </c>
      <c r="T87" s="110" t="s">
        <v>930</v>
      </c>
      <c r="U87" s="110" t="s">
        <v>931</v>
      </c>
      <c r="V87" s="110" t="s">
        <v>1131</v>
      </c>
      <c r="W87" s="108" t="s">
        <v>56</v>
      </c>
      <c r="X87" s="108"/>
      <c r="Y87" s="108"/>
      <c r="Z87" s="108"/>
      <c r="AA87" s="108"/>
      <c r="AB87" s="108" t="s">
        <v>1049</v>
      </c>
      <c r="AC87" s="110"/>
      <c r="AD87" s="108" t="s">
        <v>56</v>
      </c>
      <c r="AE87" s="183" t="s">
        <v>162</v>
      </c>
      <c r="AF87" s="108" t="s">
        <v>53</v>
      </c>
      <c r="AG87" s="108" t="s">
        <v>53</v>
      </c>
      <c r="AH87" s="108" t="s">
        <v>53</v>
      </c>
    </row>
    <row r="88" s="150" customFormat="1" ht="28" hidden="1" spans="1:34">
      <c r="A88" s="118">
        <v>540425201917011</v>
      </c>
      <c r="B88" s="108" t="s">
        <v>19</v>
      </c>
      <c r="C88" s="108" t="s">
        <v>20</v>
      </c>
      <c r="D88" s="108">
        <v>2019</v>
      </c>
      <c r="E88" s="246" t="s">
        <v>559</v>
      </c>
      <c r="F88" s="110" t="s">
        <v>98</v>
      </c>
      <c r="G88" s="110" t="s">
        <v>1132</v>
      </c>
      <c r="H88" s="110" t="s">
        <v>1133</v>
      </c>
      <c r="I88" s="180">
        <f t="shared" si="6"/>
        <v>864.36</v>
      </c>
      <c r="J88" s="185">
        <v>864.36</v>
      </c>
      <c r="K88" s="185">
        <v>0</v>
      </c>
      <c r="L88" s="180">
        <f t="shared" si="7"/>
        <v>805.88</v>
      </c>
      <c r="M88" s="185">
        <v>805.88</v>
      </c>
      <c r="N88" s="185">
        <v>0</v>
      </c>
      <c r="O88" s="108" t="s">
        <v>925</v>
      </c>
      <c r="P88" s="108" t="s">
        <v>926</v>
      </c>
      <c r="Q88" s="110" t="s">
        <v>927</v>
      </c>
      <c r="R88" s="127"/>
      <c r="S88" s="108" t="s">
        <v>56</v>
      </c>
      <c r="T88" s="108"/>
      <c r="U88" s="108"/>
      <c r="V88" s="108"/>
      <c r="W88" s="108"/>
      <c r="X88" s="108"/>
      <c r="Y88" s="108"/>
      <c r="Z88" s="108"/>
      <c r="AA88" s="108"/>
      <c r="AB88" s="108"/>
      <c r="AC88" s="108"/>
      <c r="AD88" s="108" t="s">
        <v>56</v>
      </c>
      <c r="AE88" s="183" t="s">
        <v>1134</v>
      </c>
      <c r="AF88" s="108" t="s">
        <v>56</v>
      </c>
      <c r="AG88" s="108" t="s">
        <v>53</v>
      </c>
      <c r="AH88" s="108"/>
    </row>
    <row r="89" s="153" customFormat="1" ht="56" hidden="1" spans="1:34">
      <c r="A89" s="213">
        <v>540425201912014</v>
      </c>
      <c r="B89" s="214" t="s">
        <v>19</v>
      </c>
      <c r="C89" s="214" t="s">
        <v>20</v>
      </c>
      <c r="D89" s="214">
        <v>2019</v>
      </c>
      <c r="E89" s="229" t="s">
        <v>119</v>
      </c>
      <c r="F89" s="214" t="s">
        <v>121</v>
      </c>
      <c r="G89" s="214" t="s">
        <v>1135</v>
      </c>
      <c r="H89" s="214" t="s">
        <v>1136</v>
      </c>
      <c r="I89" s="216">
        <f t="shared" si="6"/>
        <v>360</v>
      </c>
      <c r="J89" s="216">
        <v>240</v>
      </c>
      <c r="K89" s="216">
        <v>120</v>
      </c>
      <c r="L89" s="216">
        <f t="shared" si="7"/>
        <v>360</v>
      </c>
      <c r="M89" s="216">
        <v>240</v>
      </c>
      <c r="N89" s="216">
        <v>120</v>
      </c>
      <c r="O89" s="214" t="s">
        <v>920</v>
      </c>
      <c r="P89" s="214" t="s">
        <v>1024</v>
      </c>
      <c r="Q89" s="214" t="s">
        <v>927</v>
      </c>
      <c r="R89" s="214" t="s">
        <v>939</v>
      </c>
      <c r="S89" s="214" t="s">
        <v>53</v>
      </c>
      <c r="T89" s="214" t="s">
        <v>930</v>
      </c>
      <c r="U89" s="214" t="s">
        <v>980</v>
      </c>
      <c r="V89" s="214" t="s">
        <v>1106</v>
      </c>
      <c r="W89" s="219" t="s">
        <v>56</v>
      </c>
      <c r="X89" s="219"/>
      <c r="Y89" s="219"/>
      <c r="Z89" s="219"/>
      <c r="AA89" s="219"/>
      <c r="AB89" s="219"/>
      <c r="AC89" s="214"/>
      <c r="AD89" s="219" t="s">
        <v>53</v>
      </c>
      <c r="AE89" s="221" t="s">
        <v>1026</v>
      </c>
      <c r="AF89" s="108" t="s">
        <v>56</v>
      </c>
      <c r="AG89" s="108" t="s">
        <v>955</v>
      </c>
      <c r="AH89" s="108"/>
    </row>
    <row r="90" s="157" customFormat="1" ht="28" hidden="1" spans="1:34">
      <c r="A90" s="138">
        <v>540425201919026</v>
      </c>
      <c r="B90" s="242" t="s">
        <v>19</v>
      </c>
      <c r="C90" s="242" t="s">
        <v>20</v>
      </c>
      <c r="D90" s="242">
        <v>2019</v>
      </c>
      <c r="E90" s="247" t="s">
        <v>561</v>
      </c>
      <c r="F90" s="226" t="s">
        <v>104</v>
      </c>
      <c r="G90" s="226" t="s">
        <v>1036</v>
      </c>
      <c r="H90" s="226" t="s">
        <v>1137</v>
      </c>
      <c r="I90" s="243">
        <f t="shared" si="6"/>
        <v>70</v>
      </c>
      <c r="J90" s="243">
        <v>59</v>
      </c>
      <c r="K90" s="243">
        <v>11</v>
      </c>
      <c r="L90" s="243">
        <f t="shared" si="7"/>
        <v>70</v>
      </c>
      <c r="M90" s="243">
        <v>59</v>
      </c>
      <c r="N90" s="243">
        <v>11</v>
      </c>
      <c r="O90" s="242" t="s">
        <v>920</v>
      </c>
      <c r="P90" s="242" t="s">
        <v>944</v>
      </c>
      <c r="Q90" s="226" t="s">
        <v>922</v>
      </c>
      <c r="R90" s="242" t="s">
        <v>922</v>
      </c>
      <c r="S90" s="242" t="s">
        <v>53</v>
      </c>
      <c r="T90" s="242" t="s">
        <v>930</v>
      </c>
      <c r="U90" s="242" t="s">
        <v>1009</v>
      </c>
      <c r="V90" s="242" t="s">
        <v>1138</v>
      </c>
      <c r="W90" s="139"/>
      <c r="X90" s="139"/>
      <c r="Y90" s="139"/>
      <c r="Z90" s="139"/>
      <c r="AA90" s="139"/>
      <c r="AB90" s="139"/>
      <c r="AC90" s="242" t="s">
        <v>1139</v>
      </c>
      <c r="AD90" s="139" t="s">
        <v>56</v>
      </c>
      <c r="AE90" s="244" t="s">
        <v>209</v>
      </c>
      <c r="AF90" s="146" t="s">
        <v>56</v>
      </c>
      <c r="AG90" s="108" t="s">
        <v>53</v>
      </c>
      <c r="AH90" s="108" t="s">
        <v>53</v>
      </c>
    </row>
    <row r="91" s="153" customFormat="1" ht="28" hidden="1" spans="1:34">
      <c r="A91" s="213">
        <v>540425202019027</v>
      </c>
      <c r="B91" s="214" t="s">
        <v>19</v>
      </c>
      <c r="C91" s="214" t="s">
        <v>20</v>
      </c>
      <c r="D91" s="214">
        <v>2020</v>
      </c>
      <c r="E91" s="229" t="s">
        <v>227</v>
      </c>
      <c r="F91" s="214" t="s">
        <v>131</v>
      </c>
      <c r="G91" s="214" t="s">
        <v>1140</v>
      </c>
      <c r="H91" s="214" t="s">
        <v>1141</v>
      </c>
      <c r="I91" s="216">
        <f t="shared" si="6"/>
        <v>150</v>
      </c>
      <c r="J91" s="216">
        <v>150</v>
      </c>
      <c r="K91" s="216">
        <v>0</v>
      </c>
      <c r="L91" s="216">
        <f t="shared" si="7"/>
        <v>141.610593</v>
      </c>
      <c r="M91" s="216">
        <v>141.610593</v>
      </c>
      <c r="N91" s="216">
        <v>0</v>
      </c>
      <c r="O91" s="214" t="s">
        <v>920</v>
      </c>
      <c r="P91" s="214" t="s">
        <v>1109</v>
      </c>
      <c r="Q91" s="214" t="s">
        <v>927</v>
      </c>
      <c r="R91" s="220" t="s">
        <v>927</v>
      </c>
      <c r="S91" s="214" t="s">
        <v>53</v>
      </c>
      <c r="T91" s="214"/>
      <c r="U91" s="214"/>
      <c r="V91" s="214"/>
      <c r="W91" s="219"/>
      <c r="X91" s="219"/>
      <c r="Y91" s="219"/>
      <c r="Z91" s="219"/>
      <c r="AA91" s="219"/>
      <c r="AB91" s="219"/>
      <c r="AC91" s="214"/>
      <c r="AD91" s="219" t="s">
        <v>53</v>
      </c>
      <c r="AE91" s="221" t="s">
        <v>1026</v>
      </c>
      <c r="AF91" s="108" t="s">
        <v>56</v>
      </c>
      <c r="AG91" s="108" t="s">
        <v>955</v>
      </c>
      <c r="AH91" s="108"/>
    </row>
    <row r="92" s="153" customFormat="1" ht="70" hidden="1" spans="1:34">
      <c r="A92" s="213">
        <v>540425202012015</v>
      </c>
      <c r="B92" s="214" t="s">
        <v>19</v>
      </c>
      <c r="C92" s="214" t="s">
        <v>20</v>
      </c>
      <c r="D92" s="214">
        <v>2020</v>
      </c>
      <c r="E92" s="229" t="s">
        <v>255</v>
      </c>
      <c r="F92" s="214" t="s">
        <v>131</v>
      </c>
      <c r="G92" s="214" t="s">
        <v>1036</v>
      </c>
      <c r="H92" s="214" t="s">
        <v>1142</v>
      </c>
      <c r="I92" s="216">
        <f t="shared" si="6"/>
        <v>2403.91</v>
      </c>
      <c r="J92" s="216">
        <v>2403.91</v>
      </c>
      <c r="K92" s="216">
        <v>0</v>
      </c>
      <c r="L92" s="216">
        <f t="shared" si="7"/>
        <v>2286.39</v>
      </c>
      <c r="M92" s="216">
        <v>2286.39</v>
      </c>
      <c r="N92" s="216">
        <v>0</v>
      </c>
      <c r="O92" s="214" t="s">
        <v>920</v>
      </c>
      <c r="P92" s="214" t="s">
        <v>1024</v>
      </c>
      <c r="Q92" s="214" t="s">
        <v>927</v>
      </c>
      <c r="R92" s="214" t="s">
        <v>927</v>
      </c>
      <c r="S92" s="214" t="s">
        <v>53</v>
      </c>
      <c r="T92" s="214" t="s">
        <v>930</v>
      </c>
      <c r="U92" s="214" t="s">
        <v>980</v>
      </c>
      <c r="V92" s="214" t="s">
        <v>1143</v>
      </c>
      <c r="W92" s="219" t="s">
        <v>56</v>
      </c>
      <c r="X92" s="219"/>
      <c r="Y92" s="219"/>
      <c r="Z92" s="219"/>
      <c r="AA92" s="219"/>
      <c r="AB92" s="219"/>
      <c r="AC92" s="214"/>
      <c r="AD92" s="219" t="s">
        <v>53</v>
      </c>
      <c r="AE92" s="221" t="s">
        <v>256</v>
      </c>
      <c r="AF92" s="108" t="s">
        <v>56</v>
      </c>
      <c r="AG92" s="108" t="s">
        <v>955</v>
      </c>
      <c r="AH92" s="108"/>
    </row>
    <row r="93" s="153" customFormat="1" ht="28" hidden="1" spans="1:34">
      <c r="A93" s="213">
        <v>540425202019028</v>
      </c>
      <c r="B93" s="214" t="s">
        <v>19</v>
      </c>
      <c r="C93" s="214" t="s">
        <v>20</v>
      </c>
      <c r="D93" s="214">
        <v>2020</v>
      </c>
      <c r="E93" s="229" t="s">
        <v>490</v>
      </c>
      <c r="F93" s="214" t="s">
        <v>1144</v>
      </c>
      <c r="G93" s="214" t="s">
        <v>1145</v>
      </c>
      <c r="H93" s="214" t="s">
        <v>1146</v>
      </c>
      <c r="I93" s="216">
        <f t="shared" si="6"/>
        <v>380</v>
      </c>
      <c r="J93" s="216">
        <v>380</v>
      </c>
      <c r="K93" s="216">
        <v>0</v>
      </c>
      <c r="L93" s="216">
        <f t="shared" si="7"/>
        <v>379</v>
      </c>
      <c r="M93" s="216">
        <v>379</v>
      </c>
      <c r="N93" s="216">
        <v>0</v>
      </c>
      <c r="O93" s="214" t="s">
        <v>920</v>
      </c>
      <c r="P93" s="214" t="s">
        <v>972</v>
      </c>
      <c r="Q93" s="214" t="s">
        <v>973</v>
      </c>
      <c r="R93" s="220" t="s">
        <v>927</v>
      </c>
      <c r="S93" s="214" t="s">
        <v>53</v>
      </c>
      <c r="T93" s="214" t="s">
        <v>974</v>
      </c>
      <c r="U93" s="214" t="s">
        <v>975</v>
      </c>
      <c r="V93" s="214" t="s">
        <v>1147</v>
      </c>
      <c r="W93" s="219" t="s">
        <v>56</v>
      </c>
      <c r="X93" s="219"/>
      <c r="Y93" s="219"/>
      <c r="Z93" s="219">
        <v>0</v>
      </c>
      <c r="AA93" s="219">
        <v>11</v>
      </c>
      <c r="AB93" s="219" t="s">
        <v>1148</v>
      </c>
      <c r="AC93" s="214"/>
      <c r="AD93" s="219" t="s">
        <v>53</v>
      </c>
      <c r="AE93" s="221" t="s">
        <v>1026</v>
      </c>
      <c r="AF93" s="108" t="s">
        <v>56</v>
      </c>
      <c r="AG93" s="108" t="s">
        <v>955</v>
      </c>
      <c r="AH93" s="108"/>
    </row>
    <row r="94" s="153" customFormat="1" ht="42" hidden="1" spans="1:34">
      <c r="A94" s="213">
        <v>540425202020021</v>
      </c>
      <c r="B94" s="214" t="s">
        <v>19</v>
      </c>
      <c r="C94" s="214" t="s">
        <v>20</v>
      </c>
      <c r="D94" s="214">
        <v>2020</v>
      </c>
      <c r="E94" s="229" t="s">
        <v>228</v>
      </c>
      <c r="F94" s="214" t="s">
        <v>131</v>
      </c>
      <c r="G94" s="214" t="s">
        <v>1149</v>
      </c>
      <c r="H94" s="214" t="s">
        <v>1150</v>
      </c>
      <c r="I94" s="216">
        <f t="shared" si="6"/>
        <v>43</v>
      </c>
      <c r="J94" s="216">
        <v>43</v>
      </c>
      <c r="K94" s="216">
        <v>0</v>
      </c>
      <c r="L94" s="216">
        <f t="shared" si="7"/>
        <v>43</v>
      </c>
      <c r="M94" s="216">
        <v>43</v>
      </c>
      <c r="N94" s="216">
        <v>0</v>
      </c>
      <c r="O94" s="214" t="s">
        <v>920</v>
      </c>
      <c r="P94" s="214" t="s">
        <v>921</v>
      </c>
      <c r="Q94" s="214" t="s">
        <v>922</v>
      </c>
      <c r="R94" s="220" t="s">
        <v>939</v>
      </c>
      <c r="S94" s="214" t="s">
        <v>53</v>
      </c>
      <c r="T94" s="214"/>
      <c r="U94" s="214"/>
      <c r="V94" s="214"/>
      <c r="W94" s="219"/>
      <c r="X94" s="219"/>
      <c r="Y94" s="219"/>
      <c r="Z94" s="219"/>
      <c r="AA94" s="219"/>
      <c r="AB94" s="219"/>
      <c r="AC94" s="214"/>
      <c r="AD94" s="219" t="s">
        <v>53</v>
      </c>
      <c r="AE94" s="221" t="s">
        <v>54</v>
      </c>
      <c r="AF94" s="108" t="s">
        <v>53</v>
      </c>
      <c r="AG94" s="108" t="s">
        <v>955</v>
      </c>
      <c r="AH94" s="108" t="s">
        <v>53</v>
      </c>
    </row>
    <row r="95" s="153" customFormat="1" ht="56" hidden="1" spans="1:34">
      <c r="A95" s="213">
        <v>540425202020022</v>
      </c>
      <c r="B95" s="214" t="s">
        <v>19</v>
      </c>
      <c r="C95" s="214" t="s">
        <v>20</v>
      </c>
      <c r="D95" s="214">
        <v>2020</v>
      </c>
      <c r="E95" s="229" t="s">
        <v>229</v>
      </c>
      <c r="F95" s="214" t="s">
        <v>131</v>
      </c>
      <c r="G95" s="214" t="s">
        <v>1151</v>
      </c>
      <c r="H95" s="214" t="s">
        <v>1152</v>
      </c>
      <c r="I95" s="216">
        <f t="shared" si="6"/>
        <v>163</v>
      </c>
      <c r="J95" s="216">
        <v>163</v>
      </c>
      <c r="K95" s="216">
        <v>0</v>
      </c>
      <c r="L95" s="216">
        <f t="shared" si="7"/>
        <v>163</v>
      </c>
      <c r="M95" s="216">
        <v>163</v>
      </c>
      <c r="N95" s="216">
        <v>0</v>
      </c>
      <c r="O95" s="214" t="s">
        <v>920</v>
      </c>
      <c r="P95" s="214" t="s">
        <v>921</v>
      </c>
      <c r="Q95" s="214" t="s">
        <v>922</v>
      </c>
      <c r="R95" s="220" t="s">
        <v>939</v>
      </c>
      <c r="S95" s="214" t="s">
        <v>56</v>
      </c>
      <c r="T95" s="214"/>
      <c r="U95" s="214"/>
      <c r="V95" s="214"/>
      <c r="W95" s="219" t="s">
        <v>56</v>
      </c>
      <c r="X95" s="219"/>
      <c r="Y95" s="219"/>
      <c r="Z95" s="219"/>
      <c r="AA95" s="219"/>
      <c r="AB95" s="219" t="s">
        <v>131</v>
      </c>
      <c r="AC95" s="214" t="s">
        <v>1043</v>
      </c>
      <c r="AD95" s="219" t="s">
        <v>53</v>
      </c>
      <c r="AE95" s="221" t="s">
        <v>1026</v>
      </c>
      <c r="AF95" s="108" t="s">
        <v>56</v>
      </c>
      <c r="AG95" s="108" t="s">
        <v>955</v>
      </c>
      <c r="AH95" s="108" t="s">
        <v>53</v>
      </c>
    </row>
    <row r="96" s="153" customFormat="1" ht="56" hidden="1" spans="1:34">
      <c r="A96" s="213">
        <v>540425202020023</v>
      </c>
      <c r="B96" s="214" t="s">
        <v>19</v>
      </c>
      <c r="C96" s="214" t="s">
        <v>20</v>
      </c>
      <c r="D96" s="214">
        <v>2020</v>
      </c>
      <c r="E96" s="229" t="s">
        <v>231</v>
      </c>
      <c r="F96" s="214" t="s">
        <v>131</v>
      </c>
      <c r="G96" s="214" t="s">
        <v>994</v>
      </c>
      <c r="H96" s="214" t="s">
        <v>1153</v>
      </c>
      <c r="I96" s="216">
        <f t="shared" si="6"/>
        <v>312</v>
      </c>
      <c r="J96" s="216">
        <v>312</v>
      </c>
      <c r="K96" s="216">
        <v>0</v>
      </c>
      <c r="L96" s="216">
        <f t="shared" si="7"/>
        <v>312</v>
      </c>
      <c r="M96" s="216">
        <v>312</v>
      </c>
      <c r="N96" s="216">
        <v>0</v>
      </c>
      <c r="O96" s="214" t="s">
        <v>920</v>
      </c>
      <c r="P96" s="214" t="s">
        <v>921</v>
      </c>
      <c r="Q96" s="214" t="s">
        <v>922</v>
      </c>
      <c r="R96" s="220" t="s">
        <v>939</v>
      </c>
      <c r="S96" s="214" t="s">
        <v>56</v>
      </c>
      <c r="T96" s="214"/>
      <c r="U96" s="214"/>
      <c r="V96" s="214"/>
      <c r="W96" s="219" t="s">
        <v>56</v>
      </c>
      <c r="X96" s="219"/>
      <c r="Y96" s="219"/>
      <c r="Z96" s="219"/>
      <c r="AA96" s="219"/>
      <c r="AB96" s="219" t="s">
        <v>131</v>
      </c>
      <c r="AC96" s="214" t="s">
        <v>1043</v>
      </c>
      <c r="AD96" s="219" t="s">
        <v>53</v>
      </c>
      <c r="AE96" s="221" t="s">
        <v>725</v>
      </c>
      <c r="AF96" s="108" t="s">
        <v>53</v>
      </c>
      <c r="AG96" s="108" t="s">
        <v>955</v>
      </c>
      <c r="AH96" s="108" t="s">
        <v>53</v>
      </c>
    </row>
    <row r="97" s="153" customFormat="1" ht="28" hidden="1" spans="1:34">
      <c r="A97" s="213">
        <v>540425202020024</v>
      </c>
      <c r="B97" s="214" t="s">
        <v>19</v>
      </c>
      <c r="C97" s="214" t="s">
        <v>20</v>
      </c>
      <c r="D97" s="214">
        <v>2020</v>
      </c>
      <c r="E97" s="229" t="s">
        <v>122</v>
      </c>
      <c r="F97" s="214" t="s">
        <v>67</v>
      </c>
      <c r="G97" s="214" t="s">
        <v>1154</v>
      </c>
      <c r="H97" s="214" t="s">
        <v>1155</v>
      </c>
      <c r="I97" s="216">
        <f t="shared" si="6"/>
        <v>137</v>
      </c>
      <c r="J97" s="216">
        <v>137</v>
      </c>
      <c r="K97" s="216">
        <v>0</v>
      </c>
      <c r="L97" s="216">
        <f t="shared" si="7"/>
        <v>133.6574</v>
      </c>
      <c r="M97" s="216">
        <v>133.6574</v>
      </c>
      <c r="N97" s="216">
        <v>0</v>
      </c>
      <c r="O97" s="214" t="s">
        <v>920</v>
      </c>
      <c r="P97" s="214" t="s">
        <v>921</v>
      </c>
      <c r="Q97" s="214" t="s">
        <v>922</v>
      </c>
      <c r="R97" s="220" t="s">
        <v>922</v>
      </c>
      <c r="S97" s="214" t="s">
        <v>56</v>
      </c>
      <c r="T97" s="214"/>
      <c r="U97" s="214"/>
      <c r="V97" s="214"/>
      <c r="W97" s="219"/>
      <c r="X97" s="219"/>
      <c r="Y97" s="219"/>
      <c r="Z97" s="219"/>
      <c r="AA97" s="219"/>
      <c r="AB97" s="219"/>
      <c r="AC97" s="214"/>
      <c r="AD97" s="219" t="s">
        <v>53</v>
      </c>
      <c r="AE97" s="221" t="s">
        <v>54</v>
      </c>
      <c r="AF97" s="108" t="s">
        <v>53</v>
      </c>
      <c r="AG97" s="108" t="s">
        <v>955</v>
      </c>
      <c r="AH97" s="108" t="s">
        <v>53</v>
      </c>
    </row>
    <row r="98" s="153" customFormat="1" ht="70" hidden="1" spans="1:34">
      <c r="A98" s="213">
        <v>540425202012016</v>
      </c>
      <c r="B98" s="214" t="s">
        <v>19</v>
      </c>
      <c r="C98" s="214" t="s">
        <v>20</v>
      </c>
      <c r="D98" s="214">
        <v>2020</v>
      </c>
      <c r="E98" s="229" t="s">
        <v>257</v>
      </c>
      <c r="F98" s="214" t="s">
        <v>1156</v>
      </c>
      <c r="G98" s="214" t="s">
        <v>1027</v>
      </c>
      <c r="H98" s="214" t="s">
        <v>1157</v>
      </c>
      <c r="I98" s="216">
        <f t="shared" si="6"/>
        <v>1431</v>
      </c>
      <c r="J98" s="216">
        <v>1431</v>
      </c>
      <c r="K98" s="216">
        <v>0</v>
      </c>
      <c r="L98" s="216">
        <f t="shared" si="7"/>
        <v>1431</v>
      </c>
      <c r="M98" s="216">
        <v>1431</v>
      </c>
      <c r="N98" s="216">
        <v>0</v>
      </c>
      <c r="O98" s="214" t="s">
        <v>920</v>
      </c>
      <c r="P98" s="214" t="s">
        <v>1024</v>
      </c>
      <c r="Q98" s="214" t="s">
        <v>927</v>
      </c>
      <c r="R98" s="214" t="s">
        <v>927</v>
      </c>
      <c r="S98" s="214" t="s">
        <v>53</v>
      </c>
      <c r="T98" s="214"/>
      <c r="U98" s="214"/>
      <c r="V98" s="214"/>
      <c r="W98" s="219"/>
      <c r="X98" s="219"/>
      <c r="Y98" s="219"/>
      <c r="Z98" s="219"/>
      <c r="AA98" s="219"/>
      <c r="AB98" s="219"/>
      <c r="AC98" s="214"/>
      <c r="AD98" s="219" t="s">
        <v>53</v>
      </c>
      <c r="AE98" s="221" t="s">
        <v>54</v>
      </c>
      <c r="AF98" s="108" t="s">
        <v>56</v>
      </c>
      <c r="AG98" s="108" t="s">
        <v>955</v>
      </c>
      <c r="AH98" s="108"/>
    </row>
    <row r="99" s="153" customFormat="1" hidden="1" spans="1:34">
      <c r="A99" s="213">
        <v>540425202021002</v>
      </c>
      <c r="B99" s="214" t="s">
        <v>19</v>
      </c>
      <c r="C99" s="214" t="s">
        <v>20</v>
      </c>
      <c r="D99" s="214">
        <v>2020</v>
      </c>
      <c r="E99" s="229" t="s">
        <v>123</v>
      </c>
      <c r="F99" s="214" t="s">
        <v>124</v>
      </c>
      <c r="G99" s="214" t="s">
        <v>994</v>
      </c>
      <c r="H99" s="214" t="s">
        <v>1158</v>
      </c>
      <c r="I99" s="216">
        <f t="shared" si="6"/>
        <v>50</v>
      </c>
      <c r="J99" s="216">
        <v>50</v>
      </c>
      <c r="K99" s="216">
        <v>0</v>
      </c>
      <c r="L99" s="216">
        <f t="shared" si="7"/>
        <v>50</v>
      </c>
      <c r="M99" s="216">
        <v>50</v>
      </c>
      <c r="N99" s="216">
        <v>0</v>
      </c>
      <c r="O99" s="214" t="s">
        <v>920</v>
      </c>
      <c r="P99" s="214" t="s">
        <v>1159</v>
      </c>
      <c r="Q99" s="214" t="s">
        <v>927</v>
      </c>
      <c r="R99" s="220" t="s">
        <v>922</v>
      </c>
      <c r="S99" s="214" t="s">
        <v>56</v>
      </c>
      <c r="T99" s="214"/>
      <c r="U99" s="214"/>
      <c r="V99" s="214"/>
      <c r="W99" s="219"/>
      <c r="X99" s="219"/>
      <c r="Y99" s="219"/>
      <c r="Z99" s="219"/>
      <c r="AA99" s="219"/>
      <c r="AB99" s="219"/>
      <c r="AC99" s="214"/>
      <c r="AD99" s="219" t="s">
        <v>53</v>
      </c>
      <c r="AE99" s="221" t="s">
        <v>54</v>
      </c>
      <c r="AF99" s="219" t="s">
        <v>56</v>
      </c>
      <c r="AG99" s="108" t="s">
        <v>955</v>
      </c>
      <c r="AH99" s="108" t="s">
        <v>53</v>
      </c>
    </row>
    <row r="100" s="153" customFormat="1" hidden="1" spans="1:34">
      <c r="A100" s="213">
        <v>540425202019029</v>
      </c>
      <c r="B100" s="214" t="s">
        <v>19</v>
      </c>
      <c r="C100" s="214" t="s">
        <v>20</v>
      </c>
      <c r="D100" s="214">
        <v>2020</v>
      </c>
      <c r="E100" s="229" t="s">
        <v>125</v>
      </c>
      <c r="F100" s="214" t="s">
        <v>124</v>
      </c>
      <c r="G100" s="214" t="s">
        <v>994</v>
      </c>
      <c r="H100" s="214" t="s">
        <v>1160</v>
      </c>
      <c r="I100" s="216">
        <f t="shared" si="6"/>
        <v>50</v>
      </c>
      <c r="J100" s="216">
        <v>50</v>
      </c>
      <c r="K100" s="216">
        <v>0</v>
      </c>
      <c r="L100" s="216">
        <f t="shared" si="7"/>
        <v>50</v>
      </c>
      <c r="M100" s="216">
        <v>50</v>
      </c>
      <c r="N100" s="216">
        <v>0</v>
      </c>
      <c r="O100" s="214" t="s">
        <v>920</v>
      </c>
      <c r="P100" s="214" t="s">
        <v>1159</v>
      </c>
      <c r="Q100" s="214" t="s">
        <v>927</v>
      </c>
      <c r="R100" s="220" t="s">
        <v>922</v>
      </c>
      <c r="S100" s="214" t="s">
        <v>56</v>
      </c>
      <c r="T100" s="214"/>
      <c r="U100" s="214"/>
      <c r="V100" s="214"/>
      <c r="W100" s="219"/>
      <c r="X100" s="219"/>
      <c r="Y100" s="219"/>
      <c r="Z100" s="219"/>
      <c r="AA100" s="219"/>
      <c r="AB100" s="219"/>
      <c r="AC100" s="214"/>
      <c r="AD100" s="219" t="s">
        <v>53</v>
      </c>
      <c r="AE100" s="221" t="s">
        <v>54</v>
      </c>
      <c r="AF100" s="219" t="s">
        <v>56</v>
      </c>
      <c r="AG100" s="108" t="s">
        <v>955</v>
      </c>
      <c r="AH100" s="108" t="s">
        <v>53</v>
      </c>
    </row>
    <row r="101" s="153" customFormat="1" ht="70" hidden="1" spans="1:34">
      <c r="A101" s="213">
        <v>540425202012017</v>
      </c>
      <c r="B101" s="214" t="s">
        <v>19</v>
      </c>
      <c r="C101" s="214" t="s">
        <v>20</v>
      </c>
      <c r="D101" s="214">
        <v>2020</v>
      </c>
      <c r="E101" s="229" t="s">
        <v>259</v>
      </c>
      <c r="F101" s="214" t="s">
        <v>131</v>
      </c>
      <c r="G101" s="214" t="s">
        <v>1161</v>
      </c>
      <c r="H101" s="214" t="s">
        <v>1162</v>
      </c>
      <c r="I101" s="216">
        <f t="shared" si="6"/>
        <v>569</v>
      </c>
      <c r="J101" s="216">
        <v>569</v>
      </c>
      <c r="K101" s="216">
        <v>0</v>
      </c>
      <c r="L101" s="216">
        <f t="shared" si="7"/>
        <v>562.021472</v>
      </c>
      <c r="M101" s="216">
        <v>562.021472</v>
      </c>
      <c r="N101" s="216">
        <v>0</v>
      </c>
      <c r="O101" s="214" t="s">
        <v>920</v>
      </c>
      <c r="P101" s="214" t="s">
        <v>1024</v>
      </c>
      <c r="Q101" s="214" t="s">
        <v>927</v>
      </c>
      <c r="R101" s="214" t="s">
        <v>927</v>
      </c>
      <c r="S101" s="214" t="s">
        <v>53</v>
      </c>
      <c r="T101" s="214" t="s">
        <v>930</v>
      </c>
      <c r="U101" s="214" t="s">
        <v>980</v>
      </c>
      <c r="V101" s="214" t="s">
        <v>1163</v>
      </c>
      <c r="W101" s="219" t="s">
        <v>56</v>
      </c>
      <c r="X101" s="219"/>
      <c r="Y101" s="219"/>
      <c r="Z101" s="219"/>
      <c r="AA101" s="219"/>
      <c r="AB101" s="219"/>
      <c r="AC101" s="214"/>
      <c r="AD101" s="219" t="s">
        <v>53</v>
      </c>
      <c r="AE101" s="221" t="s">
        <v>1026</v>
      </c>
      <c r="AF101" s="108" t="s">
        <v>56</v>
      </c>
      <c r="AG101" s="108" t="s">
        <v>955</v>
      </c>
      <c r="AH101" s="108"/>
    </row>
    <row r="102" s="153" customFormat="1" ht="28" hidden="1" spans="1:34">
      <c r="A102" s="213">
        <v>540425202019030</v>
      </c>
      <c r="B102" s="214" t="s">
        <v>19</v>
      </c>
      <c r="C102" s="214" t="s">
        <v>20</v>
      </c>
      <c r="D102" s="214">
        <v>2020</v>
      </c>
      <c r="E102" s="229" t="s">
        <v>126</v>
      </c>
      <c r="F102" s="214" t="s">
        <v>82</v>
      </c>
      <c r="G102" s="214" t="s">
        <v>1164</v>
      </c>
      <c r="H102" s="214" t="s">
        <v>1165</v>
      </c>
      <c r="I102" s="216">
        <f t="shared" si="6"/>
        <v>60</v>
      </c>
      <c r="J102" s="216">
        <v>60</v>
      </c>
      <c r="K102" s="216">
        <v>0</v>
      </c>
      <c r="L102" s="216">
        <f t="shared" si="7"/>
        <v>59.36</v>
      </c>
      <c r="M102" s="216">
        <v>59.36</v>
      </c>
      <c r="N102" s="216">
        <v>0</v>
      </c>
      <c r="O102" s="214" t="s">
        <v>920</v>
      </c>
      <c r="P102" s="214" t="s">
        <v>944</v>
      </c>
      <c r="Q102" s="214" t="s">
        <v>922</v>
      </c>
      <c r="R102" s="220" t="s">
        <v>927</v>
      </c>
      <c r="S102" s="214" t="s">
        <v>53</v>
      </c>
      <c r="T102" s="214" t="s">
        <v>930</v>
      </c>
      <c r="U102" s="214" t="s">
        <v>980</v>
      </c>
      <c r="V102" s="214" t="s">
        <v>981</v>
      </c>
      <c r="W102" s="219" t="s">
        <v>56</v>
      </c>
      <c r="X102" s="219"/>
      <c r="Y102" s="219"/>
      <c r="Z102" s="219">
        <v>314545</v>
      </c>
      <c r="AA102" s="219"/>
      <c r="AB102" s="219" t="s">
        <v>983</v>
      </c>
      <c r="AC102" s="214"/>
      <c r="AD102" s="219" t="s">
        <v>53</v>
      </c>
      <c r="AE102" s="221" t="s">
        <v>1026</v>
      </c>
      <c r="AF102" s="219" t="s">
        <v>56</v>
      </c>
      <c r="AG102" s="108" t="s">
        <v>955</v>
      </c>
      <c r="AH102" s="108"/>
    </row>
    <row r="103" s="153" customFormat="1" hidden="1" spans="1:34">
      <c r="A103" s="213">
        <v>540425202020025</v>
      </c>
      <c r="B103" s="214" t="s">
        <v>19</v>
      </c>
      <c r="C103" s="214" t="s">
        <v>20</v>
      </c>
      <c r="D103" s="214">
        <v>2020</v>
      </c>
      <c r="E103" s="229" t="s">
        <v>562</v>
      </c>
      <c r="F103" s="214" t="s">
        <v>131</v>
      </c>
      <c r="G103" s="214" t="s">
        <v>1151</v>
      </c>
      <c r="H103" s="214" t="s">
        <v>1166</v>
      </c>
      <c r="I103" s="216">
        <f t="shared" si="6"/>
        <v>316.99</v>
      </c>
      <c r="J103" s="216">
        <v>316.99</v>
      </c>
      <c r="K103" s="216">
        <v>0</v>
      </c>
      <c r="L103" s="216">
        <f t="shared" si="7"/>
        <v>316.99</v>
      </c>
      <c r="M103" s="216">
        <v>316.99</v>
      </c>
      <c r="N103" s="216">
        <v>0</v>
      </c>
      <c r="O103" s="214" t="s">
        <v>920</v>
      </c>
      <c r="P103" s="214" t="s">
        <v>921</v>
      </c>
      <c r="Q103" s="214" t="s">
        <v>922</v>
      </c>
      <c r="R103" s="220" t="s">
        <v>939</v>
      </c>
      <c r="S103" s="214" t="s">
        <v>53</v>
      </c>
      <c r="T103" s="214"/>
      <c r="U103" s="214"/>
      <c r="V103" s="214"/>
      <c r="W103" s="219"/>
      <c r="X103" s="219"/>
      <c r="Y103" s="219"/>
      <c r="Z103" s="219"/>
      <c r="AA103" s="219"/>
      <c r="AB103" s="219"/>
      <c r="AC103" s="214"/>
      <c r="AD103" s="219" t="s">
        <v>53</v>
      </c>
      <c r="AE103" s="221" t="s">
        <v>725</v>
      </c>
      <c r="AF103" s="219" t="s">
        <v>56</v>
      </c>
      <c r="AG103" s="108" t="s">
        <v>955</v>
      </c>
      <c r="AH103" s="108" t="s">
        <v>53</v>
      </c>
    </row>
    <row r="104" s="153" customFormat="1" hidden="1" spans="1:34">
      <c r="A104" s="213">
        <v>540425202020026</v>
      </c>
      <c r="B104" s="214" t="s">
        <v>19</v>
      </c>
      <c r="C104" s="214" t="s">
        <v>20</v>
      </c>
      <c r="D104" s="214">
        <v>2020</v>
      </c>
      <c r="E104" s="229" t="s">
        <v>128</v>
      </c>
      <c r="F104" s="214" t="s">
        <v>131</v>
      </c>
      <c r="G104" s="214" t="s">
        <v>1167</v>
      </c>
      <c r="H104" s="214" t="s">
        <v>1168</v>
      </c>
      <c r="I104" s="216">
        <f t="shared" si="6"/>
        <v>166</v>
      </c>
      <c r="J104" s="216">
        <v>166</v>
      </c>
      <c r="K104" s="216">
        <v>0</v>
      </c>
      <c r="L104" s="216">
        <f t="shared" si="7"/>
        <v>166</v>
      </c>
      <c r="M104" s="216">
        <v>166</v>
      </c>
      <c r="N104" s="216">
        <v>0</v>
      </c>
      <c r="O104" s="214" t="s">
        <v>920</v>
      </c>
      <c r="P104" s="214" t="s">
        <v>921</v>
      </c>
      <c r="Q104" s="214" t="s">
        <v>922</v>
      </c>
      <c r="R104" s="220" t="s">
        <v>922</v>
      </c>
      <c r="S104" s="214" t="s">
        <v>56</v>
      </c>
      <c r="T104" s="214"/>
      <c r="U104" s="214"/>
      <c r="V104" s="214"/>
      <c r="W104" s="219"/>
      <c r="X104" s="219"/>
      <c r="Y104" s="219"/>
      <c r="Z104" s="219"/>
      <c r="AA104" s="219"/>
      <c r="AB104" s="219"/>
      <c r="AC104" s="214" t="s">
        <v>947</v>
      </c>
      <c r="AD104" s="219" t="s">
        <v>53</v>
      </c>
      <c r="AE104" s="221" t="s">
        <v>1026</v>
      </c>
      <c r="AF104" s="219" t="s">
        <v>56</v>
      </c>
      <c r="AG104" s="108" t="s">
        <v>955</v>
      </c>
      <c r="AH104" s="108" t="s">
        <v>53</v>
      </c>
    </row>
    <row r="105" s="153" customFormat="1" hidden="1" spans="1:34">
      <c r="A105" s="213">
        <v>540425202020027</v>
      </c>
      <c r="B105" s="214" t="s">
        <v>19</v>
      </c>
      <c r="C105" s="214" t="s">
        <v>20</v>
      </c>
      <c r="D105" s="214">
        <v>2020</v>
      </c>
      <c r="E105" s="229" t="s">
        <v>129</v>
      </c>
      <c r="F105" s="214" t="s">
        <v>131</v>
      </c>
      <c r="G105" s="214" t="s">
        <v>1041</v>
      </c>
      <c r="H105" s="214" t="s">
        <v>1169</v>
      </c>
      <c r="I105" s="216">
        <f t="shared" si="6"/>
        <v>391.07</v>
      </c>
      <c r="J105" s="216">
        <v>391.07</v>
      </c>
      <c r="K105" s="216">
        <v>0</v>
      </c>
      <c r="L105" s="216">
        <f t="shared" si="7"/>
        <v>391.07</v>
      </c>
      <c r="M105" s="216">
        <v>391.07</v>
      </c>
      <c r="N105" s="216">
        <v>0</v>
      </c>
      <c r="O105" s="214" t="s">
        <v>920</v>
      </c>
      <c r="P105" s="214" t="s">
        <v>921</v>
      </c>
      <c r="Q105" s="214" t="s">
        <v>922</v>
      </c>
      <c r="R105" s="220" t="s">
        <v>939</v>
      </c>
      <c r="S105" s="214" t="s">
        <v>53</v>
      </c>
      <c r="T105" s="214"/>
      <c r="U105" s="214"/>
      <c r="V105" s="214"/>
      <c r="W105" s="219"/>
      <c r="X105" s="219"/>
      <c r="Y105" s="219"/>
      <c r="Z105" s="219"/>
      <c r="AA105" s="219"/>
      <c r="AB105" s="219"/>
      <c r="AC105" s="214"/>
      <c r="AD105" s="219" t="s">
        <v>53</v>
      </c>
      <c r="AE105" s="221" t="s">
        <v>94</v>
      </c>
      <c r="AF105" s="219" t="s">
        <v>53</v>
      </c>
      <c r="AG105" s="108" t="s">
        <v>955</v>
      </c>
      <c r="AH105" s="108" t="s">
        <v>53</v>
      </c>
    </row>
    <row r="106" s="153" customFormat="1" hidden="1" spans="1:34">
      <c r="A106" s="213">
        <v>540425202020028</v>
      </c>
      <c r="B106" s="214" t="s">
        <v>19</v>
      </c>
      <c r="C106" s="214" t="s">
        <v>20</v>
      </c>
      <c r="D106" s="214">
        <v>2020</v>
      </c>
      <c r="E106" s="229" t="s">
        <v>132</v>
      </c>
      <c r="F106" s="214" t="s">
        <v>131</v>
      </c>
      <c r="G106" s="214" t="s">
        <v>1041</v>
      </c>
      <c r="H106" s="214" t="s">
        <v>1170</v>
      </c>
      <c r="I106" s="216">
        <f t="shared" si="6"/>
        <v>173.64</v>
      </c>
      <c r="J106" s="216">
        <v>173.64</v>
      </c>
      <c r="K106" s="216">
        <v>0</v>
      </c>
      <c r="L106" s="216">
        <f t="shared" si="7"/>
        <v>173.64</v>
      </c>
      <c r="M106" s="216">
        <v>173.64</v>
      </c>
      <c r="N106" s="216">
        <v>0</v>
      </c>
      <c r="O106" s="214" t="s">
        <v>920</v>
      </c>
      <c r="P106" s="214" t="s">
        <v>921</v>
      </c>
      <c r="Q106" s="214" t="s">
        <v>922</v>
      </c>
      <c r="R106" s="220" t="s">
        <v>939</v>
      </c>
      <c r="S106" s="214" t="s">
        <v>53</v>
      </c>
      <c r="T106" s="214"/>
      <c r="U106" s="214"/>
      <c r="V106" s="214"/>
      <c r="W106" s="219"/>
      <c r="X106" s="219"/>
      <c r="Y106" s="219"/>
      <c r="Z106" s="219"/>
      <c r="AA106" s="219"/>
      <c r="AB106" s="219"/>
      <c r="AC106" s="214"/>
      <c r="AD106" s="219" t="s">
        <v>53</v>
      </c>
      <c r="AE106" s="221" t="s">
        <v>54</v>
      </c>
      <c r="AF106" s="219" t="s">
        <v>53</v>
      </c>
      <c r="AG106" s="108" t="s">
        <v>955</v>
      </c>
      <c r="AH106" s="108" t="s">
        <v>53</v>
      </c>
    </row>
    <row r="107" s="153" customFormat="1" ht="84" hidden="1" spans="1:34">
      <c r="A107" s="213">
        <v>540425202017012</v>
      </c>
      <c r="B107" s="214" t="s">
        <v>19</v>
      </c>
      <c r="C107" s="214" t="s">
        <v>20</v>
      </c>
      <c r="D107" s="214">
        <v>2020</v>
      </c>
      <c r="E107" s="229" t="s">
        <v>564</v>
      </c>
      <c r="F107" s="214" t="s">
        <v>1171</v>
      </c>
      <c r="G107" s="214" t="s">
        <v>952</v>
      </c>
      <c r="H107" s="214" t="s">
        <v>1172</v>
      </c>
      <c r="I107" s="216">
        <f t="shared" si="6"/>
        <v>500</v>
      </c>
      <c r="J107" s="216">
        <v>500</v>
      </c>
      <c r="K107" s="216">
        <v>0</v>
      </c>
      <c r="L107" s="216">
        <f t="shared" si="7"/>
        <v>491.996635</v>
      </c>
      <c r="M107" s="216">
        <v>491.996635</v>
      </c>
      <c r="N107" s="216">
        <v>0</v>
      </c>
      <c r="O107" s="214" t="s">
        <v>920</v>
      </c>
      <c r="P107" s="214" t="s">
        <v>926</v>
      </c>
      <c r="Q107" s="214" t="s">
        <v>927</v>
      </c>
      <c r="R107" s="220" t="s">
        <v>973</v>
      </c>
      <c r="S107" s="214" t="s">
        <v>53</v>
      </c>
      <c r="T107" s="214" t="s">
        <v>930</v>
      </c>
      <c r="U107" s="214" t="s">
        <v>931</v>
      </c>
      <c r="V107" s="214" t="s">
        <v>1173</v>
      </c>
      <c r="W107" s="219" t="s">
        <v>56</v>
      </c>
      <c r="X107" s="219"/>
      <c r="Y107" s="219"/>
      <c r="Z107" s="219"/>
      <c r="AA107" s="219"/>
      <c r="AB107" s="219" t="s">
        <v>933</v>
      </c>
      <c r="AC107" s="214"/>
      <c r="AD107" s="219" t="s">
        <v>53</v>
      </c>
      <c r="AE107" s="221" t="s">
        <v>1026</v>
      </c>
      <c r="AF107" s="219" t="s">
        <v>53</v>
      </c>
      <c r="AG107" s="108" t="s">
        <v>955</v>
      </c>
      <c r="AH107" s="108"/>
    </row>
    <row r="108" s="153" customFormat="1" ht="56" hidden="1" spans="1:34">
      <c r="A108" s="213">
        <v>540425202012018</v>
      </c>
      <c r="B108" s="214" t="s">
        <v>19</v>
      </c>
      <c r="C108" s="214" t="s">
        <v>20</v>
      </c>
      <c r="D108" s="214">
        <v>2020</v>
      </c>
      <c r="E108" s="229" t="s">
        <v>150</v>
      </c>
      <c r="F108" s="214" t="s">
        <v>131</v>
      </c>
      <c r="G108" s="214" t="s">
        <v>1174</v>
      </c>
      <c r="H108" s="214" t="s">
        <v>1175</v>
      </c>
      <c r="I108" s="216">
        <f t="shared" si="6"/>
        <v>305.85</v>
      </c>
      <c r="J108" s="216">
        <v>305.85</v>
      </c>
      <c r="K108" s="216">
        <v>0</v>
      </c>
      <c r="L108" s="216">
        <f t="shared" si="7"/>
        <v>295.120467</v>
      </c>
      <c r="M108" s="216">
        <v>295.120467</v>
      </c>
      <c r="N108" s="216">
        <v>0</v>
      </c>
      <c r="O108" s="214" t="s">
        <v>920</v>
      </c>
      <c r="P108" s="214" t="s">
        <v>1024</v>
      </c>
      <c r="Q108" s="214" t="s">
        <v>927</v>
      </c>
      <c r="R108" s="214" t="s">
        <v>939</v>
      </c>
      <c r="S108" s="214"/>
      <c r="T108" s="214"/>
      <c r="U108" s="214"/>
      <c r="V108" s="214"/>
      <c r="W108" s="219"/>
      <c r="X108" s="219"/>
      <c r="Y108" s="219"/>
      <c r="Z108" s="219"/>
      <c r="AA108" s="219"/>
      <c r="AB108" s="219"/>
      <c r="AC108" s="214"/>
      <c r="AD108" s="219" t="s">
        <v>53</v>
      </c>
      <c r="AE108" s="221" t="s">
        <v>1026</v>
      </c>
      <c r="AF108" s="219" t="s">
        <v>56</v>
      </c>
      <c r="AG108" s="108" t="s">
        <v>955</v>
      </c>
      <c r="AH108" s="108"/>
    </row>
    <row r="109" s="153" customFormat="1" ht="42" hidden="1" spans="1:34">
      <c r="A109" s="213">
        <v>540425202012029</v>
      </c>
      <c r="B109" s="214" t="s">
        <v>19</v>
      </c>
      <c r="C109" s="214" t="s">
        <v>20</v>
      </c>
      <c r="D109" s="214">
        <v>2020</v>
      </c>
      <c r="E109" s="229" t="s">
        <v>565</v>
      </c>
      <c r="F109" s="214" t="s">
        <v>131</v>
      </c>
      <c r="G109" s="214" t="s">
        <v>1176</v>
      </c>
      <c r="H109" s="214" t="s">
        <v>1177</v>
      </c>
      <c r="I109" s="216">
        <f t="shared" si="6"/>
        <v>113.07</v>
      </c>
      <c r="J109" s="216">
        <v>113.07</v>
      </c>
      <c r="K109" s="216">
        <v>0</v>
      </c>
      <c r="L109" s="216">
        <f t="shared" si="7"/>
        <v>104.330065</v>
      </c>
      <c r="M109" s="216">
        <v>104.330065</v>
      </c>
      <c r="N109" s="216">
        <v>0</v>
      </c>
      <c r="O109" s="214" t="s">
        <v>920</v>
      </c>
      <c r="P109" s="214" t="s">
        <v>1024</v>
      </c>
      <c r="Q109" s="214" t="s">
        <v>927</v>
      </c>
      <c r="R109" s="214" t="s">
        <v>927</v>
      </c>
      <c r="S109" s="214" t="s">
        <v>53</v>
      </c>
      <c r="T109" s="214"/>
      <c r="U109" s="214"/>
      <c r="V109" s="214"/>
      <c r="W109" s="219"/>
      <c r="X109" s="219"/>
      <c r="Y109" s="219"/>
      <c r="Z109" s="219"/>
      <c r="AA109" s="219"/>
      <c r="AB109" s="219"/>
      <c r="AC109" s="214"/>
      <c r="AD109" s="219" t="s">
        <v>53</v>
      </c>
      <c r="AE109" s="221" t="s">
        <v>1026</v>
      </c>
      <c r="AF109" s="108" t="s">
        <v>56</v>
      </c>
      <c r="AG109" s="108" t="s">
        <v>955</v>
      </c>
      <c r="AH109" s="108"/>
    </row>
    <row r="110" s="153" customFormat="1" ht="56" hidden="1" spans="1:34">
      <c r="A110" s="213">
        <v>540425202012020</v>
      </c>
      <c r="B110" s="214" t="s">
        <v>19</v>
      </c>
      <c r="C110" s="214" t="s">
        <v>20</v>
      </c>
      <c r="D110" s="214">
        <v>2020</v>
      </c>
      <c r="E110" s="229" t="s">
        <v>566</v>
      </c>
      <c r="F110" s="214" t="s">
        <v>131</v>
      </c>
      <c r="G110" s="214" t="s">
        <v>1178</v>
      </c>
      <c r="H110" s="214" t="s">
        <v>1179</v>
      </c>
      <c r="I110" s="216">
        <f t="shared" si="6"/>
        <v>183.24</v>
      </c>
      <c r="J110" s="216">
        <v>183.24</v>
      </c>
      <c r="K110" s="216">
        <v>0</v>
      </c>
      <c r="L110" s="216">
        <f t="shared" si="7"/>
        <v>176.380201</v>
      </c>
      <c r="M110" s="216">
        <v>176.380201</v>
      </c>
      <c r="N110" s="216">
        <v>0</v>
      </c>
      <c r="O110" s="214" t="s">
        <v>920</v>
      </c>
      <c r="P110" s="214" t="s">
        <v>1024</v>
      </c>
      <c r="Q110" s="214" t="s">
        <v>927</v>
      </c>
      <c r="R110" s="214" t="s">
        <v>927</v>
      </c>
      <c r="S110" s="214" t="s">
        <v>53</v>
      </c>
      <c r="T110" s="214" t="s">
        <v>974</v>
      </c>
      <c r="U110" s="214" t="s">
        <v>1063</v>
      </c>
      <c r="V110" s="214" t="s">
        <v>1180</v>
      </c>
      <c r="W110" s="219" t="s">
        <v>56</v>
      </c>
      <c r="X110" s="219"/>
      <c r="Y110" s="219"/>
      <c r="Z110" s="219"/>
      <c r="AA110" s="219"/>
      <c r="AB110" s="219"/>
      <c r="AC110" s="214"/>
      <c r="AD110" s="219" t="s">
        <v>53</v>
      </c>
      <c r="AE110" s="221" t="s">
        <v>1026</v>
      </c>
      <c r="AF110" s="108" t="s">
        <v>53</v>
      </c>
      <c r="AG110" s="108" t="s">
        <v>955</v>
      </c>
      <c r="AH110" s="108"/>
    </row>
    <row r="111" s="153" customFormat="1" ht="70" hidden="1" spans="1:34">
      <c r="A111" s="213">
        <v>540425202004005</v>
      </c>
      <c r="B111" s="214" t="s">
        <v>19</v>
      </c>
      <c r="C111" s="214" t="s">
        <v>20</v>
      </c>
      <c r="D111" s="214">
        <v>2020</v>
      </c>
      <c r="E111" s="229" t="s">
        <v>263</v>
      </c>
      <c r="F111" s="214" t="s">
        <v>98</v>
      </c>
      <c r="G111" s="214" t="s">
        <v>1181</v>
      </c>
      <c r="H111" s="214" t="s">
        <v>1182</v>
      </c>
      <c r="I111" s="216">
        <f t="shared" si="6"/>
        <v>254.46</v>
      </c>
      <c r="J111" s="216">
        <v>254.46</v>
      </c>
      <c r="K111" s="216">
        <v>0</v>
      </c>
      <c r="L111" s="216">
        <f t="shared" si="7"/>
        <v>247.929484</v>
      </c>
      <c r="M111" s="216">
        <v>247.929484</v>
      </c>
      <c r="N111" s="216">
        <v>0</v>
      </c>
      <c r="O111" s="214" t="s">
        <v>920</v>
      </c>
      <c r="P111" s="214" t="s">
        <v>938</v>
      </c>
      <c r="Q111" s="214" t="s">
        <v>939</v>
      </c>
      <c r="R111" s="220" t="s">
        <v>939</v>
      </c>
      <c r="S111" s="214" t="s">
        <v>53</v>
      </c>
      <c r="T111" s="214" t="s">
        <v>930</v>
      </c>
      <c r="U111" s="214" t="s">
        <v>980</v>
      </c>
      <c r="V111" s="214" t="s">
        <v>1183</v>
      </c>
      <c r="W111" s="219" t="s">
        <v>56</v>
      </c>
      <c r="X111" s="219"/>
      <c r="Y111" s="219"/>
      <c r="Z111" s="219"/>
      <c r="AA111" s="219"/>
      <c r="AB111" s="219" t="s">
        <v>983</v>
      </c>
      <c r="AC111" s="214"/>
      <c r="AD111" s="219" t="s">
        <v>53</v>
      </c>
      <c r="AE111" s="221" t="s">
        <v>1026</v>
      </c>
      <c r="AF111" s="219" t="s">
        <v>56</v>
      </c>
      <c r="AG111" s="108" t="s">
        <v>955</v>
      </c>
      <c r="AH111" s="108" t="s">
        <v>53</v>
      </c>
    </row>
    <row r="112" s="153" customFormat="1" ht="28" hidden="1" spans="1:34">
      <c r="A112" s="213">
        <v>540425202020029</v>
      </c>
      <c r="B112" s="214" t="s">
        <v>19</v>
      </c>
      <c r="C112" s="214" t="s">
        <v>20</v>
      </c>
      <c r="D112" s="214">
        <v>2020</v>
      </c>
      <c r="E112" s="229" t="s">
        <v>152</v>
      </c>
      <c r="F112" s="214" t="s">
        <v>124</v>
      </c>
      <c r="G112" s="214" t="s">
        <v>1184</v>
      </c>
      <c r="H112" s="214" t="s">
        <v>1185</v>
      </c>
      <c r="I112" s="216">
        <f t="shared" si="6"/>
        <v>140</v>
      </c>
      <c r="J112" s="216">
        <v>140</v>
      </c>
      <c r="K112" s="216">
        <v>0</v>
      </c>
      <c r="L112" s="216">
        <f t="shared" si="7"/>
        <v>125.370018</v>
      </c>
      <c r="M112" s="216">
        <v>125.370018</v>
      </c>
      <c r="N112" s="216">
        <v>0</v>
      </c>
      <c r="O112" s="214" t="s">
        <v>920</v>
      </c>
      <c r="P112" s="214" t="s">
        <v>921</v>
      </c>
      <c r="Q112" s="214" t="s">
        <v>922</v>
      </c>
      <c r="R112" s="220" t="s">
        <v>939</v>
      </c>
      <c r="S112" s="214" t="s">
        <v>53</v>
      </c>
      <c r="T112" s="214"/>
      <c r="U112" s="214"/>
      <c r="V112" s="214"/>
      <c r="W112" s="219"/>
      <c r="X112" s="219"/>
      <c r="Y112" s="219"/>
      <c r="Z112" s="219"/>
      <c r="AA112" s="219"/>
      <c r="AB112" s="219"/>
      <c r="AC112" s="214" t="s">
        <v>1186</v>
      </c>
      <c r="AD112" s="219" t="s">
        <v>53</v>
      </c>
      <c r="AE112" s="221" t="s">
        <v>1026</v>
      </c>
      <c r="AF112" s="219" t="s">
        <v>53</v>
      </c>
      <c r="AG112" s="108" t="s">
        <v>955</v>
      </c>
      <c r="AH112" s="108" t="s">
        <v>53</v>
      </c>
    </row>
    <row r="113" s="153" customFormat="1" ht="42" hidden="1" spans="1:34">
      <c r="A113" s="213">
        <v>540425202112021</v>
      </c>
      <c r="B113" s="214" t="s">
        <v>19</v>
      </c>
      <c r="C113" s="214" t="s">
        <v>20</v>
      </c>
      <c r="D113" s="214">
        <v>2021</v>
      </c>
      <c r="E113" s="229" t="s">
        <v>264</v>
      </c>
      <c r="F113" s="214" t="s">
        <v>131</v>
      </c>
      <c r="G113" s="214" t="s">
        <v>1187</v>
      </c>
      <c r="H113" s="214" t="s">
        <v>1188</v>
      </c>
      <c r="I113" s="216">
        <f t="shared" si="6"/>
        <v>300</v>
      </c>
      <c r="J113" s="216">
        <v>300</v>
      </c>
      <c r="K113" s="216">
        <v>0</v>
      </c>
      <c r="L113" s="216">
        <f t="shared" si="7"/>
        <v>263.240156</v>
      </c>
      <c r="M113" s="216">
        <v>263.240156</v>
      </c>
      <c r="N113" s="216">
        <v>0</v>
      </c>
      <c r="O113" s="214" t="s">
        <v>920</v>
      </c>
      <c r="P113" s="214" t="s">
        <v>1024</v>
      </c>
      <c r="Q113" s="214" t="s">
        <v>927</v>
      </c>
      <c r="R113" s="214" t="s">
        <v>927</v>
      </c>
      <c r="S113" s="214" t="s">
        <v>53</v>
      </c>
      <c r="T113" s="214" t="s">
        <v>930</v>
      </c>
      <c r="U113" s="214" t="s">
        <v>980</v>
      </c>
      <c r="V113" s="214" t="s">
        <v>1189</v>
      </c>
      <c r="W113" s="219"/>
      <c r="X113" s="219"/>
      <c r="Y113" s="219"/>
      <c r="Z113" s="219"/>
      <c r="AA113" s="219"/>
      <c r="AB113" s="219"/>
      <c r="AC113" s="214"/>
      <c r="AD113" s="219" t="s">
        <v>53</v>
      </c>
      <c r="AE113" s="221" t="s">
        <v>1026</v>
      </c>
      <c r="AF113" s="108" t="s">
        <v>56</v>
      </c>
      <c r="AG113" s="108" t="s">
        <v>955</v>
      </c>
      <c r="AH113" s="108"/>
    </row>
    <row r="114" s="153" customFormat="1" ht="42" hidden="1" spans="1:34">
      <c r="A114" s="213">
        <v>540425202112022</v>
      </c>
      <c r="B114" s="214" t="s">
        <v>19</v>
      </c>
      <c r="C114" s="214" t="s">
        <v>20</v>
      </c>
      <c r="D114" s="214">
        <v>2021</v>
      </c>
      <c r="E114" s="229" t="s">
        <v>265</v>
      </c>
      <c r="F114" s="214" t="s">
        <v>131</v>
      </c>
      <c r="G114" s="214" t="s">
        <v>1027</v>
      </c>
      <c r="H114" s="214" t="s">
        <v>1190</v>
      </c>
      <c r="I114" s="216">
        <f t="shared" si="6"/>
        <v>300</v>
      </c>
      <c r="J114" s="216">
        <v>300</v>
      </c>
      <c r="K114" s="216">
        <v>0</v>
      </c>
      <c r="L114" s="216">
        <f t="shared" si="7"/>
        <v>289.795688</v>
      </c>
      <c r="M114" s="216">
        <v>289.795688</v>
      </c>
      <c r="N114" s="216">
        <v>0</v>
      </c>
      <c r="O114" s="214" t="s">
        <v>920</v>
      </c>
      <c r="P114" s="214" t="s">
        <v>1024</v>
      </c>
      <c r="Q114" s="214" t="s">
        <v>927</v>
      </c>
      <c r="R114" s="220" t="s">
        <v>927</v>
      </c>
      <c r="S114" s="214" t="s">
        <v>53</v>
      </c>
      <c r="T114" s="214"/>
      <c r="U114" s="214"/>
      <c r="V114" s="214"/>
      <c r="W114" s="219"/>
      <c r="X114" s="219"/>
      <c r="Y114" s="219"/>
      <c r="Z114" s="219"/>
      <c r="AA114" s="219"/>
      <c r="AB114" s="219"/>
      <c r="AC114" s="214"/>
      <c r="AD114" s="219" t="s">
        <v>53</v>
      </c>
      <c r="AE114" s="221" t="s">
        <v>54</v>
      </c>
      <c r="AF114" s="108" t="s">
        <v>56</v>
      </c>
      <c r="AG114" s="108" t="s">
        <v>955</v>
      </c>
      <c r="AH114" s="108"/>
    </row>
    <row r="115" s="153" customFormat="1" hidden="1" spans="1:34">
      <c r="A115" s="213">
        <v>540425202120030</v>
      </c>
      <c r="B115" s="214" t="s">
        <v>19</v>
      </c>
      <c r="C115" s="214" t="s">
        <v>20</v>
      </c>
      <c r="D115" s="214">
        <v>2021</v>
      </c>
      <c r="E115" s="229" t="s">
        <v>266</v>
      </c>
      <c r="F115" s="214" t="s">
        <v>131</v>
      </c>
      <c r="G115" s="214" t="s">
        <v>1154</v>
      </c>
      <c r="H115" s="214" t="s">
        <v>1191</v>
      </c>
      <c r="I115" s="216">
        <f t="shared" si="6"/>
        <v>360</v>
      </c>
      <c r="J115" s="216">
        <v>360</v>
      </c>
      <c r="K115" s="216">
        <v>0</v>
      </c>
      <c r="L115" s="216">
        <f t="shared" si="7"/>
        <v>333.259224</v>
      </c>
      <c r="M115" s="216">
        <v>333.259224</v>
      </c>
      <c r="N115" s="216">
        <v>0</v>
      </c>
      <c r="O115" s="214" t="s">
        <v>920</v>
      </c>
      <c r="P115" s="214" t="s">
        <v>921</v>
      </c>
      <c r="Q115" s="214" t="s">
        <v>922</v>
      </c>
      <c r="R115" s="220" t="s">
        <v>922</v>
      </c>
      <c r="S115" s="214" t="s">
        <v>56</v>
      </c>
      <c r="T115" s="214"/>
      <c r="U115" s="214"/>
      <c r="V115" s="214"/>
      <c r="W115" s="219"/>
      <c r="X115" s="219"/>
      <c r="Y115" s="219"/>
      <c r="Z115" s="219"/>
      <c r="AA115" s="219"/>
      <c r="AB115" s="219"/>
      <c r="AC115" s="214"/>
      <c r="AD115" s="219" t="s">
        <v>53</v>
      </c>
      <c r="AE115" s="221" t="s">
        <v>54</v>
      </c>
      <c r="AF115" s="108" t="s">
        <v>53</v>
      </c>
      <c r="AG115" s="108" t="s">
        <v>955</v>
      </c>
      <c r="AH115" s="108" t="s">
        <v>53</v>
      </c>
    </row>
    <row r="116" ht="70" hidden="1" spans="1:34">
      <c r="A116" s="118">
        <v>540425202112023</v>
      </c>
      <c r="B116" s="168" t="s">
        <v>19</v>
      </c>
      <c r="C116" s="168" t="s">
        <v>20</v>
      </c>
      <c r="D116" s="168">
        <v>2021</v>
      </c>
      <c r="E116" s="179" t="s">
        <v>234</v>
      </c>
      <c r="F116" s="110" t="s">
        <v>131</v>
      </c>
      <c r="G116" s="110" t="s">
        <v>948</v>
      </c>
      <c r="H116" s="168" t="s">
        <v>1192</v>
      </c>
      <c r="I116" s="231">
        <f t="shared" si="6"/>
        <v>2900.53</v>
      </c>
      <c r="J116" s="231">
        <v>2900.53</v>
      </c>
      <c r="K116" s="231">
        <v>0</v>
      </c>
      <c r="L116" s="231">
        <f t="shared" si="7"/>
        <v>2591.14</v>
      </c>
      <c r="M116" s="231">
        <v>2591.14</v>
      </c>
      <c r="N116" s="231">
        <v>0</v>
      </c>
      <c r="O116" s="168" t="s">
        <v>920</v>
      </c>
      <c r="P116" s="168" t="s">
        <v>1024</v>
      </c>
      <c r="Q116" s="168" t="s">
        <v>927</v>
      </c>
      <c r="R116" s="233" t="s">
        <v>927</v>
      </c>
      <c r="S116" s="168" t="s">
        <v>53</v>
      </c>
      <c r="T116" s="168"/>
      <c r="U116" s="168"/>
      <c r="V116" s="168"/>
      <c r="W116" s="69"/>
      <c r="X116" s="69"/>
      <c r="Y116" s="69"/>
      <c r="Z116" s="69"/>
      <c r="AA116" s="69"/>
      <c r="AB116" s="69"/>
      <c r="AC116" s="168"/>
      <c r="AD116" s="69" t="s">
        <v>56</v>
      </c>
      <c r="AE116" s="169" t="s">
        <v>235</v>
      </c>
      <c r="AF116" s="108" t="s">
        <v>56</v>
      </c>
      <c r="AG116" s="108" t="s">
        <v>53</v>
      </c>
      <c r="AH116" s="108"/>
    </row>
    <row r="117" s="150" customFormat="1" hidden="1" spans="1:34">
      <c r="A117" s="118">
        <v>540425202120031</v>
      </c>
      <c r="B117" s="110" t="s">
        <v>19</v>
      </c>
      <c r="C117" s="110" t="s">
        <v>20</v>
      </c>
      <c r="D117" s="110">
        <v>2021</v>
      </c>
      <c r="E117" s="179" t="s">
        <v>267</v>
      </c>
      <c r="F117" s="110" t="s">
        <v>157</v>
      </c>
      <c r="G117" s="110" t="s">
        <v>1193</v>
      </c>
      <c r="H117" s="110" t="s">
        <v>1194</v>
      </c>
      <c r="I117" s="180">
        <f t="shared" si="6"/>
        <v>110.08</v>
      </c>
      <c r="J117" s="180">
        <v>110.08</v>
      </c>
      <c r="K117" s="180">
        <v>0</v>
      </c>
      <c r="L117" s="180">
        <f t="shared" si="7"/>
        <v>102.675876</v>
      </c>
      <c r="M117" s="180">
        <v>102.675876</v>
      </c>
      <c r="N117" s="180">
        <v>0</v>
      </c>
      <c r="O117" s="110" t="s">
        <v>920</v>
      </c>
      <c r="P117" s="110" t="s">
        <v>921</v>
      </c>
      <c r="Q117" s="110" t="s">
        <v>922</v>
      </c>
      <c r="R117" s="182" t="s">
        <v>939</v>
      </c>
      <c r="S117" s="110" t="s">
        <v>56</v>
      </c>
      <c r="T117" s="110"/>
      <c r="U117" s="110"/>
      <c r="V117" s="110"/>
      <c r="W117" s="108"/>
      <c r="X117" s="108"/>
      <c r="Y117" s="108"/>
      <c r="Z117" s="108"/>
      <c r="AA117" s="108"/>
      <c r="AB117" s="108"/>
      <c r="AC117" s="110" t="s">
        <v>947</v>
      </c>
      <c r="AD117" s="108" t="s">
        <v>56</v>
      </c>
      <c r="AE117" s="183" t="s">
        <v>162</v>
      </c>
      <c r="AF117" s="108" t="s">
        <v>53</v>
      </c>
      <c r="AG117" s="108" t="s">
        <v>53</v>
      </c>
      <c r="AH117" s="108" t="s">
        <v>53</v>
      </c>
    </row>
    <row r="118" ht="28" hidden="1" spans="1:34">
      <c r="A118" s="118">
        <v>540425202120032</v>
      </c>
      <c r="B118" s="168" t="s">
        <v>19</v>
      </c>
      <c r="C118" s="168" t="s">
        <v>20</v>
      </c>
      <c r="D118" s="168">
        <v>2021</v>
      </c>
      <c r="E118" s="179" t="s">
        <v>268</v>
      </c>
      <c r="F118" s="110" t="s">
        <v>82</v>
      </c>
      <c r="G118" s="110" t="s">
        <v>1195</v>
      </c>
      <c r="H118" s="168" t="s">
        <v>1196</v>
      </c>
      <c r="I118" s="231">
        <f t="shared" si="6"/>
        <v>114</v>
      </c>
      <c r="J118" s="231">
        <v>114</v>
      </c>
      <c r="K118" s="231">
        <v>0</v>
      </c>
      <c r="L118" s="231">
        <f t="shared" si="7"/>
        <v>108.951623</v>
      </c>
      <c r="M118" s="231">
        <v>108.951623</v>
      </c>
      <c r="N118" s="231">
        <v>0</v>
      </c>
      <c r="O118" s="168" t="s">
        <v>920</v>
      </c>
      <c r="P118" s="168" t="s">
        <v>921</v>
      </c>
      <c r="Q118" s="168" t="s">
        <v>922</v>
      </c>
      <c r="R118" s="233" t="s">
        <v>922</v>
      </c>
      <c r="S118" s="168" t="s">
        <v>56</v>
      </c>
      <c r="T118" s="168"/>
      <c r="U118" s="168"/>
      <c r="V118" s="168"/>
      <c r="W118" s="69"/>
      <c r="X118" s="69"/>
      <c r="Y118" s="69"/>
      <c r="Z118" s="69"/>
      <c r="AA118" s="69"/>
      <c r="AB118" s="69"/>
      <c r="AC118" s="168" t="s">
        <v>1197</v>
      </c>
      <c r="AD118" s="69" t="s">
        <v>56</v>
      </c>
      <c r="AE118" s="169" t="s">
        <v>162</v>
      </c>
      <c r="AF118" s="108" t="s">
        <v>53</v>
      </c>
      <c r="AG118" s="108" t="s">
        <v>53</v>
      </c>
      <c r="AH118" s="108" t="s">
        <v>53</v>
      </c>
    </row>
    <row r="119" s="154" customFormat="1" hidden="1" spans="1:34">
      <c r="A119" s="126">
        <v>540425202120033</v>
      </c>
      <c r="B119" s="233" t="s">
        <v>19</v>
      </c>
      <c r="C119" s="233" t="s">
        <v>20</v>
      </c>
      <c r="D119" s="233">
        <v>2021</v>
      </c>
      <c r="E119" s="240" t="s">
        <v>269</v>
      </c>
      <c r="F119" s="182" t="s">
        <v>157</v>
      </c>
      <c r="G119" s="182" t="s">
        <v>1198</v>
      </c>
      <c r="H119" s="233" t="s">
        <v>1199</v>
      </c>
      <c r="I119" s="223">
        <f t="shared" si="6"/>
        <v>44.98</v>
      </c>
      <c r="J119" s="223">
        <v>44.98</v>
      </c>
      <c r="K119" s="223">
        <v>0</v>
      </c>
      <c r="L119" s="223">
        <f t="shared" si="7"/>
        <v>44.98</v>
      </c>
      <c r="M119" s="223">
        <v>44.98</v>
      </c>
      <c r="N119" s="223">
        <v>0</v>
      </c>
      <c r="O119" s="233" t="s">
        <v>920</v>
      </c>
      <c r="P119" s="233" t="s">
        <v>921</v>
      </c>
      <c r="Q119" s="233" t="s">
        <v>922</v>
      </c>
      <c r="R119" s="233" t="s">
        <v>922</v>
      </c>
      <c r="S119" s="233" t="s">
        <v>56</v>
      </c>
      <c r="T119" s="233"/>
      <c r="U119" s="233"/>
      <c r="V119" s="233"/>
      <c r="W119" s="134"/>
      <c r="X119" s="134"/>
      <c r="Y119" s="134"/>
      <c r="Z119" s="134"/>
      <c r="AA119" s="134"/>
      <c r="AB119" s="134"/>
      <c r="AC119" s="233" t="s">
        <v>1200</v>
      </c>
      <c r="AD119" s="134" t="s">
        <v>56</v>
      </c>
      <c r="AE119" s="227" t="s">
        <v>239</v>
      </c>
      <c r="AF119" s="127" t="s">
        <v>53</v>
      </c>
      <c r="AG119" s="108" t="s">
        <v>53</v>
      </c>
      <c r="AH119" s="108" t="s">
        <v>53</v>
      </c>
    </row>
    <row r="120" ht="42" hidden="1" spans="1:34">
      <c r="A120" s="118">
        <v>540425202116013</v>
      </c>
      <c r="B120" s="168" t="s">
        <v>19</v>
      </c>
      <c r="C120" s="168" t="s">
        <v>20</v>
      </c>
      <c r="D120" s="168">
        <v>2021</v>
      </c>
      <c r="E120" s="179" t="s">
        <v>270</v>
      </c>
      <c r="F120" s="110" t="s">
        <v>131</v>
      </c>
      <c r="G120" s="110" t="s">
        <v>1029</v>
      </c>
      <c r="H120" s="168" t="s">
        <v>1201</v>
      </c>
      <c r="I120" s="231">
        <f t="shared" si="6"/>
        <v>383.78</v>
      </c>
      <c r="J120" s="231">
        <v>383.78</v>
      </c>
      <c r="K120" s="231">
        <v>0</v>
      </c>
      <c r="L120" s="231">
        <f t="shared" si="7"/>
        <v>371.559052</v>
      </c>
      <c r="M120" s="231">
        <v>371.559052</v>
      </c>
      <c r="N120" s="231">
        <v>0</v>
      </c>
      <c r="O120" s="168" t="s">
        <v>920</v>
      </c>
      <c r="P120" s="168" t="s">
        <v>935</v>
      </c>
      <c r="Q120" s="110" t="s">
        <v>927</v>
      </c>
      <c r="R120" s="233" t="s">
        <v>927</v>
      </c>
      <c r="S120" s="168" t="s">
        <v>53</v>
      </c>
      <c r="T120" s="168" t="s">
        <v>930</v>
      </c>
      <c r="U120" s="168" t="s">
        <v>980</v>
      </c>
      <c r="V120" s="168" t="s">
        <v>1123</v>
      </c>
      <c r="W120" s="69" t="s">
        <v>56</v>
      </c>
      <c r="X120" s="69"/>
      <c r="Y120" s="69"/>
      <c r="Z120" s="69">
        <v>17923.71</v>
      </c>
      <c r="AA120" s="69">
        <v>10</v>
      </c>
      <c r="AB120" s="69" t="s">
        <v>983</v>
      </c>
      <c r="AC120" s="168" t="s">
        <v>1202</v>
      </c>
      <c r="AD120" s="69" t="s">
        <v>56</v>
      </c>
      <c r="AE120" s="169" t="s">
        <v>162</v>
      </c>
      <c r="AF120" s="108" t="s">
        <v>56</v>
      </c>
      <c r="AG120" s="108" t="s">
        <v>53</v>
      </c>
      <c r="AH120" s="108"/>
    </row>
    <row r="121" s="150" customFormat="1" ht="56" hidden="1" spans="1:34">
      <c r="A121" s="118">
        <v>540425202116014</v>
      </c>
      <c r="B121" s="110" t="s">
        <v>19</v>
      </c>
      <c r="C121" s="110" t="s">
        <v>20</v>
      </c>
      <c r="D121" s="110">
        <v>2021</v>
      </c>
      <c r="E121" s="179" t="s">
        <v>271</v>
      </c>
      <c r="F121" s="110" t="s">
        <v>157</v>
      </c>
      <c r="G121" s="110" t="s">
        <v>1203</v>
      </c>
      <c r="H121" s="110" t="s">
        <v>1204</v>
      </c>
      <c r="I121" s="180">
        <f t="shared" si="6"/>
        <v>212</v>
      </c>
      <c r="J121" s="180">
        <v>212</v>
      </c>
      <c r="K121" s="180">
        <v>0</v>
      </c>
      <c r="L121" s="180">
        <f t="shared" si="7"/>
        <v>205.462561</v>
      </c>
      <c r="M121" s="180">
        <v>205.462561</v>
      </c>
      <c r="N121" s="180">
        <v>0</v>
      </c>
      <c r="O121" s="110" t="s">
        <v>920</v>
      </c>
      <c r="P121" s="110" t="s">
        <v>935</v>
      </c>
      <c r="Q121" s="110" t="s">
        <v>927</v>
      </c>
      <c r="R121" s="182" t="s">
        <v>939</v>
      </c>
      <c r="S121" s="110" t="s">
        <v>53</v>
      </c>
      <c r="T121" s="110"/>
      <c r="U121" s="110"/>
      <c r="V121" s="110"/>
      <c r="W121" s="108"/>
      <c r="X121" s="108"/>
      <c r="Y121" s="108"/>
      <c r="Z121" s="108"/>
      <c r="AA121" s="108"/>
      <c r="AB121" s="108"/>
      <c r="AC121" s="110"/>
      <c r="AD121" s="108" t="s">
        <v>56</v>
      </c>
      <c r="AE121" s="183" t="s">
        <v>162</v>
      </c>
      <c r="AF121" s="108" t="s">
        <v>56</v>
      </c>
      <c r="AG121" s="108" t="s">
        <v>53</v>
      </c>
      <c r="AH121" s="108" t="s">
        <v>53</v>
      </c>
    </row>
    <row r="122" s="150" customFormat="1" ht="28" hidden="1" spans="1:34">
      <c r="A122" s="118">
        <v>540425202120034</v>
      </c>
      <c r="B122" s="110" t="s">
        <v>19</v>
      </c>
      <c r="C122" s="110" t="s">
        <v>20</v>
      </c>
      <c r="D122" s="110">
        <v>2021</v>
      </c>
      <c r="E122" s="179" t="s">
        <v>155</v>
      </c>
      <c r="F122" s="110" t="s">
        <v>157</v>
      </c>
      <c r="G122" s="110" t="s">
        <v>1184</v>
      </c>
      <c r="H122" s="110" t="s">
        <v>1205</v>
      </c>
      <c r="I122" s="180">
        <f t="shared" si="6"/>
        <v>201</v>
      </c>
      <c r="J122" s="180">
        <v>201</v>
      </c>
      <c r="K122" s="180">
        <v>0</v>
      </c>
      <c r="L122" s="180">
        <f t="shared" si="7"/>
        <v>201</v>
      </c>
      <c r="M122" s="180">
        <v>201</v>
      </c>
      <c r="N122" s="180">
        <v>0</v>
      </c>
      <c r="O122" s="110" t="s">
        <v>920</v>
      </c>
      <c r="P122" s="110" t="s">
        <v>921</v>
      </c>
      <c r="Q122" s="110" t="s">
        <v>922</v>
      </c>
      <c r="R122" s="182" t="s">
        <v>939</v>
      </c>
      <c r="S122" s="110" t="s">
        <v>56</v>
      </c>
      <c r="T122" s="110"/>
      <c r="U122" s="110"/>
      <c r="V122" s="110"/>
      <c r="W122" s="108"/>
      <c r="X122" s="108"/>
      <c r="Y122" s="108"/>
      <c r="Z122" s="108"/>
      <c r="AA122" s="108"/>
      <c r="AB122" s="108" t="s">
        <v>131</v>
      </c>
      <c r="AC122" s="110"/>
      <c r="AD122" s="108" t="s">
        <v>56</v>
      </c>
      <c r="AE122" s="183" t="s">
        <v>156</v>
      </c>
      <c r="AF122" s="108" t="s">
        <v>56</v>
      </c>
      <c r="AG122" s="108" t="s">
        <v>53</v>
      </c>
      <c r="AH122" s="108" t="s">
        <v>53</v>
      </c>
    </row>
    <row r="123" s="150" customFormat="1" ht="28" hidden="1" spans="1:34">
      <c r="A123" s="118">
        <v>540425202120035</v>
      </c>
      <c r="B123" s="110" t="s">
        <v>19</v>
      </c>
      <c r="C123" s="110" t="s">
        <v>20</v>
      </c>
      <c r="D123" s="110">
        <v>2021</v>
      </c>
      <c r="E123" s="179" t="s">
        <v>158</v>
      </c>
      <c r="F123" s="110" t="s">
        <v>82</v>
      </c>
      <c r="G123" s="110" t="s">
        <v>1206</v>
      </c>
      <c r="H123" s="110" t="s">
        <v>1207</v>
      </c>
      <c r="I123" s="180">
        <f t="shared" si="6"/>
        <v>146</v>
      </c>
      <c r="J123" s="180">
        <v>146</v>
      </c>
      <c r="K123" s="180">
        <v>0</v>
      </c>
      <c r="L123" s="180">
        <f t="shared" si="7"/>
        <v>129.932827</v>
      </c>
      <c r="M123" s="180">
        <v>129.932827</v>
      </c>
      <c r="N123" s="180">
        <v>0</v>
      </c>
      <c r="O123" s="110" t="s">
        <v>920</v>
      </c>
      <c r="P123" s="110" t="s">
        <v>921</v>
      </c>
      <c r="Q123" s="110" t="s">
        <v>922</v>
      </c>
      <c r="R123" s="182" t="s">
        <v>939</v>
      </c>
      <c r="S123" s="110" t="s">
        <v>56</v>
      </c>
      <c r="T123" s="110"/>
      <c r="U123" s="110"/>
      <c r="V123" s="110"/>
      <c r="W123" s="108" t="s">
        <v>56</v>
      </c>
      <c r="X123" s="108"/>
      <c r="Y123" s="108"/>
      <c r="Z123" s="108"/>
      <c r="AA123" s="108"/>
      <c r="AB123" s="108"/>
      <c r="AC123" s="110"/>
      <c r="AD123" s="108" t="s">
        <v>56</v>
      </c>
      <c r="AE123" s="183" t="s">
        <v>159</v>
      </c>
      <c r="AF123" s="108" t="s">
        <v>56</v>
      </c>
      <c r="AG123" s="108" t="s">
        <v>53</v>
      </c>
      <c r="AH123" s="108" t="s">
        <v>53</v>
      </c>
    </row>
    <row r="124" hidden="1" spans="1:34">
      <c r="A124" s="118">
        <v>540425202117013</v>
      </c>
      <c r="B124" s="69" t="s">
        <v>19</v>
      </c>
      <c r="C124" s="69" t="s">
        <v>20</v>
      </c>
      <c r="D124" s="69">
        <v>2021</v>
      </c>
      <c r="E124" s="246" t="s">
        <v>272</v>
      </c>
      <c r="F124" s="110" t="s">
        <v>157</v>
      </c>
      <c r="G124" s="110" t="s">
        <v>977</v>
      </c>
      <c r="H124" s="168" t="s">
        <v>1208</v>
      </c>
      <c r="I124" s="231">
        <f t="shared" si="6"/>
        <v>45</v>
      </c>
      <c r="J124" s="248">
        <v>45</v>
      </c>
      <c r="K124" s="248">
        <v>0</v>
      </c>
      <c r="L124" s="231">
        <f t="shared" si="7"/>
        <v>45</v>
      </c>
      <c r="M124" s="248">
        <v>45</v>
      </c>
      <c r="N124" s="248">
        <v>0</v>
      </c>
      <c r="O124" s="69" t="s">
        <v>925</v>
      </c>
      <c r="P124" s="69" t="s">
        <v>926</v>
      </c>
      <c r="Q124" s="110" t="s">
        <v>927</v>
      </c>
      <c r="R124" s="134"/>
      <c r="S124" s="69" t="s">
        <v>53</v>
      </c>
      <c r="T124" s="69"/>
      <c r="U124" s="69"/>
      <c r="V124" s="69"/>
      <c r="W124" s="69"/>
      <c r="X124" s="69"/>
      <c r="Y124" s="69"/>
      <c r="Z124" s="69"/>
      <c r="AA124" s="69"/>
      <c r="AB124" s="69" t="s">
        <v>983</v>
      </c>
      <c r="AC124" s="69"/>
      <c r="AD124" s="69" t="s">
        <v>56</v>
      </c>
      <c r="AE124" s="169" t="s">
        <v>179</v>
      </c>
      <c r="AF124" s="108" t="s">
        <v>56</v>
      </c>
      <c r="AG124" s="108" t="s">
        <v>53</v>
      </c>
      <c r="AH124" s="108"/>
    </row>
    <row r="125" s="150" customFormat="1" hidden="1" spans="1:34">
      <c r="A125" s="118">
        <v>540425202115004</v>
      </c>
      <c r="B125" s="108" t="s">
        <v>19</v>
      </c>
      <c r="C125" s="108" t="s">
        <v>20</v>
      </c>
      <c r="D125" s="108">
        <v>2021</v>
      </c>
      <c r="E125" s="246" t="s">
        <v>500</v>
      </c>
      <c r="F125" s="110" t="s">
        <v>157</v>
      </c>
      <c r="G125" s="110" t="s">
        <v>977</v>
      </c>
      <c r="H125" s="110" t="s">
        <v>1209</v>
      </c>
      <c r="I125" s="180">
        <f t="shared" ref="I125:I138" si="8">J125+K125</f>
        <v>65.52</v>
      </c>
      <c r="J125" s="185">
        <v>65.52</v>
      </c>
      <c r="K125" s="185">
        <v>0</v>
      </c>
      <c r="L125" s="180">
        <f t="shared" ref="L125:L138" si="9">M125+N125</f>
        <v>65.475</v>
      </c>
      <c r="M125" s="185">
        <v>65.475</v>
      </c>
      <c r="N125" s="185">
        <v>0</v>
      </c>
      <c r="O125" s="108" t="s">
        <v>925</v>
      </c>
      <c r="P125" s="108" t="s">
        <v>979</v>
      </c>
      <c r="Q125" s="110" t="s">
        <v>973</v>
      </c>
      <c r="R125" s="127"/>
      <c r="S125" s="234" t="s">
        <v>53</v>
      </c>
      <c r="T125" s="234"/>
      <c r="U125" s="234"/>
      <c r="V125" s="234"/>
      <c r="W125" s="234"/>
      <c r="X125" s="234"/>
      <c r="Y125" s="234"/>
      <c r="Z125" s="234"/>
      <c r="AA125" s="234"/>
      <c r="AB125" s="234" t="s">
        <v>983</v>
      </c>
      <c r="AC125" s="234"/>
      <c r="AD125" s="108" t="s">
        <v>56</v>
      </c>
      <c r="AE125" s="183" t="s">
        <v>501</v>
      </c>
      <c r="AF125" s="108" t="s">
        <v>56</v>
      </c>
      <c r="AG125" s="108" t="s">
        <v>53</v>
      </c>
      <c r="AH125" s="108"/>
    </row>
    <row r="126" s="150" customFormat="1" ht="28" hidden="1" spans="1:34">
      <c r="A126" s="118">
        <v>540425202120036</v>
      </c>
      <c r="B126" s="108" t="s">
        <v>19</v>
      </c>
      <c r="C126" s="108" t="s">
        <v>20</v>
      </c>
      <c r="D126" s="108">
        <v>2021</v>
      </c>
      <c r="E126" s="246" t="s">
        <v>570</v>
      </c>
      <c r="F126" s="110" t="s">
        <v>157</v>
      </c>
      <c r="G126" s="110" t="s">
        <v>1210</v>
      </c>
      <c r="H126" s="110" t="s">
        <v>1211</v>
      </c>
      <c r="I126" s="180">
        <f t="shared" si="8"/>
        <v>189.05</v>
      </c>
      <c r="J126" s="185">
        <v>189.05</v>
      </c>
      <c r="K126" s="185">
        <v>0</v>
      </c>
      <c r="L126" s="180">
        <f t="shared" si="9"/>
        <v>185.29849</v>
      </c>
      <c r="M126" s="185">
        <v>185.29849</v>
      </c>
      <c r="N126" s="185">
        <v>0</v>
      </c>
      <c r="O126" s="108" t="s">
        <v>925</v>
      </c>
      <c r="P126" s="108" t="s">
        <v>921</v>
      </c>
      <c r="Q126" s="108" t="s">
        <v>927</v>
      </c>
      <c r="R126" s="127"/>
      <c r="S126" s="108" t="s">
        <v>53</v>
      </c>
      <c r="T126" s="108"/>
      <c r="U126" s="108"/>
      <c r="V126" s="108"/>
      <c r="W126" s="108"/>
      <c r="X126" s="108"/>
      <c r="Y126" s="108"/>
      <c r="Z126" s="108"/>
      <c r="AA126" s="108"/>
      <c r="AB126" s="108"/>
      <c r="AC126" s="108"/>
      <c r="AD126" s="108" t="s">
        <v>56</v>
      </c>
      <c r="AE126" s="183" t="s">
        <v>314</v>
      </c>
      <c r="AF126" s="108" t="s">
        <v>56</v>
      </c>
      <c r="AG126" s="108" t="s">
        <v>53</v>
      </c>
      <c r="AH126" s="108"/>
    </row>
    <row r="127" s="150" customFormat="1" ht="28" hidden="1" spans="1:34">
      <c r="A127" s="118">
        <v>540425202119031</v>
      </c>
      <c r="B127" s="108" t="s">
        <v>19</v>
      </c>
      <c r="C127" s="108" t="s">
        <v>20</v>
      </c>
      <c r="D127" s="108">
        <v>2021</v>
      </c>
      <c r="E127" s="246" t="s">
        <v>502</v>
      </c>
      <c r="F127" s="110" t="s">
        <v>157</v>
      </c>
      <c r="G127" s="110" t="s">
        <v>1212</v>
      </c>
      <c r="H127" s="110" t="s">
        <v>1213</v>
      </c>
      <c r="I127" s="180">
        <f t="shared" si="8"/>
        <v>157.5</v>
      </c>
      <c r="J127" s="185">
        <v>157.5</v>
      </c>
      <c r="K127" s="185">
        <v>0</v>
      </c>
      <c r="L127" s="180">
        <f t="shared" si="9"/>
        <v>157.4</v>
      </c>
      <c r="M127" s="185">
        <v>157.4</v>
      </c>
      <c r="N127" s="185">
        <v>0</v>
      </c>
      <c r="O127" s="108" t="s">
        <v>925</v>
      </c>
      <c r="P127" s="108" t="s">
        <v>944</v>
      </c>
      <c r="Q127" s="108" t="s">
        <v>922</v>
      </c>
      <c r="R127" s="127"/>
      <c r="S127" s="108" t="s">
        <v>56</v>
      </c>
      <c r="T127" s="108"/>
      <c r="U127" s="108"/>
      <c r="V127" s="108"/>
      <c r="W127" s="108"/>
      <c r="X127" s="108"/>
      <c r="Y127" s="108"/>
      <c r="Z127" s="108"/>
      <c r="AA127" s="108"/>
      <c r="AB127" s="108"/>
      <c r="AC127" s="108"/>
      <c r="AD127" s="108" t="s">
        <v>56</v>
      </c>
      <c r="AE127" s="183" t="s">
        <v>239</v>
      </c>
      <c r="AF127" s="108" t="s">
        <v>56</v>
      </c>
      <c r="AG127" s="108" t="s">
        <v>53</v>
      </c>
      <c r="AH127" s="108"/>
    </row>
    <row r="128" hidden="1" spans="1:34">
      <c r="A128" s="118">
        <v>540425202115005</v>
      </c>
      <c r="B128" s="69" t="s">
        <v>19</v>
      </c>
      <c r="C128" s="69" t="s">
        <v>20</v>
      </c>
      <c r="D128" s="69">
        <v>2021</v>
      </c>
      <c r="E128" s="246" t="s">
        <v>273</v>
      </c>
      <c r="F128" s="110" t="s">
        <v>157</v>
      </c>
      <c r="G128" s="110" t="s">
        <v>1214</v>
      </c>
      <c r="H128" s="168" t="s">
        <v>1215</v>
      </c>
      <c r="I128" s="231">
        <f t="shared" si="8"/>
        <v>75</v>
      </c>
      <c r="J128" s="248">
        <v>75</v>
      </c>
      <c r="K128" s="248">
        <v>0</v>
      </c>
      <c r="L128" s="231">
        <f t="shared" si="9"/>
        <v>71.78243</v>
      </c>
      <c r="M128" s="248">
        <v>71.78243</v>
      </c>
      <c r="N128" s="248">
        <v>0</v>
      </c>
      <c r="O128" s="69" t="s">
        <v>925</v>
      </c>
      <c r="P128" s="69" t="s">
        <v>979</v>
      </c>
      <c r="Q128" s="110" t="s">
        <v>973</v>
      </c>
      <c r="R128" s="134"/>
      <c r="S128" s="69" t="s">
        <v>53</v>
      </c>
      <c r="T128" s="69"/>
      <c r="U128" s="69"/>
      <c r="V128" s="69"/>
      <c r="W128" s="69"/>
      <c r="X128" s="69"/>
      <c r="Y128" s="69"/>
      <c r="Z128" s="69"/>
      <c r="AA128" s="69"/>
      <c r="AB128" s="69"/>
      <c r="AC128" s="69"/>
      <c r="AD128" s="69" t="s">
        <v>56</v>
      </c>
      <c r="AE128" s="169" t="s">
        <v>162</v>
      </c>
      <c r="AF128" s="108" t="s">
        <v>56</v>
      </c>
      <c r="AG128" s="108" t="s">
        <v>53</v>
      </c>
      <c r="AH128" s="108"/>
    </row>
    <row r="129" s="150" customFormat="1" hidden="1" spans="1:34">
      <c r="A129" s="118">
        <v>540425202115006</v>
      </c>
      <c r="B129" s="110" t="s">
        <v>19</v>
      </c>
      <c r="C129" s="110" t="s">
        <v>20</v>
      </c>
      <c r="D129" s="110">
        <v>2021</v>
      </c>
      <c r="E129" s="179" t="s">
        <v>503</v>
      </c>
      <c r="F129" s="110" t="s">
        <v>157</v>
      </c>
      <c r="G129" s="110" t="s">
        <v>977</v>
      </c>
      <c r="H129" s="110" t="s">
        <v>1216</v>
      </c>
      <c r="I129" s="180">
        <f t="shared" si="8"/>
        <v>229.48</v>
      </c>
      <c r="J129" s="180">
        <v>229.48</v>
      </c>
      <c r="K129" s="180">
        <v>0</v>
      </c>
      <c r="L129" s="180">
        <f t="shared" si="9"/>
        <v>229.48</v>
      </c>
      <c r="M129" s="180">
        <v>229.48</v>
      </c>
      <c r="N129" s="180">
        <v>0</v>
      </c>
      <c r="O129" s="110" t="s">
        <v>920</v>
      </c>
      <c r="P129" s="110" t="s">
        <v>979</v>
      </c>
      <c r="Q129" s="110" t="s">
        <v>973</v>
      </c>
      <c r="R129" s="182" t="s">
        <v>927</v>
      </c>
      <c r="S129" s="187" t="s">
        <v>53</v>
      </c>
      <c r="T129" s="187" t="s">
        <v>930</v>
      </c>
      <c r="U129" s="187" t="s">
        <v>980</v>
      </c>
      <c r="V129" s="187" t="s">
        <v>981</v>
      </c>
      <c r="W129" s="234" t="s">
        <v>53</v>
      </c>
      <c r="X129" s="234"/>
      <c r="Y129" s="234" t="s">
        <v>982</v>
      </c>
      <c r="Z129" s="234">
        <v>199534</v>
      </c>
      <c r="AA129" s="234"/>
      <c r="AB129" s="234" t="s">
        <v>983</v>
      </c>
      <c r="AC129" s="187"/>
      <c r="AD129" s="108" t="s">
        <v>56</v>
      </c>
      <c r="AE129" s="183" t="s">
        <v>501</v>
      </c>
      <c r="AF129" s="108" t="s">
        <v>56</v>
      </c>
      <c r="AG129" s="108" t="s">
        <v>53</v>
      </c>
      <c r="AH129" s="108"/>
    </row>
    <row r="130" ht="42" hidden="1" spans="1:34">
      <c r="A130" s="118">
        <v>540425202117014</v>
      </c>
      <c r="B130" s="168" t="s">
        <v>19</v>
      </c>
      <c r="C130" s="168" t="s">
        <v>20</v>
      </c>
      <c r="D130" s="168">
        <v>2021</v>
      </c>
      <c r="E130" s="179" t="s">
        <v>310</v>
      </c>
      <c r="F130" s="110" t="s">
        <v>157</v>
      </c>
      <c r="G130" s="110" t="s">
        <v>1029</v>
      </c>
      <c r="H130" s="168" t="s">
        <v>1217</v>
      </c>
      <c r="I130" s="231">
        <f t="shared" si="8"/>
        <v>262.72</v>
      </c>
      <c r="J130" s="231">
        <v>262.72</v>
      </c>
      <c r="K130" s="231">
        <v>0</v>
      </c>
      <c r="L130" s="231">
        <f t="shared" si="9"/>
        <v>242.17359</v>
      </c>
      <c r="M130" s="231">
        <v>242.17359</v>
      </c>
      <c r="N130" s="231">
        <v>0</v>
      </c>
      <c r="O130" s="168" t="s">
        <v>920</v>
      </c>
      <c r="P130" s="168" t="s">
        <v>926</v>
      </c>
      <c r="Q130" s="110" t="s">
        <v>927</v>
      </c>
      <c r="R130" s="233" t="s">
        <v>927</v>
      </c>
      <c r="S130" s="168" t="s">
        <v>53</v>
      </c>
      <c r="T130" s="168" t="s">
        <v>930</v>
      </c>
      <c r="U130" s="168" t="s">
        <v>931</v>
      </c>
      <c r="V130" s="168" t="s">
        <v>1218</v>
      </c>
      <c r="W130" s="69" t="s">
        <v>56</v>
      </c>
      <c r="X130" s="69"/>
      <c r="Y130" s="69"/>
      <c r="Z130" s="69">
        <v>12348</v>
      </c>
      <c r="AA130" s="69"/>
      <c r="AB130" s="69" t="s">
        <v>933</v>
      </c>
      <c r="AC130" s="168"/>
      <c r="AD130" s="69" t="s">
        <v>56</v>
      </c>
      <c r="AE130" s="169" t="s">
        <v>167</v>
      </c>
      <c r="AF130" s="108" t="s">
        <v>56</v>
      </c>
      <c r="AG130" s="108" t="s">
        <v>53</v>
      </c>
      <c r="AH130" s="108"/>
    </row>
    <row r="131" ht="56" hidden="1" spans="1:34">
      <c r="A131" s="118">
        <v>540425202104006</v>
      </c>
      <c r="B131" s="168" t="s">
        <v>19</v>
      </c>
      <c r="C131" s="168" t="s">
        <v>20</v>
      </c>
      <c r="D131" s="168">
        <v>2021</v>
      </c>
      <c r="E131" s="179" t="s">
        <v>163</v>
      </c>
      <c r="F131" s="110" t="s">
        <v>131</v>
      </c>
      <c r="G131" s="110" t="s">
        <v>1181</v>
      </c>
      <c r="H131" s="168" t="s">
        <v>1219</v>
      </c>
      <c r="I131" s="231">
        <f t="shared" si="8"/>
        <v>394</v>
      </c>
      <c r="J131" s="231">
        <v>394</v>
      </c>
      <c r="K131" s="231">
        <v>0</v>
      </c>
      <c r="L131" s="231">
        <f t="shared" si="9"/>
        <v>383.326447</v>
      </c>
      <c r="M131" s="231">
        <v>383.326447</v>
      </c>
      <c r="N131" s="231">
        <v>0</v>
      </c>
      <c r="O131" s="168" t="s">
        <v>920</v>
      </c>
      <c r="P131" s="168" t="s">
        <v>938</v>
      </c>
      <c r="Q131" s="168" t="s">
        <v>939</v>
      </c>
      <c r="R131" s="233" t="s">
        <v>939</v>
      </c>
      <c r="S131" s="168" t="s">
        <v>53</v>
      </c>
      <c r="T131" s="168" t="s">
        <v>930</v>
      </c>
      <c r="U131" s="168" t="s">
        <v>980</v>
      </c>
      <c r="V131" s="168" t="s">
        <v>1183</v>
      </c>
      <c r="W131" s="69" t="s">
        <v>56</v>
      </c>
      <c r="X131" s="69"/>
      <c r="Y131" s="69"/>
      <c r="Z131" s="69"/>
      <c r="AA131" s="69"/>
      <c r="AB131" s="69" t="s">
        <v>983</v>
      </c>
      <c r="AC131" s="168"/>
      <c r="AD131" s="69" t="s">
        <v>56</v>
      </c>
      <c r="AE131" s="169" t="s">
        <v>162</v>
      </c>
      <c r="AF131" s="108" t="s">
        <v>53</v>
      </c>
      <c r="AG131" s="108" t="s">
        <v>53</v>
      </c>
      <c r="AH131" s="108" t="s">
        <v>53</v>
      </c>
    </row>
    <row r="132" s="150" customFormat="1" hidden="1" spans="1:34">
      <c r="A132" s="118">
        <v>540425202117015</v>
      </c>
      <c r="B132" s="110" t="s">
        <v>19</v>
      </c>
      <c r="C132" s="110" t="s">
        <v>20</v>
      </c>
      <c r="D132" s="110">
        <v>2021</v>
      </c>
      <c r="E132" s="179" t="s">
        <v>1220</v>
      </c>
      <c r="F132" s="110" t="s">
        <v>140</v>
      </c>
      <c r="G132" s="110" t="s">
        <v>923</v>
      </c>
      <c r="H132" s="110" t="s">
        <v>1221</v>
      </c>
      <c r="I132" s="180">
        <f t="shared" si="8"/>
        <v>400</v>
      </c>
      <c r="J132" s="180">
        <v>400</v>
      </c>
      <c r="K132" s="180">
        <v>0</v>
      </c>
      <c r="L132" s="180">
        <f t="shared" si="9"/>
        <v>400</v>
      </c>
      <c r="M132" s="180">
        <v>400</v>
      </c>
      <c r="N132" s="180">
        <v>0</v>
      </c>
      <c r="O132" s="110" t="s">
        <v>920</v>
      </c>
      <c r="P132" s="110" t="s">
        <v>926</v>
      </c>
      <c r="Q132" s="110" t="s">
        <v>927</v>
      </c>
      <c r="R132" s="182" t="s">
        <v>922</v>
      </c>
      <c r="S132" s="187" t="s">
        <v>56</v>
      </c>
      <c r="T132" s="187" t="s">
        <v>930</v>
      </c>
      <c r="U132" s="187" t="s">
        <v>931</v>
      </c>
      <c r="V132" s="187" t="s">
        <v>1222</v>
      </c>
      <c r="W132" s="234" t="s">
        <v>56</v>
      </c>
      <c r="X132" s="234"/>
      <c r="Y132" s="234"/>
      <c r="Z132" s="234"/>
      <c r="AA132" s="234"/>
      <c r="AB132" s="187" t="s">
        <v>933</v>
      </c>
      <c r="AC132" s="187"/>
      <c r="AD132" s="108" t="s">
        <v>56</v>
      </c>
      <c r="AE132" s="183" t="s">
        <v>380</v>
      </c>
      <c r="AF132" s="108" t="s">
        <v>56</v>
      </c>
      <c r="AG132" s="108" t="s">
        <v>53</v>
      </c>
      <c r="AH132" s="108" t="s">
        <v>1223</v>
      </c>
    </row>
    <row r="133" s="153" customFormat="1" ht="56" hidden="1" spans="1:34">
      <c r="A133" s="213">
        <v>540425202120037</v>
      </c>
      <c r="B133" s="214" t="s">
        <v>19</v>
      </c>
      <c r="C133" s="214" t="s">
        <v>20</v>
      </c>
      <c r="D133" s="214">
        <v>2021</v>
      </c>
      <c r="E133" s="229" t="s">
        <v>576</v>
      </c>
      <c r="F133" s="214" t="s">
        <v>375</v>
      </c>
      <c r="G133" s="214" t="s">
        <v>1224</v>
      </c>
      <c r="H133" s="214" t="s">
        <v>1225</v>
      </c>
      <c r="I133" s="216">
        <f t="shared" si="8"/>
        <v>240</v>
      </c>
      <c r="J133" s="216">
        <v>240</v>
      </c>
      <c r="K133" s="216">
        <v>0</v>
      </c>
      <c r="L133" s="216">
        <f t="shared" si="9"/>
        <v>233.977156</v>
      </c>
      <c r="M133" s="216">
        <v>233.977156</v>
      </c>
      <c r="N133" s="216">
        <v>0</v>
      </c>
      <c r="O133" s="214" t="s">
        <v>920</v>
      </c>
      <c r="P133" s="214" t="s">
        <v>921</v>
      </c>
      <c r="Q133" s="214" t="s">
        <v>922</v>
      </c>
      <c r="R133" s="220" t="s">
        <v>939</v>
      </c>
      <c r="S133" s="214" t="s">
        <v>53</v>
      </c>
      <c r="T133" s="214" t="s">
        <v>974</v>
      </c>
      <c r="U133" s="214" t="s">
        <v>1063</v>
      </c>
      <c r="V133" s="214" t="s">
        <v>1226</v>
      </c>
      <c r="W133" s="219" t="s">
        <v>56</v>
      </c>
      <c r="X133" s="219"/>
      <c r="Y133" s="219"/>
      <c r="Z133" s="219"/>
      <c r="AA133" s="219"/>
      <c r="AB133" s="219" t="s">
        <v>131</v>
      </c>
      <c r="AC133" s="214"/>
      <c r="AD133" s="219" t="s">
        <v>53</v>
      </c>
      <c r="AE133" s="221" t="s">
        <v>1026</v>
      </c>
      <c r="AF133" s="108" t="s">
        <v>53</v>
      </c>
      <c r="AG133" s="108" t="s">
        <v>955</v>
      </c>
      <c r="AH133" s="108" t="s">
        <v>53</v>
      </c>
    </row>
    <row r="134" s="156" customFormat="1" ht="42" hidden="1" spans="1:34">
      <c r="A134" s="126">
        <v>540425202217016</v>
      </c>
      <c r="B134" s="182" t="s">
        <v>19</v>
      </c>
      <c r="C134" s="182" t="s">
        <v>20</v>
      </c>
      <c r="D134" s="182">
        <v>2022</v>
      </c>
      <c r="E134" s="240" t="s">
        <v>580</v>
      </c>
      <c r="F134" s="182" t="s">
        <v>157</v>
      </c>
      <c r="G134" s="182" t="s">
        <v>1227</v>
      </c>
      <c r="H134" s="182" t="s">
        <v>1228</v>
      </c>
      <c r="I134" s="129">
        <f t="shared" si="8"/>
        <v>2450</v>
      </c>
      <c r="J134" s="129">
        <v>2450</v>
      </c>
      <c r="K134" s="129">
        <v>0</v>
      </c>
      <c r="L134" s="129">
        <f t="shared" si="9"/>
        <v>2450</v>
      </c>
      <c r="M134" s="129">
        <v>2450</v>
      </c>
      <c r="N134" s="129">
        <v>0</v>
      </c>
      <c r="O134" s="182" t="s">
        <v>920</v>
      </c>
      <c r="P134" s="182" t="s">
        <v>926</v>
      </c>
      <c r="Q134" s="182" t="s">
        <v>927</v>
      </c>
      <c r="R134" s="182" t="s">
        <v>973</v>
      </c>
      <c r="S134" s="226" t="s">
        <v>53</v>
      </c>
      <c r="T134" s="226"/>
      <c r="U134" s="226"/>
      <c r="V134" s="226"/>
      <c r="W134" s="146"/>
      <c r="X134" s="146"/>
      <c r="Y134" s="146"/>
      <c r="Z134" s="146"/>
      <c r="AA134" s="146"/>
      <c r="AB134" s="146"/>
      <c r="AC134" s="226"/>
      <c r="AD134" s="127" t="s">
        <v>56</v>
      </c>
      <c r="AE134" s="241" t="s">
        <v>179</v>
      </c>
      <c r="AF134" s="127" t="s">
        <v>56</v>
      </c>
      <c r="AG134" s="127" t="s">
        <v>53</v>
      </c>
      <c r="AH134" s="127"/>
    </row>
    <row r="135" ht="28" hidden="1" spans="1:34">
      <c r="A135" s="118">
        <v>540425202219032</v>
      </c>
      <c r="B135" s="168" t="s">
        <v>19</v>
      </c>
      <c r="C135" s="168" t="s">
        <v>20</v>
      </c>
      <c r="D135" s="168">
        <v>2022</v>
      </c>
      <c r="E135" s="179" t="s">
        <v>582</v>
      </c>
      <c r="F135" s="110" t="s">
        <v>131</v>
      </c>
      <c r="G135" s="110" t="s">
        <v>1229</v>
      </c>
      <c r="H135" s="168" t="s">
        <v>1230</v>
      </c>
      <c r="I135" s="231">
        <f t="shared" si="8"/>
        <v>2300</v>
      </c>
      <c r="J135" s="231">
        <v>2300</v>
      </c>
      <c r="K135" s="231">
        <v>0</v>
      </c>
      <c r="L135" s="231">
        <f t="shared" si="9"/>
        <v>2214.01</v>
      </c>
      <c r="M135" s="231">
        <v>2214.01</v>
      </c>
      <c r="N135" s="231">
        <v>0</v>
      </c>
      <c r="O135" s="168" t="s">
        <v>920</v>
      </c>
      <c r="P135" s="168" t="s">
        <v>972</v>
      </c>
      <c r="Q135" s="110" t="s">
        <v>973</v>
      </c>
      <c r="R135" s="233" t="s">
        <v>973</v>
      </c>
      <c r="S135" s="168" t="s">
        <v>53</v>
      </c>
      <c r="T135" s="168"/>
      <c r="U135" s="168"/>
      <c r="V135" s="168"/>
      <c r="W135" s="69"/>
      <c r="X135" s="69"/>
      <c r="Y135" s="69"/>
      <c r="Z135" s="69"/>
      <c r="AA135" s="69"/>
      <c r="AB135" s="69"/>
      <c r="AC135" s="168"/>
      <c r="AD135" s="69" t="s">
        <v>56</v>
      </c>
      <c r="AE135" s="169" t="s">
        <v>583</v>
      </c>
      <c r="AF135" s="108" t="s">
        <v>56</v>
      </c>
      <c r="AG135" s="108" t="s">
        <v>53</v>
      </c>
      <c r="AH135" s="108"/>
    </row>
    <row r="136" s="150" customFormat="1" ht="112" hidden="1" spans="1:34">
      <c r="A136" s="118">
        <v>540425202219033</v>
      </c>
      <c r="B136" s="110" t="s">
        <v>19</v>
      </c>
      <c r="C136" s="110" t="s">
        <v>20</v>
      </c>
      <c r="D136" s="110">
        <v>2022</v>
      </c>
      <c r="E136" s="179" t="s">
        <v>313</v>
      </c>
      <c r="F136" s="110" t="s">
        <v>157</v>
      </c>
      <c r="G136" s="110" t="s">
        <v>1231</v>
      </c>
      <c r="H136" s="110" t="s">
        <v>1232</v>
      </c>
      <c r="I136" s="180">
        <f t="shared" si="8"/>
        <v>1200</v>
      </c>
      <c r="J136" s="180">
        <v>1200</v>
      </c>
      <c r="K136" s="180">
        <v>0</v>
      </c>
      <c r="L136" s="180">
        <f t="shared" si="9"/>
        <v>1154.024321</v>
      </c>
      <c r="M136" s="180">
        <v>1154.024321</v>
      </c>
      <c r="N136" s="180">
        <v>0</v>
      </c>
      <c r="O136" s="110" t="s">
        <v>920</v>
      </c>
      <c r="P136" s="110" t="s">
        <v>972</v>
      </c>
      <c r="Q136" s="110" t="s">
        <v>973</v>
      </c>
      <c r="R136" s="182" t="s">
        <v>939</v>
      </c>
      <c r="S136" s="110" t="s">
        <v>56</v>
      </c>
      <c r="T136" s="110"/>
      <c r="U136" s="110"/>
      <c r="V136" s="110"/>
      <c r="W136" s="108"/>
      <c r="X136" s="108"/>
      <c r="Y136" s="108"/>
      <c r="Z136" s="108"/>
      <c r="AA136" s="108"/>
      <c r="AB136" s="108"/>
      <c r="AC136" s="110"/>
      <c r="AD136" s="108" t="s">
        <v>56</v>
      </c>
      <c r="AE136" s="183" t="s">
        <v>314</v>
      </c>
      <c r="AF136" s="108" t="s">
        <v>53</v>
      </c>
      <c r="AG136" s="108" t="s">
        <v>53</v>
      </c>
      <c r="AH136" s="108" t="s">
        <v>53</v>
      </c>
    </row>
    <row r="137" s="150" customFormat="1" ht="56" hidden="1" spans="1:34">
      <c r="A137" s="118">
        <v>540425202219035</v>
      </c>
      <c r="B137" s="110" t="s">
        <v>19</v>
      </c>
      <c r="C137" s="110" t="s">
        <v>20</v>
      </c>
      <c r="D137" s="110">
        <v>2022</v>
      </c>
      <c r="E137" s="179" t="s">
        <v>274</v>
      </c>
      <c r="F137" s="110" t="s">
        <v>157</v>
      </c>
      <c r="G137" s="110" t="s">
        <v>1233</v>
      </c>
      <c r="H137" s="110" t="s">
        <v>1234</v>
      </c>
      <c r="I137" s="180">
        <f t="shared" si="8"/>
        <v>183.9</v>
      </c>
      <c r="J137" s="180">
        <v>183.9</v>
      </c>
      <c r="K137" s="180">
        <v>0</v>
      </c>
      <c r="L137" s="180">
        <f t="shared" si="9"/>
        <v>178.858872</v>
      </c>
      <c r="M137" s="180">
        <v>178.858872</v>
      </c>
      <c r="N137" s="180">
        <v>0</v>
      </c>
      <c r="O137" s="110" t="s">
        <v>920</v>
      </c>
      <c r="P137" s="110" t="s">
        <v>1159</v>
      </c>
      <c r="Q137" s="110" t="s">
        <v>927</v>
      </c>
      <c r="R137" s="182" t="s">
        <v>927</v>
      </c>
      <c r="S137" s="110" t="s">
        <v>53</v>
      </c>
      <c r="T137" s="110" t="s">
        <v>930</v>
      </c>
      <c r="U137" s="110" t="s">
        <v>980</v>
      </c>
      <c r="V137" s="110" t="s">
        <v>1235</v>
      </c>
      <c r="W137" s="108" t="s">
        <v>56</v>
      </c>
      <c r="X137" s="108"/>
      <c r="Y137" s="108"/>
      <c r="Z137" s="108"/>
      <c r="AA137" s="108"/>
      <c r="AB137" s="108" t="s">
        <v>1049</v>
      </c>
      <c r="AC137" s="110"/>
      <c r="AD137" s="108" t="s">
        <v>56</v>
      </c>
      <c r="AE137" s="183" t="s">
        <v>167</v>
      </c>
      <c r="AF137" s="108" t="s">
        <v>53</v>
      </c>
      <c r="AG137" s="108" t="s">
        <v>53</v>
      </c>
      <c r="AH137" s="108"/>
    </row>
    <row r="138" ht="56" hidden="1" spans="1:34">
      <c r="A138" s="118">
        <v>540425202212024</v>
      </c>
      <c r="B138" s="168" t="s">
        <v>19</v>
      </c>
      <c r="C138" s="168" t="s">
        <v>20</v>
      </c>
      <c r="D138" s="168">
        <v>2022</v>
      </c>
      <c r="E138" s="179" t="s">
        <v>315</v>
      </c>
      <c r="F138" s="110" t="s">
        <v>131</v>
      </c>
      <c r="G138" s="110" t="s">
        <v>1236</v>
      </c>
      <c r="H138" s="168" t="s">
        <v>1237</v>
      </c>
      <c r="I138" s="231">
        <f t="shared" si="8"/>
        <v>1040</v>
      </c>
      <c r="J138" s="231">
        <v>1040</v>
      </c>
      <c r="K138" s="231">
        <v>0</v>
      </c>
      <c r="L138" s="231">
        <f t="shared" si="9"/>
        <v>892.979847</v>
      </c>
      <c r="M138" s="231">
        <v>892.979847</v>
      </c>
      <c r="N138" s="231">
        <v>0</v>
      </c>
      <c r="O138" s="168" t="s">
        <v>920</v>
      </c>
      <c r="P138" s="168" t="s">
        <v>1024</v>
      </c>
      <c r="Q138" s="168" t="s">
        <v>927</v>
      </c>
      <c r="R138" s="168" t="s">
        <v>927</v>
      </c>
      <c r="S138" s="168" t="s">
        <v>53</v>
      </c>
      <c r="T138" s="168" t="s">
        <v>974</v>
      </c>
      <c r="U138" s="168" t="s">
        <v>1063</v>
      </c>
      <c r="V138" s="168" t="s">
        <v>1238</v>
      </c>
      <c r="W138" s="69"/>
      <c r="X138" s="69"/>
      <c r="Y138" s="69"/>
      <c r="Z138" s="69"/>
      <c r="AA138" s="69"/>
      <c r="AB138" s="69"/>
      <c r="AC138" s="168" t="s">
        <v>1239</v>
      </c>
      <c r="AD138" s="69" t="s">
        <v>56</v>
      </c>
      <c r="AE138" s="169" t="s">
        <v>314</v>
      </c>
      <c r="AF138" s="108" t="s">
        <v>53</v>
      </c>
      <c r="AG138" s="108" t="s">
        <v>53</v>
      </c>
      <c r="AH138" s="108"/>
    </row>
    <row r="139" ht="126" hidden="1" spans="1:34">
      <c r="A139" s="118">
        <v>540425202204008</v>
      </c>
      <c r="B139" s="168" t="s">
        <v>19</v>
      </c>
      <c r="C139" s="168" t="s">
        <v>20</v>
      </c>
      <c r="D139" s="168">
        <v>2022</v>
      </c>
      <c r="E139" s="179" t="s">
        <v>168</v>
      </c>
      <c r="F139" s="110" t="s">
        <v>157</v>
      </c>
      <c r="G139" s="110" t="s">
        <v>1240</v>
      </c>
      <c r="H139" s="168" t="s">
        <v>1241</v>
      </c>
      <c r="I139" s="231">
        <f t="shared" ref="I139:I187" si="10">J139+K139</f>
        <v>975.89</v>
      </c>
      <c r="J139" s="231">
        <v>975.89</v>
      </c>
      <c r="K139" s="231">
        <v>0</v>
      </c>
      <c r="L139" s="231">
        <f t="shared" ref="L139:L187" si="11">M139+N139</f>
        <v>945.208976</v>
      </c>
      <c r="M139" s="231">
        <v>945.208976</v>
      </c>
      <c r="N139" s="231">
        <v>0</v>
      </c>
      <c r="O139" s="168" t="s">
        <v>920</v>
      </c>
      <c r="P139" s="168" t="s">
        <v>938</v>
      </c>
      <c r="Q139" s="168" t="s">
        <v>939</v>
      </c>
      <c r="R139" s="233" t="s">
        <v>939</v>
      </c>
      <c r="S139" s="168" t="s">
        <v>53</v>
      </c>
      <c r="T139" s="168" t="s">
        <v>930</v>
      </c>
      <c r="U139" s="168" t="s">
        <v>980</v>
      </c>
      <c r="V139" s="168" t="s">
        <v>1183</v>
      </c>
      <c r="W139" s="69" t="s">
        <v>56</v>
      </c>
      <c r="X139" s="69"/>
      <c r="Y139" s="69"/>
      <c r="Z139" s="69"/>
      <c r="AA139" s="69"/>
      <c r="AB139" s="69" t="s">
        <v>983</v>
      </c>
      <c r="AC139" s="168"/>
      <c r="AD139" s="69" t="s">
        <v>56</v>
      </c>
      <c r="AE139" s="169" t="s">
        <v>169</v>
      </c>
      <c r="AF139" s="108" t="s">
        <v>53</v>
      </c>
      <c r="AG139" s="108" t="s">
        <v>53</v>
      </c>
      <c r="AH139" s="108" t="s">
        <v>53</v>
      </c>
    </row>
    <row r="140" s="154" customFormat="1" ht="70" hidden="1" spans="1:34">
      <c r="A140" s="126">
        <v>540425202215007</v>
      </c>
      <c r="B140" s="233" t="s">
        <v>19</v>
      </c>
      <c r="C140" s="233" t="s">
        <v>20</v>
      </c>
      <c r="D140" s="233">
        <v>2022</v>
      </c>
      <c r="E140" s="240" t="s">
        <v>601</v>
      </c>
      <c r="F140" s="182" t="s">
        <v>131</v>
      </c>
      <c r="G140" s="182" t="s">
        <v>1107</v>
      </c>
      <c r="H140" s="233" t="s">
        <v>1242</v>
      </c>
      <c r="I140" s="223">
        <f t="shared" si="10"/>
        <v>454</v>
      </c>
      <c r="J140" s="223">
        <v>454</v>
      </c>
      <c r="K140" s="223">
        <v>0</v>
      </c>
      <c r="L140" s="223">
        <f t="shared" si="11"/>
        <v>454</v>
      </c>
      <c r="M140" s="223">
        <v>454</v>
      </c>
      <c r="N140" s="223">
        <v>0</v>
      </c>
      <c r="O140" s="233" t="s">
        <v>920</v>
      </c>
      <c r="P140" s="233" t="s">
        <v>979</v>
      </c>
      <c r="Q140" s="182" t="s">
        <v>973</v>
      </c>
      <c r="R140" s="233" t="s">
        <v>927</v>
      </c>
      <c r="S140" s="242" t="s">
        <v>53</v>
      </c>
      <c r="T140" s="242" t="s">
        <v>930</v>
      </c>
      <c r="U140" s="242" t="s">
        <v>980</v>
      </c>
      <c r="V140" s="242" t="s">
        <v>1115</v>
      </c>
      <c r="W140" s="139" t="s">
        <v>56</v>
      </c>
      <c r="X140" s="139"/>
      <c r="Y140" s="139"/>
      <c r="Z140" s="139"/>
      <c r="AA140" s="139"/>
      <c r="AB140" s="139"/>
      <c r="AC140" s="242" t="s">
        <v>1243</v>
      </c>
      <c r="AD140" s="134" t="s">
        <v>56</v>
      </c>
      <c r="AE140" s="227" t="s">
        <v>1244</v>
      </c>
      <c r="AF140" s="127" t="s">
        <v>56</v>
      </c>
      <c r="AG140" s="127" t="s">
        <v>53</v>
      </c>
      <c r="AH140" s="127"/>
    </row>
    <row r="141" s="154" customFormat="1" ht="84" hidden="1" spans="1:34">
      <c r="A141" s="126">
        <v>540425202212025</v>
      </c>
      <c r="B141" s="233" t="s">
        <v>19</v>
      </c>
      <c r="C141" s="233" t="s">
        <v>20</v>
      </c>
      <c r="D141" s="233">
        <v>2022</v>
      </c>
      <c r="E141" s="240" t="s">
        <v>603</v>
      </c>
      <c r="F141" s="182" t="s">
        <v>131</v>
      </c>
      <c r="G141" s="182" t="s">
        <v>1104</v>
      </c>
      <c r="H141" s="233" t="s">
        <v>1245</v>
      </c>
      <c r="I141" s="223">
        <f t="shared" si="10"/>
        <v>558.73</v>
      </c>
      <c r="J141" s="223">
        <v>558.73</v>
      </c>
      <c r="K141" s="223">
        <v>0</v>
      </c>
      <c r="L141" s="223">
        <f t="shared" si="11"/>
        <v>558.73</v>
      </c>
      <c r="M141" s="223">
        <v>558.73</v>
      </c>
      <c r="N141" s="223">
        <v>0</v>
      </c>
      <c r="O141" s="233" t="s">
        <v>920</v>
      </c>
      <c r="P141" s="233" t="s">
        <v>1024</v>
      </c>
      <c r="Q141" s="233" t="s">
        <v>927</v>
      </c>
      <c r="R141" s="233" t="s">
        <v>927</v>
      </c>
      <c r="S141" s="242" t="s">
        <v>56</v>
      </c>
      <c r="T141" s="242"/>
      <c r="U141" s="242"/>
      <c r="V141" s="242"/>
      <c r="W141" s="139"/>
      <c r="X141" s="139"/>
      <c r="Y141" s="139"/>
      <c r="Z141" s="139"/>
      <c r="AA141" s="139"/>
      <c r="AB141" s="139"/>
      <c r="AC141" s="242"/>
      <c r="AD141" s="134" t="s">
        <v>56</v>
      </c>
      <c r="AE141" s="227" t="s">
        <v>209</v>
      </c>
      <c r="AF141" s="127" t="s">
        <v>53</v>
      </c>
      <c r="AG141" s="127" t="s">
        <v>53</v>
      </c>
      <c r="AH141" s="127"/>
    </row>
    <row r="142" hidden="1" spans="1:34">
      <c r="A142" s="118">
        <v>540425202204009</v>
      </c>
      <c r="B142" s="69" t="s">
        <v>19</v>
      </c>
      <c r="C142" s="69" t="s">
        <v>20</v>
      </c>
      <c r="D142" s="69">
        <v>2022</v>
      </c>
      <c r="E142" s="246" t="s">
        <v>326</v>
      </c>
      <c r="F142" s="110" t="s">
        <v>140</v>
      </c>
      <c r="G142" s="110" t="s">
        <v>485</v>
      </c>
      <c r="H142" s="110" t="s">
        <v>1246</v>
      </c>
      <c r="I142" s="231">
        <f t="shared" si="10"/>
        <v>100</v>
      </c>
      <c r="J142" s="248">
        <v>100</v>
      </c>
      <c r="K142" s="248">
        <v>0</v>
      </c>
      <c r="L142" s="231">
        <f t="shared" si="11"/>
        <v>94.24684</v>
      </c>
      <c r="M142" s="248">
        <v>94.24684</v>
      </c>
      <c r="N142" s="248">
        <v>0</v>
      </c>
      <c r="O142" s="69" t="s">
        <v>925</v>
      </c>
      <c r="P142" s="69" t="s">
        <v>938</v>
      </c>
      <c r="Q142" s="69" t="s">
        <v>939</v>
      </c>
      <c r="R142" s="134"/>
      <c r="S142" s="69" t="s">
        <v>56</v>
      </c>
      <c r="T142" s="69"/>
      <c r="U142" s="69"/>
      <c r="V142" s="69"/>
      <c r="W142" s="69"/>
      <c r="X142" s="69"/>
      <c r="Y142" s="69"/>
      <c r="Z142" s="69"/>
      <c r="AA142" s="69"/>
      <c r="AB142" s="69" t="s">
        <v>983</v>
      </c>
      <c r="AC142" s="69"/>
      <c r="AD142" s="69" t="s">
        <v>56</v>
      </c>
      <c r="AE142" s="169" t="s">
        <v>81</v>
      </c>
      <c r="AF142" s="108" t="s">
        <v>56</v>
      </c>
      <c r="AG142" s="108" t="s">
        <v>53</v>
      </c>
      <c r="AH142" s="108"/>
    </row>
    <row r="143" ht="140" hidden="1" spans="1:34">
      <c r="A143" s="118">
        <v>540425202321003</v>
      </c>
      <c r="B143" s="168" t="s">
        <v>19</v>
      </c>
      <c r="C143" s="168" t="s">
        <v>20</v>
      </c>
      <c r="D143" s="168">
        <v>2023</v>
      </c>
      <c r="E143" s="179" t="s">
        <v>622</v>
      </c>
      <c r="F143" s="110" t="s">
        <v>131</v>
      </c>
      <c r="G143" s="110" t="s">
        <v>1178</v>
      </c>
      <c r="H143" s="168" t="s">
        <v>1247</v>
      </c>
      <c r="I143" s="231">
        <f t="shared" si="10"/>
        <v>824.26</v>
      </c>
      <c r="J143" s="231">
        <v>824.26</v>
      </c>
      <c r="K143" s="231">
        <v>0</v>
      </c>
      <c r="L143" s="231">
        <f t="shared" si="11"/>
        <v>759.384732</v>
      </c>
      <c r="M143" s="231">
        <v>759.384732</v>
      </c>
      <c r="N143" s="231">
        <v>0</v>
      </c>
      <c r="O143" s="168" t="s">
        <v>920</v>
      </c>
      <c r="P143" s="168" t="s">
        <v>1159</v>
      </c>
      <c r="Q143" s="168" t="s">
        <v>927</v>
      </c>
      <c r="R143" s="233" t="s">
        <v>922</v>
      </c>
      <c r="S143" s="168" t="s">
        <v>53</v>
      </c>
      <c r="T143" s="168" t="s">
        <v>974</v>
      </c>
      <c r="U143" s="168" t="s">
        <v>1063</v>
      </c>
      <c r="V143" s="168" t="s">
        <v>1180</v>
      </c>
      <c r="W143" s="69" t="s">
        <v>53</v>
      </c>
      <c r="X143" s="69"/>
      <c r="Y143" s="69"/>
      <c r="Z143" s="69"/>
      <c r="AA143" s="69"/>
      <c r="AB143" s="69"/>
      <c r="AC143" s="168"/>
      <c r="AD143" s="69" t="s">
        <v>56</v>
      </c>
      <c r="AE143" s="169" t="s">
        <v>167</v>
      </c>
      <c r="AF143" s="108" t="s">
        <v>53</v>
      </c>
      <c r="AG143" s="108" t="s">
        <v>53</v>
      </c>
      <c r="AH143" s="108"/>
    </row>
    <row r="144" ht="70" hidden="1" spans="1:34">
      <c r="A144" s="118">
        <v>540425202321004</v>
      </c>
      <c r="B144" s="168" t="s">
        <v>19</v>
      </c>
      <c r="C144" s="168" t="s">
        <v>20</v>
      </c>
      <c r="D144" s="168">
        <v>2023</v>
      </c>
      <c r="E144" s="179" t="s">
        <v>623</v>
      </c>
      <c r="F144" s="110" t="s">
        <v>131</v>
      </c>
      <c r="G144" s="110" t="s">
        <v>1248</v>
      </c>
      <c r="H144" s="168" t="s">
        <v>1249</v>
      </c>
      <c r="I144" s="231">
        <f t="shared" si="10"/>
        <v>777.72</v>
      </c>
      <c r="J144" s="231">
        <v>777.72</v>
      </c>
      <c r="K144" s="231">
        <v>0</v>
      </c>
      <c r="L144" s="231">
        <f t="shared" si="11"/>
        <v>703.055879</v>
      </c>
      <c r="M144" s="231">
        <v>703.055879</v>
      </c>
      <c r="N144" s="231">
        <v>0</v>
      </c>
      <c r="O144" s="168" t="s">
        <v>920</v>
      </c>
      <c r="P144" s="168" t="s">
        <v>1159</v>
      </c>
      <c r="Q144" s="168" t="s">
        <v>927</v>
      </c>
      <c r="R144" s="233" t="s">
        <v>927</v>
      </c>
      <c r="S144" s="168" t="s">
        <v>53</v>
      </c>
      <c r="T144" s="168" t="s">
        <v>930</v>
      </c>
      <c r="U144" s="168" t="s">
        <v>980</v>
      </c>
      <c r="V144" s="168" t="s">
        <v>1250</v>
      </c>
      <c r="W144" s="69" t="s">
        <v>56</v>
      </c>
      <c r="X144" s="69"/>
      <c r="Y144" s="69"/>
      <c r="Z144" s="69"/>
      <c r="AA144" s="69"/>
      <c r="AB144" s="69"/>
      <c r="AC144" s="168" t="s">
        <v>1251</v>
      </c>
      <c r="AD144" s="69" t="s">
        <v>56</v>
      </c>
      <c r="AE144" s="169" t="s">
        <v>167</v>
      </c>
      <c r="AF144" s="108" t="s">
        <v>56</v>
      </c>
      <c r="AG144" s="108" t="s">
        <v>53</v>
      </c>
      <c r="AH144" s="108"/>
    </row>
    <row r="145" ht="70" hidden="1" spans="1:34">
      <c r="A145" s="118">
        <v>540425202315008</v>
      </c>
      <c r="B145" s="168" t="s">
        <v>19</v>
      </c>
      <c r="C145" s="168" t="s">
        <v>20</v>
      </c>
      <c r="D145" s="168">
        <v>2023</v>
      </c>
      <c r="E145" s="179" t="s">
        <v>512</v>
      </c>
      <c r="F145" s="110" t="s">
        <v>514</v>
      </c>
      <c r="G145" s="110" t="s">
        <v>1252</v>
      </c>
      <c r="H145" s="168" t="s">
        <v>1253</v>
      </c>
      <c r="I145" s="231">
        <f t="shared" si="10"/>
        <v>140</v>
      </c>
      <c r="J145" s="231">
        <v>140</v>
      </c>
      <c r="K145" s="231">
        <v>0</v>
      </c>
      <c r="L145" s="231">
        <f t="shared" si="11"/>
        <v>140</v>
      </c>
      <c r="M145" s="231">
        <v>140</v>
      </c>
      <c r="N145" s="231">
        <v>0</v>
      </c>
      <c r="O145" s="168" t="s">
        <v>920</v>
      </c>
      <c r="P145" s="168" t="s">
        <v>979</v>
      </c>
      <c r="Q145" s="110" t="s">
        <v>973</v>
      </c>
      <c r="R145" s="233" t="s">
        <v>973</v>
      </c>
      <c r="S145" s="168" t="s">
        <v>53</v>
      </c>
      <c r="T145" s="168" t="s">
        <v>930</v>
      </c>
      <c r="U145" s="168" t="s">
        <v>980</v>
      </c>
      <c r="V145" s="168" t="s">
        <v>1254</v>
      </c>
      <c r="W145" s="69" t="s">
        <v>56</v>
      </c>
      <c r="X145" s="69"/>
      <c r="Y145" s="69"/>
      <c r="Z145" s="69"/>
      <c r="AA145" s="69"/>
      <c r="AB145" s="69" t="s">
        <v>983</v>
      </c>
      <c r="AC145" s="168"/>
      <c r="AD145" s="69" t="s">
        <v>56</v>
      </c>
      <c r="AE145" s="169" t="s">
        <v>513</v>
      </c>
      <c r="AF145" s="108" t="s">
        <v>56</v>
      </c>
      <c r="AG145" s="108" t="s">
        <v>53</v>
      </c>
      <c r="AH145" s="108"/>
    </row>
    <row r="146" s="154" customFormat="1" ht="28" hidden="1" spans="1:34">
      <c r="A146" s="126">
        <v>540425202316016</v>
      </c>
      <c r="B146" s="233" t="s">
        <v>19</v>
      </c>
      <c r="C146" s="233" t="s">
        <v>20</v>
      </c>
      <c r="D146" s="233">
        <v>2023</v>
      </c>
      <c r="E146" s="240" t="s">
        <v>344</v>
      </c>
      <c r="F146" s="182" t="s">
        <v>131</v>
      </c>
      <c r="G146" s="182" t="s">
        <v>20</v>
      </c>
      <c r="H146" s="233" t="s">
        <v>1255</v>
      </c>
      <c r="I146" s="223">
        <f t="shared" si="10"/>
        <v>4700</v>
      </c>
      <c r="J146" s="223">
        <v>4700</v>
      </c>
      <c r="K146" s="223">
        <v>0</v>
      </c>
      <c r="L146" s="223">
        <f t="shared" si="11"/>
        <v>4408.470034</v>
      </c>
      <c r="M146" s="223">
        <f>44084700.34/10000</f>
        <v>4408.470034</v>
      </c>
      <c r="N146" s="223">
        <v>0</v>
      </c>
      <c r="O146" s="233" t="s">
        <v>920</v>
      </c>
      <c r="P146" s="233" t="s">
        <v>935</v>
      </c>
      <c r="Q146" s="182" t="s">
        <v>927</v>
      </c>
      <c r="R146" s="233" t="s">
        <v>927</v>
      </c>
      <c r="S146" s="233" t="s">
        <v>53</v>
      </c>
      <c r="T146" s="233"/>
      <c r="U146" s="233"/>
      <c r="V146" s="233"/>
      <c r="W146" s="134"/>
      <c r="X146" s="134"/>
      <c r="Y146" s="134"/>
      <c r="Z146" s="134"/>
      <c r="AA146" s="134"/>
      <c r="AB146" s="134"/>
      <c r="AC146" s="233"/>
      <c r="AD146" s="134" t="s">
        <v>56</v>
      </c>
      <c r="AE146" s="227" t="s">
        <v>1256</v>
      </c>
      <c r="AF146" s="127" t="s">
        <v>56</v>
      </c>
      <c r="AG146" s="108" t="s">
        <v>53</v>
      </c>
      <c r="AH146" s="108"/>
    </row>
    <row r="147" s="150" customFormat="1" hidden="1" spans="1:34">
      <c r="A147" s="118">
        <v>540425201919037</v>
      </c>
      <c r="B147" s="110" t="s">
        <v>19</v>
      </c>
      <c r="C147" s="110" t="s">
        <v>20</v>
      </c>
      <c r="D147" s="110">
        <v>2019</v>
      </c>
      <c r="E147" s="179" t="s">
        <v>489</v>
      </c>
      <c r="F147" s="110" t="s">
        <v>124</v>
      </c>
      <c r="G147" s="110" t="s">
        <v>952</v>
      </c>
      <c r="H147" s="110" t="s">
        <v>1257</v>
      </c>
      <c r="I147" s="180">
        <f t="shared" si="10"/>
        <v>1530</v>
      </c>
      <c r="J147" s="180">
        <v>1530</v>
      </c>
      <c r="K147" s="180">
        <v>0</v>
      </c>
      <c r="L147" s="180">
        <f t="shared" si="11"/>
        <v>1529.925959</v>
      </c>
      <c r="M147" s="180">
        <f>附件2!AG302/10000</f>
        <v>1529.925959</v>
      </c>
      <c r="N147" s="180">
        <v>0</v>
      </c>
      <c r="O147" s="110" t="s">
        <v>920</v>
      </c>
      <c r="P147" s="110" t="s">
        <v>1258</v>
      </c>
      <c r="Q147" s="110" t="s">
        <v>922</v>
      </c>
      <c r="R147" s="182" t="s">
        <v>922</v>
      </c>
      <c r="S147" s="110" t="s">
        <v>53</v>
      </c>
      <c r="T147" s="110"/>
      <c r="U147" s="110"/>
      <c r="V147" s="110"/>
      <c r="W147" s="108"/>
      <c r="X147" s="108"/>
      <c r="Y147" s="108"/>
      <c r="Z147" s="108"/>
      <c r="AA147" s="108"/>
      <c r="AB147" s="108"/>
      <c r="AC147" s="110"/>
      <c r="AD147" s="108" t="s">
        <v>56</v>
      </c>
      <c r="AE147" s="183" t="s">
        <v>1259</v>
      </c>
      <c r="AF147" s="108" t="s">
        <v>56</v>
      </c>
      <c r="AG147" s="108" t="s">
        <v>53</v>
      </c>
      <c r="AH147" s="108" t="s">
        <v>53</v>
      </c>
    </row>
    <row r="148" s="150" customFormat="1" hidden="1" spans="1:34">
      <c r="A148" s="118">
        <v>540425202007021</v>
      </c>
      <c r="B148" s="108" t="s">
        <v>19</v>
      </c>
      <c r="C148" s="108" t="s">
        <v>20</v>
      </c>
      <c r="D148" s="108">
        <v>2020</v>
      </c>
      <c r="E148" s="246" t="s">
        <v>494</v>
      </c>
      <c r="F148" s="110" t="s">
        <v>131</v>
      </c>
      <c r="G148" s="110" t="s">
        <v>1260</v>
      </c>
      <c r="H148" s="110" t="s">
        <v>1261</v>
      </c>
      <c r="I148" s="180">
        <f t="shared" si="10"/>
        <v>380</v>
      </c>
      <c r="J148" s="185">
        <v>380</v>
      </c>
      <c r="K148" s="185">
        <v>0</v>
      </c>
      <c r="L148" s="180">
        <f t="shared" si="11"/>
        <v>380</v>
      </c>
      <c r="M148" s="185">
        <v>380</v>
      </c>
      <c r="N148" s="185">
        <v>0</v>
      </c>
      <c r="O148" s="108" t="s">
        <v>937</v>
      </c>
      <c r="P148" s="108" t="s">
        <v>957</v>
      </c>
      <c r="Q148" s="110" t="s">
        <v>939</v>
      </c>
      <c r="R148" s="127"/>
      <c r="S148" s="234"/>
      <c r="T148" s="234"/>
      <c r="U148" s="234"/>
      <c r="V148" s="234"/>
      <c r="W148" s="234"/>
      <c r="X148" s="234"/>
      <c r="Y148" s="234"/>
      <c r="Z148" s="234"/>
      <c r="AA148" s="234"/>
      <c r="AB148" s="234"/>
      <c r="AC148" s="234"/>
      <c r="AD148" s="108" t="s">
        <v>56</v>
      </c>
      <c r="AE148" s="183" t="s">
        <v>495</v>
      </c>
      <c r="AF148" s="108" t="s">
        <v>56</v>
      </c>
      <c r="AG148" s="108" t="s">
        <v>53</v>
      </c>
      <c r="AH148" s="108"/>
    </row>
    <row r="149" s="153" customFormat="1" ht="28" hidden="1" spans="1:34">
      <c r="A149" s="213">
        <v>540425201917017</v>
      </c>
      <c r="B149" s="214" t="s">
        <v>19</v>
      </c>
      <c r="C149" s="214" t="s">
        <v>20</v>
      </c>
      <c r="D149" s="214">
        <v>2019</v>
      </c>
      <c r="E149" s="249" t="s">
        <v>498</v>
      </c>
      <c r="F149" s="214" t="s">
        <v>82</v>
      </c>
      <c r="G149" s="214" t="s">
        <v>1262</v>
      </c>
      <c r="H149" s="214" t="s">
        <v>1263</v>
      </c>
      <c r="I149" s="216">
        <f t="shared" si="10"/>
        <v>62.49</v>
      </c>
      <c r="J149" s="216">
        <v>60</v>
      </c>
      <c r="K149" s="216">
        <v>2.49</v>
      </c>
      <c r="L149" s="216">
        <f t="shared" si="11"/>
        <v>62.49</v>
      </c>
      <c r="M149" s="216">
        <v>60</v>
      </c>
      <c r="N149" s="216">
        <v>2.49</v>
      </c>
      <c r="O149" s="214" t="s">
        <v>920</v>
      </c>
      <c r="P149" s="214" t="s">
        <v>926</v>
      </c>
      <c r="Q149" s="214" t="s">
        <v>927</v>
      </c>
      <c r="R149" s="220" t="s">
        <v>922</v>
      </c>
      <c r="S149" s="214" t="s">
        <v>56</v>
      </c>
      <c r="T149" s="214"/>
      <c r="U149" s="214"/>
      <c r="V149" s="214"/>
      <c r="W149" s="219"/>
      <c r="X149" s="219"/>
      <c r="Y149" s="219" t="s">
        <v>56</v>
      </c>
      <c r="Z149" s="219"/>
      <c r="AA149" s="219"/>
      <c r="AB149" s="219"/>
      <c r="AC149" s="214" t="s">
        <v>947</v>
      </c>
      <c r="AD149" s="219" t="s">
        <v>53</v>
      </c>
      <c r="AE149" s="221" t="s">
        <v>54</v>
      </c>
      <c r="AF149" s="219" t="s">
        <v>56</v>
      </c>
      <c r="AG149" s="108" t="s">
        <v>955</v>
      </c>
      <c r="AH149" s="108" t="s">
        <v>53</v>
      </c>
    </row>
    <row r="150" ht="84" hidden="1" spans="1:34">
      <c r="A150" s="118">
        <v>540425202216017</v>
      </c>
      <c r="B150" s="168" t="s">
        <v>19</v>
      </c>
      <c r="C150" s="168" t="s">
        <v>20</v>
      </c>
      <c r="D150" s="168">
        <v>2022</v>
      </c>
      <c r="E150" s="179" t="s">
        <v>618</v>
      </c>
      <c r="F150" s="110" t="s">
        <v>210</v>
      </c>
      <c r="G150" s="110" t="s">
        <v>1264</v>
      </c>
      <c r="H150" s="110" t="s">
        <v>1265</v>
      </c>
      <c r="I150" s="231">
        <f t="shared" si="10"/>
        <v>227</v>
      </c>
      <c r="J150" s="231">
        <v>227</v>
      </c>
      <c r="K150" s="231">
        <v>0</v>
      </c>
      <c r="L150" s="231">
        <f t="shared" si="11"/>
        <v>214.340226</v>
      </c>
      <c r="M150" s="231">
        <v>214.340226</v>
      </c>
      <c r="N150" s="231">
        <v>0</v>
      </c>
      <c r="O150" s="168" t="s">
        <v>920</v>
      </c>
      <c r="P150" s="168" t="s">
        <v>935</v>
      </c>
      <c r="Q150" s="110" t="s">
        <v>927</v>
      </c>
      <c r="R150" s="233" t="s">
        <v>927</v>
      </c>
      <c r="S150" s="168" t="s">
        <v>53</v>
      </c>
      <c r="T150" s="168" t="s">
        <v>930</v>
      </c>
      <c r="U150" s="168" t="s">
        <v>980</v>
      </c>
      <c r="V150" s="168" t="s">
        <v>1034</v>
      </c>
      <c r="W150" s="69" t="s">
        <v>56</v>
      </c>
      <c r="X150" s="69"/>
      <c r="Y150" s="69"/>
      <c r="Z150" s="69"/>
      <c r="AA150" s="69">
        <v>1000</v>
      </c>
      <c r="AB150" s="69" t="s">
        <v>983</v>
      </c>
      <c r="AC150" s="168" t="s">
        <v>1266</v>
      </c>
      <c r="AD150" s="69" t="s">
        <v>56</v>
      </c>
      <c r="AE150" s="169" t="s">
        <v>162</v>
      </c>
      <c r="AF150" s="108" t="s">
        <v>53</v>
      </c>
      <c r="AG150" s="108" t="s">
        <v>53</v>
      </c>
      <c r="AH150" s="108"/>
    </row>
    <row r="151" hidden="1" spans="1:34">
      <c r="A151" s="118">
        <v>540425202116018</v>
      </c>
      <c r="B151" s="69" t="s">
        <v>19</v>
      </c>
      <c r="C151" s="69" t="s">
        <v>20</v>
      </c>
      <c r="D151" s="69">
        <v>2021</v>
      </c>
      <c r="E151" s="246" t="s">
        <v>331</v>
      </c>
      <c r="F151" s="110" t="s">
        <v>1267</v>
      </c>
      <c r="G151" s="110" t="s">
        <v>1248</v>
      </c>
      <c r="H151" s="168" t="s">
        <v>1268</v>
      </c>
      <c r="I151" s="231">
        <f t="shared" si="10"/>
        <v>26.37</v>
      </c>
      <c r="J151" s="248">
        <v>26.37</v>
      </c>
      <c r="K151" s="248">
        <v>0</v>
      </c>
      <c r="L151" s="231">
        <f t="shared" si="11"/>
        <v>26.37</v>
      </c>
      <c r="M151" s="248">
        <v>26.37</v>
      </c>
      <c r="N151" s="248">
        <v>0</v>
      </c>
      <c r="O151" s="69" t="s">
        <v>925</v>
      </c>
      <c r="P151" s="69" t="s">
        <v>935</v>
      </c>
      <c r="Q151" s="69" t="s">
        <v>927</v>
      </c>
      <c r="R151" s="134"/>
      <c r="S151" s="69" t="s">
        <v>53</v>
      </c>
      <c r="T151" s="69"/>
      <c r="U151" s="69"/>
      <c r="V151" s="69"/>
      <c r="W151" s="69"/>
      <c r="X151" s="69"/>
      <c r="Y151" s="69"/>
      <c r="Z151" s="69"/>
      <c r="AA151" s="69"/>
      <c r="AB151" s="69"/>
      <c r="AC151" s="69"/>
      <c r="AD151" s="69" t="s">
        <v>56</v>
      </c>
      <c r="AE151" s="169" t="s">
        <v>209</v>
      </c>
      <c r="AF151" s="108" t="s">
        <v>56</v>
      </c>
      <c r="AG151" s="108" t="s">
        <v>53</v>
      </c>
      <c r="AH151" s="108"/>
    </row>
    <row r="152" ht="56" hidden="1" spans="1:34">
      <c r="A152" s="118">
        <v>540425202212029</v>
      </c>
      <c r="B152" s="69" t="s">
        <v>19</v>
      </c>
      <c r="C152" s="69" t="s">
        <v>20</v>
      </c>
      <c r="D152" s="69">
        <v>2022</v>
      </c>
      <c r="E152" s="246" t="s">
        <v>621</v>
      </c>
      <c r="F152" s="110" t="s">
        <v>131</v>
      </c>
      <c r="G152" s="110" t="s">
        <v>1269</v>
      </c>
      <c r="H152" s="110" t="s">
        <v>1270</v>
      </c>
      <c r="I152" s="231">
        <f t="shared" si="10"/>
        <v>415.88</v>
      </c>
      <c r="J152" s="248">
        <v>415.88</v>
      </c>
      <c r="K152" s="248">
        <v>0</v>
      </c>
      <c r="L152" s="231">
        <f t="shared" si="11"/>
        <v>402.644336</v>
      </c>
      <c r="M152" s="248">
        <v>402.644336</v>
      </c>
      <c r="N152" s="248">
        <v>0</v>
      </c>
      <c r="O152" s="69" t="s">
        <v>925</v>
      </c>
      <c r="P152" s="69" t="s">
        <v>1024</v>
      </c>
      <c r="Q152" s="69" t="s">
        <v>927</v>
      </c>
      <c r="R152" s="134"/>
      <c r="S152" s="69"/>
      <c r="T152" s="69"/>
      <c r="U152" s="69"/>
      <c r="V152" s="69"/>
      <c r="W152" s="69" t="s">
        <v>56</v>
      </c>
      <c r="X152" s="69"/>
      <c r="Y152" s="69"/>
      <c r="Z152" s="69"/>
      <c r="AA152" s="69"/>
      <c r="AB152" s="69"/>
      <c r="AC152" s="69"/>
      <c r="AD152" s="69" t="s">
        <v>56</v>
      </c>
      <c r="AE152" s="169" t="s">
        <v>162</v>
      </c>
      <c r="AF152" s="108" t="s">
        <v>53</v>
      </c>
      <c r="AG152" s="108" t="s">
        <v>53</v>
      </c>
      <c r="AH152" s="108"/>
    </row>
    <row r="153" s="150" customFormat="1" ht="28" hidden="1" spans="1:34">
      <c r="A153" s="118">
        <v>540425202016019</v>
      </c>
      <c r="B153" s="110" t="s">
        <v>19</v>
      </c>
      <c r="C153" s="110" t="s">
        <v>20</v>
      </c>
      <c r="D153" s="110">
        <v>2020</v>
      </c>
      <c r="E153" s="179" t="s">
        <v>496</v>
      </c>
      <c r="F153" s="110" t="s">
        <v>456</v>
      </c>
      <c r="G153" s="110" t="s">
        <v>1107</v>
      </c>
      <c r="H153" s="250" t="s">
        <v>1271</v>
      </c>
      <c r="I153" s="180">
        <f t="shared" si="10"/>
        <v>120</v>
      </c>
      <c r="J153" s="180">
        <v>120</v>
      </c>
      <c r="K153" s="180">
        <v>0</v>
      </c>
      <c r="L153" s="180">
        <f t="shared" si="11"/>
        <v>120</v>
      </c>
      <c r="M153" s="180">
        <v>120</v>
      </c>
      <c r="N153" s="180">
        <v>0</v>
      </c>
      <c r="O153" s="110" t="s">
        <v>920</v>
      </c>
      <c r="P153" s="110" t="s">
        <v>957</v>
      </c>
      <c r="Q153" s="110" t="s">
        <v>927</v>
      </c>
      <c r="R153" s="182" t="s">
        <v>927</v>
      </c>
      <c r="S153" s="187" t="s">
        <v>53</v>
      </c>
      <c r="T153" s="187" t="s">
        <v>1272</v>
      </c>
      <c r="U153" s="187" t="s">
        <v>980</v>
      </c>
      <c r="V153" s="187" t="s">
        <v>1273</v>
      </c>
      <c r="W153" s="234" t="s">
        <v>53</v>
      </c>
      <c r="X153" s="234"/>
      <c r="Y153" s="234"/>
      <c r="Z153" s="234"/>
      <c r="AA153" s="234">
        <v>100</v>
      </c>
      <c r="AB153" s="234"/>
      <c r="AC153" s="187"/>
      <c r="AD153" s="108" t="s">
        <v>56</v>
      </c>
      <c r="AE153" s="183" t="s">
        <v>497</v>
      </c>
      <c r="AF153" s="108" t="s">
        <v>56</v>
      </c>
      <c r="AG153" s="108" t="s">
        <v>53</v>
      </c>
      <c r="AH153" s="108"/>
    </row>
    <row r="154" s="150" customFormat="1" ht="70" hidden="1" spans="1:34">
      <c r="A154" s="118">
        <v>540425202012030</v>
      </c>
      <c r="B154" s="110" t="s">
        <v>19</v>
      </c>
      <c r="C154" s="110" t="s">
        <v>20</v>
      </c>
      <c r="D154" s="110">
        <v>2020</v>
      </c>
      <c r="E154" s="179" t="s">
        <v>640</v>
      </c>
      <c r="F154" s="110" t="s">
        <v>131</v>
      </c>
      <c r="G154" s="110" t="s">
        <v>1027</v>
      </c>
      <c r="H154" s="110" t="s">
        <v>1274</v>
      </c>
      <c r="I154" s="180">
        <f t="shared" si="10"/>
        <v>415.2</v>
      </c>
      <c r="J154" s="180">
        <v>415.2</v>
      </c>
      <c r="K154" s="180">
        <v>0</v>
      </c>
      <c r="L154" s="180">
        <f t="shared" si="11"/>
        <v>395.812157</v>
      </c>
      <c r="M154" s="180">
        <f>395.818111-(59.54/10000)</f>
        <v>395.812157</v>
      </c>
      <c r="N154" s="180">
        <v>0</v>
      </c>
      <c r="O154" s="110" t="s">
        <v>920</v>
      </c>
      <c r="P154" s="110" t="s">
        <v>1024</v>
      </c>
      <c r="Q154" s="110" t="s">
        <v>927</v>
      </c>
      <c r="R154" s="110" t="s">
        <v>927</v>
      </c>
      <c r="S154" s="110" t="s">
        <v>53</v>
      </c>
      <c r="T154" s="110"/>
      <c r="U154" s="110"/>
      <c r="V154" s="110"/>
      <c r="W154" s="108"/>
      <c r="X154" s="108"/>
      <c r="Y154" s="108"/>
      <c r="Z154" s="108"/>
      <c r="AA154" s="108"/>
      <c r="AB154" s="108"/>
      <c r="AC154" s="110"/>
      <c r="AD154" s="108" t="s">
        <v>56</v>
      </c>
      <c r="AE154" s="183" t="s">
        <v>641</v>
      </c>
      <c r="AF154" s="108" t="s">
        <v>56</v>
      </c>
      <c r="AG154" s="108" t="s">
        <v>53</v>
      </c>
      <c r="AH154" s="108"/>
    </row>
    <row r="155" s="150" customFormat="1" ht="28" hidden="1" spans="1:34">
      <c r="A155" s="118">
        <v>54042520151938</v>
      </c>
      <c r="B155" s="108" t="s">
        <v>19</v>
      </c>
      <c r="C155" s="108" t="s">
        <v>20</v>
      </c>
      <c r="D155" s="108">
        <v>2015</v>
      </c>
      <c r="E155" s="246" t="s">
        <v>374</v>
      </c>
      <c r="F155" s="110" t="s">
        <v>375</v>
      </c>
      <c r="G155" s="108" t="s">
        <v>1151</v>
      </c>
      <c r="H155" s="110" t="s">
        <v>1275</v>
      </c>
      <c r="I155" s="180">
        <f t="shared" si="10"/>
        <v>28.8</v>
      </c>
      <c r="J155" s="185">
        <v>28.8</v>
      </c>
      <c r="K155" s="185">
        <v>0</v>
      </c>
      <c r="L155" s="180">
        <f t="shared" si="11"/>
        <v>28.8</v>
      </c>
      <c r="M155" s="185">
        <v>28.8</v>
      </c>
      <c r="N155" s="185">
        <v>0</v>
      </c>
      <c r="O155" s="108" t="s">
        <v>925</v>
      </c>
      <c r="P155" s="108" t="s">
        <v>944</v>
      </c>
      <c r="Q155" s="108" t="s">
        <v>973</v>
      </c>
      <c r="R155" s="127"/>
      <c r="S155" s="108"/>
      <c r="T155" s="108"/>
      <c r="U155" s="108"/>
      <c r="V155" s="108"/>
      <c r="W155" s="108"/>
      <c r="X155" s="108"/>
      <c r="Y155" s="108"/>
      <c r="Z155" s="108"/>
      <c r="AA155" s="108"/>
      <c r="AB155" s="108"/>
      <c r="AC155" s="108"/>
      <c r="AD155" s="108" t="s">
        <v>56</v>
      </c>
      <c r="AE155" s="183" t="s">
        <v>239</v>
      </c>
      <c r="AF155" s="108" t="s">
        <v>53</v>
      </c>
      <c r="AG155" s="108" t="s">
        <v>53</v>
      </c>
      <c r="AH155" s="108"/>
    </row>
    <row r="156" s="150" customFormat="1" hidden="1" spans="1:34">
      <c r="A156" s="118">
        <v>54042520161939</v>
      </c>
      <c r="B156" s="108" t="s">
        <v>19</v>
      </c>
      <c r="C156" s="108" t="s">
        <v>20</v>
      </c>
      <c r="D156" s="108">
        <v>2016</v>
      </c>
      <c r="E156" s="246" t="s">
        <v>396</v>
      </c>
      <c r="F156" s="110" t="s">
        <v>131</v>
      </c>
      <c r="G156" s="108" t="s">
        <v>20</v>
      </c>
      <c r="H156" s="110" t="s">
        <v>1276</v>
      </c>
      <c r="I156" s="180">
        <f t="shared" si="10"/>
        <v>179</v>
      </c>
      <c r="J156" s="185">
        <v>179</v>
      </c>
      <c r="K156" s="185">
        <v>0</v>
      </c>
      <c r="L156" s="180">
        <f t="shared" si="11"/>
        <v>179</v>
      </c>
      <c r="M156" s="185">
        <v>179</v>
      </c>
      <c r="N156" s="185">
        <v>0</v>
      </c>
      <c r="O156" s="108" t="s">
        <v>937</v>
      </c>
      <c r="P156" s="108" t="s">
        <v>944</v>
      </c>
      <c r="Q156" s="110" t="s">
        <v>922</v>
      </c>
      <c r="R156" s="127"/>
      <c r="S156" s="234"/>
      <c r="T156" s="234"/>
      <c r="U156" s="234"/>
      <c r="V156" s="234"/>
      <c r="W156" s="234"/>
      <c r="X156" s="234"/>
      <c r="Y156" s="234"/>
      <c r="Z156" s="234"/>
      <c r="AA156" s="234"/>
      <c r="AB156" s="234"/>
      <c r="AC156" s="234"/>
      <c r="AD156" s="108" t="s">
        <v>56</v>
      </c>
      <c r="AE156" s="183" t="s">
        <v>390</v>
      </c>
      <c r="AF156" s="108" t="s">
        <v>56</v>
      </c>
      <c r="AG156" s="108" t="s">
        <v>53</v>
      </c>
      <c r="AH156" s="108"/>
    </row>
    <row r="157" s="150" customFormat="1" hidden="1" spans="1:34">
      <c r="A157" s="118">
        <v>54042520161940</v>
      </c>
      <c r="B157" s="108" t="s">
        <v>19</v>
      </c>
      <c r="C157" s="108" t="s">
        <v>20</v>
      </c>
      <c r="D157" s="108">
        <v>2016</v>
      </c>
      <c r="E157" s="179" t="s">
        <v>416</v>
      </c>
      <c r="F157" s="110" t="s">
        <v>67</v>
      </c>
      <c r="G157" s="108" t="s">
        <v>465</v>
      </c>
      <c r="H157" s="110" t="s">
        <v>1277</v>
      </c>
      <c r="I157" s="180">
        <f t="shared" si="10"/>
        <v>55</v>
      </c>
      <c r="J157" s="185">
        <v>55</v>
      </c>
      <c r="K157" s="185">
        <v>0</v>
      </c>
      <c r="L157" s="180">
        <f t="shared" si="11"/>
        <v>55</v>
      </c>
      <c r="M157" s="185">
        <v>55</v>
      </c>
      <c r="N157" s="185">
        <v>0</v>
      </c>
      <c r="O157" s="108" t="s">
        <v>937</v>
      </c>
      <c r="P157" s="108" t="s">
        <v>944</v>
      </c>
      <c r="Q157" s="110" t="s">
        <v>922</v>
      </c>
      <c r="R157" s="127"/>
      <c r="S157" s="234"/>
      <c r="T157" s="234"/>
      <c r="U157" s="234"/>
      <c r="V157" s="234"/>
      <c r="W157" s="234"/>
      <c r="X157" s="234"/>
      <c r="Y157" s="234"/>
      <c r="Z157" s="234"/>
      <c r="AA157" s="234"/>
      <c r="AB157" s="234"/>
      <c r="AC157" s="234"/>
      <c r="AD157" s="108" t="s">
        <v>56</v>
      </c>
      <c r="AE157" s="183" t="s">
        <v>390</v>
      </c>
      <c r="AF157" s="108" t="s">
        <v>56</v>
      </c>
      <c r="AG157" s="108" t="s">
        <v>53</v>
      </c>
      <c r="AH157" s="108"/>
    </row>
    <row r="158" s="153" customFormat="1" hidden="1" spans="1:34">
      <c r="A158" s="213">
        <v>54042520171941</v>
      </c>
      <c r="B158" s="219" t="s">
        <v>19</v>
      </c>
      <c r="C158" s="219" t="s">
        <v>20</v>
      </c>
      <c r="D158" s="219">
        <v>2017</v>
      </c>
      <c r="E158" s="215" t="s">
        <v>435</v>
      </c>
      <c r="F158" s="214" t="s">
        <v>124</v>
      </c>
      <c r="G158" s="219" t="s">
        <v>952</v>
      </c>
      <c r="H158" s="214" t="s">
        <v>1278</v>
      </c>
      <c r="I158" s="216">
        <f t="shared" si="10"/>
        <v>150.024</v>
      </c>
      <c r="J158" s="217">
        <v>150.024</v>
      </c>
      <c r="K158" s="217">
        <v>0</v>
      </c>
      <c r="L158" s="216">
        <f t="shared" si="11"/>
        <v>150.024</v>
      </c>
      <c r="M158" s="217">
        <v>150.024</v>
      </c>
      <c r="N158" s="217">
        <v>0</v>
      </c>
      <c r="O158" s="219" t="s">
        <v>937</v>
      </c>
      <c r="P158" s="219" t="s">
        <v>944</v>
      </c>
      <c r="Q158" s="214" t="s">
        <v>922</v>
      </c>
      <c r="R158" s="238"/>
      <c r="S158" s="219"/>
      <c r="T158" s="219"/>
      <c r="U158" s="219"/>
      <c r="V158" s="219"/>
      <c r="W158" s="219"/>
      <c r="X158" s="219"/>
      <c r="Y158" s="219"/>
      <c r="Z158" s="219"/>
      <c r="AA158" s="219"/>
      <c r="AB158" s="219"/>
      <c r="AC158" s="219" t="s">
        <v>1279</v>
      </c>
      <c r="AD158" s="219" t="s">
        <v>53</v>
      </c>
      <c r="AE158" s="221" t="s">
        <v>54</v>
      </c>
      <c r="AF158" s="219" t="s">
        <v>56</v>
      </c>
      <c r="AG158" s="108" t="s">
        <v>955</v>
      </c>
      <c r="AH158" s="108"/>
    </row>
    <row r="159" s="153" customFormat="1" hidden="1" spans="1:34">
      <c r="A159" s="213">
        <v>54042520191942</v>
      </c>
      <c r="B159" s="219" t="s">
        <v>19</v>
      </c>
      <c r="C159" s="219" t="s">
        <v>20</v>
      </c>
      <c r="D159" s="219">
        <v>2019</v>
      </c>
      <c r="E159" s="215" t="s">
        <v>475</v>
      </c>
      <c r="F159" s="214" t="s">
        <v>104</v>
      </c>
      <c r="G159" s="219" t="s">
        <v>950</v>
      </c>
      <c r="H159" s="214" t="s">
        <v>1280</v>
      </c>
      <c r="I159" s="216">
        <f t="shared" si="10"/>
        <v>99.61</v>
      </c>
      <c r="J159" s="217">
        <v>99.61</v>
      </c>
      <c r="K159" s="217">
        <v>0</v>
      </c>
      <c r="L159" s="216">
        <f t="shared" si="11"/>
        <v>99.61</v>
      </c>
      <c r="M159" s="217">
        <v>99.61</v>
      </c>
      <c r="N159" s="217">
        <v>0</v>
      </c>
      <c r="O159" s="219" t="s">
        <v>937</v>
      </c>
      <c r="P159" s="219" t="s">
        <v>944</v>
      </c>
      <c r="Q159" s="214" t="s">
        <v>922</v>
      </c>
      <c r="R159" s="238"/>
      <c r="S159" s="219"/>
      <c r="T159" s="219"/>
      <c r="U159" s="219"/>
      <c r="V159" s="219"/>
      <c r="W159" s="219"/>
      <c r="X159" s="219"/>
      <c r="Y159" s="219"/>
      <c r="Z159" s="219"/>
      <c r="AA159" s="219"/>
      <c r="AB159" s="219"/>
      <c r="AC159" s="219"/>
      <c r="AD159" s="219" t="s">
        <v>53</v>
      </c>
      <c r="AE159" s="221" t="s">
        <v>54</v>
      </c>
      <c r="AF159" s="219" t="s">
        <v>56</v>
      </c>
      <c r="AG159" s="108" t="s">
        <v>955</v>
      </c>
      <c r="AH159" s="108"/>
    </row>
    <row r="160" s="153" customFormat="1" hidden="1" spans="1:34">
      <c r="A160" s="213">
        <v>54042520191943</v>
      </c>
      <c r="B160" s="219" t="s">
        <v>19</v>
      </c>
      <c r="C160" s="219" t="s">
        <v>20</v>
      </c>
      <c r="D160" s="219">
        <v>2019</v>
      </c>
      <c r="E160" s="215" t="s">
        <v>476</v>
      </c>
      <c r="F160" s="214" t="s">
        <v>98</v>
      </c>
      <c r="G160" s="219" t="s">
        <v>984</v>
      </c>
      <c r="H160" s="214" t="s">
        <v>1280</v>
      </c>
      <c r="I160" s="216">
        <f t="shared" si="10"/>
        <v>97.21</v>
      </c>
      <c r="J160" s="217">
        <v>97.21</v>
      </c>
      <c r="K160" s="217">
        <v>0</v>
      </c>
      <c r="L160" s="216">
        <f t="shared" si="11"/>
        <v>97.1505</v>
      </c>
      <c r="M160" s="217">
        <v>97.1505</v>
      </c>
      <c r="N160" s="217">
        <v>0</v>
      </c>
      <c r="O160" s="219" t="s">
        <v>937</v>
      </c>
      <c r="P160" s="219" t="s">
        <v>944</v>
      </c>
      <c r="Q160" s="214" t="s">
        <v>922</v>
      </c>
      <c r="R160" s="238"/>
      <c r="S160" s="219"/>
      <c r="T160" s="219"/>
      <c r="U160" s="219"/>
      <c r="V160" s="219"/>
      <c r="W160" s="219"/>
      <c r="X160" s="219"/>
      <c r="Y160" s="219"/>
      <c r="Z160" s="219"/>
      <c r="AA160" s="219"/>
      <c r="AB160" s="219"/>
      <c r="AC160" s="219"/>
      <c r="AD160" s="219" t="s">
        <v>53</v>
      </c>
      <c r="AE160" s="221" t="s">
        <v>204</v>
      </c>
      <c r="AF160" s="219" t="s">
        <v>56</v>
      </c>
      <c r="AG160" s="108" t="s">
        <v>955</v>
      </c>
      <c r="AH160" s="108"/>
    </row>
    <row r="161" s="153" customFormat="1" hidden="1" spans="1:34">
      <c r="A161" s="213">
        <v>54042520191944</v>
      </c>
      <c r="B161" s="219" t="s">
        <v>19</v>
      </c>
      <c r="C161" s="219" t="s">
        <v>20</v>
      </c>
      <c r="D161" s="219">
        <v>2019</v>
      </c>
      <c r="E161" s="215" t="s">
        <v>477</v>
      </c>
      <c r="F161" s="214" t="s">
        <v>124</v>
      </c>
      <c r="G161" s="219" t="s">
        <v>952</v>
      </c>
      <c r="H161" s="214" t="s">
        <v>1280</v>
      </c>
      <c r="I161" s="216">
        <f t="shared" si="10"/>
        <v>95.526</v>
      </c>
      <c r="J161" s="217">
        <v>95.526</v>
      </c>
      <c r="K161" s="217">
        <v>0</v>
      </c>
      <c r="L161" s="216">
        <f t="shared" si="11"/>
        <v>95.526</v>
      </c>
      <c r="M161" s="217">
        <v>95.526</v>
      </c>
      <c r="N161" s="217">
        <v>0</v>
      </c>
      <c r="O161" s="219" t="s">
        <v>937</v>
      </c>
      <c r="P161" s="219" t="s">
        <v>944</v>
      </c>
      <c r="Q161" s="214" t="s">
        <v>922</v>
      </c>
      <c r="R161" s="238"/>
      <c r="S161" s="219"/>
      <c r="T161" s="219"/>
      <c r="U161" s="219"/>
      <c r="V161" s="219"/>
      <c r="W161" s="219"/>
      <c r="X161" s="219"/>
      <c r="Y161" s="219"/>
      <c r="Z161" s="219"/>
      <c r="AA161" s="219"/>
      <c r="AB161" s="219"/>
      <c r="AC161" s="219"/>
      <c r="AD161" s="219" t="s">
        <v>53</v>
      </c>
      <c r="AE161" s="221" t="s">
        <v>54</v>
      </c>
      <c r="AF161" s="219" t="s">
        <v>56</v>
      </c>
      <c r="AG161" s="108" t="s">
        <v>955</v>
      </c>
      <c r="AH161" s="108"/>
    </row>
    <row r="162" s="153" customFormat="1" hidden="1" spans="1:34">
      <c r="A162" s="213">
        <v>54042520191945</v>
      </c>
      <c r="B162" s="219" t="s">
        <v>19</v>
      </c>
      <c r="C162" s="219" t="s">
        <v>20</v>
      </c>
      <c r="D162" s="219">
        <v>2019</v>
      </c>
      <c r="E162" s="215" t="s">
        <v>478</v>
      </c>
      <c r="F162" s="214" t="s">
        <v>67</v>
      </c>
      <c r="G162" s="219" t="s">
        <v>465</v>
      </c>
      <c r="H162" s="214" t="s">
        <v>1280</v>
      </c>
      <c r="I162" s="216">
        <f t="shared" si="10"/>
        <v>94.5</v>
      </c>
      <c r="J162" s="217">
        <v>94.5</v>
      </c>
      <c r="K162" s="217">
        <v>0</v>
      </c>
      <c r="L162" s="216">
        <f t="shared" si="11"/>
        <v>94.5</v>
      </c>
      <c r="M162" s="217">
        <v>94.5</v>
      </c>
      <c r="N162" s="217">
        <v>0</v>
      </c>
      <c r="O162" s="219" t="s">
        <v>937</v>
      </c>
      <c r="P162" s="219" t="s">
        <v>944</v>
      </c>
      <c r="Q162" s="214" t="s">
        <v>922</v>
      </c>
      <c r="R162" s="238"/>
      <c r="S162" s="219"/>
      <c r="T162" s="219"/>
      <c r="U162" s="219"/>
      <c r="V162" s="219"/>
      <c r="W162" s="219"/>
      <c r="X162" s="219"/>
      <c r="Y162" s="219"/>
      <c r="Z162" s="219"/>
      <c r="AA162" s="219"/>
      <c r="AB162" s="219"/>
      <c r="AC162" s="219"/>
      <c r="AD162" s="219" t="s">
        <v>53</v>
      </c>
      <c r="AE162" s="221" t="s">
        <v>54</v>
      </c>
      <c r="AF162" s="219" t="s">
        <v>56</v>
      </c>
      <c r="AG162" s="108" t="s">
        <v>955</v>
      </c>
      <c r="AH162" s="108"/>
    </row>
    <row r="163" s="153" customFormat="1" hidden="1" spans="1:34">
      <c r="A163" s="213">
        <v>54042520191946</v>
      </c>
      <c r="B163" s="219" t="s">
        <v>19</v>
      </c>
      <c r="C163" s="219" t="s">
        <v>20</v>
      </c>
      <c r="D163" s="219">
        <v>2019</v>
      </c>
      <c r="E163" s="215" t="s">
        <v>479</v>
      </c>
      <c r="F163" s="214" t="s">
        <v>140</v>
      </c>
      <c r="G163" s="219" t="s">
        <v>485</v>
      </c>
      <c r="H163" s="214" t="s">
        <v>1280</v>
      </c>
      <c r="I163" s="216">
        <f t="shared" si="10"/>
        <v>99.96</v>
      </c>
      <c r="J163" s="217">
        <v>99.96</v>
      </c>
      <c r="K163" s="217">
        <v>0</v>
      </c>
      <c r="L163" s="216">
        <f t="shared" si="11"/>
        <v>99.96</v>
      </c>
      <c r="M163" s="217">
        <v>99.96</v>
      </c>
      <c r="N163" s="217">
        <v>0</v>
      </c>
      <c r="O163" s="219" t="s">
        <v>937</v>
      </c>
      <c r="P163" s="219" t="s">
        <v>944</v>
      </c>
      <c r="Q163" s="214" t="s">
        <v>922</v>
      </c>
      <c r="R163" s="238"/>
      <c r="S163" s="219"/>
      <c r="T163" s="219"/>
      <c r="U163" s="219"/>
      <c r="V163" s="219"/>
      <c r="W163" s="219"/>
      <c r="X163" s="219"/>
      <c r="Y163" s="219"/>
      <c r="Z163" s="219"/>
      <c r="AA163" s="219"/>
      <c r="AB163" s="219"/>
      <c r="AC163" s="219"/>
      <c r="AD163" s="219" t="s">
        <v>53</v>
      </c>
      <c r="AE163" s="221" t="s">
        <v>54</v>
      </c>
      <c r="AF163" s="219" t="s">
        <v>56</v>
      </c>
      <c r="AG163" s="108" t="s">
        <v>955</v>
      </c>
      <c r="AH163" s="108"/>
    </row>
    <row r="164" s="150" customFormat="1" ht="154" hidden="1" spans="1:34">
      <c r="A164" s="118">
        <v>54042520191947</v>
      </c>
      <c r="B164" s="108" t="s">
        <v>19</v>
      </c>
      <c r="C164" s="108" t="s">
        <v>20</v>
      </c>
      <c r="D164" s="108">
        <v>2019</v>
      </c>
      <c r="E164" s="246" t="s">
        <v>552</v>
      </c>
      <c r="F164" s="110" t="s">
        <v>131</v>
      </c>
      <c r="G164" s="108" t="s">
        <v>20</v>
      </c>
      <c r="H164" s="110" t="s">
        <v>1281</v>
      </c>
      <c r="I164" s="180">
        <f t="shared" si="10"/>
        <v>1304.02</v>
      </c>
      <c r="J164" s="185">
        <v>1304.02</v>
      </c>
      <c r="K164" s="185">
        <v>0</v>
      </c>
      <c r="L164" s="180">
        <f t="shared" si="11"/>
        <v>1184.286978</v>
      </c>
      <c r="M164" s="185">
        <f>11842869.78/10000</f>
        <v>1184.286978</v>
      </c>
      <c r="N164" s="185">
        <v>0</v>
      </c>
      <c r="O164" s="108" t="s">
        <v>925</v>
      </c>
      <c r="P164" s="108" t="s">
        <v>944</v>
      </c>
      <c r="Q164" s="108" t="s">
        <v>922</v>
      </c>
      <c r="R164" s="127"/>
      <c r="S164" s="108"/>
      <c r="T164" s="108"/>
      <c r="U164" s="108"/>
      <c r="V164" s="108"/>
      <c r="W164" s="108"/>
      <c r="X164" s="108"/>
      <c r="Y164" s="108"/>
      <c r="Z164" s="108"/>
      <c r="AA164" s="108"/>
      <c r="AB164" s="108"/>
      <c r="AC164" s="108"/>
      <c r="AD164" s="108" t="s">
        <v>56</v>
      </c>
      <c r="AE164" s="183" t="s">
        <v>553</v>
      </c>
      <c r="AF164" s="108" t="s">
        <v>56</v>
      </c>
      <c r="AG164" s="108" t="s">
        <v>53</v>
      </c>
      <c r="AH164" s="108"/>
    </row>
    <row r="165" s="150" customFormat="1" ht="28" hidden="1" spans="1:34">
      <c r="A165" s="118">
        <v>54042520161948</v>
      </c>
      <c r="B165" s="108" t="s">
        <v>19</v>
      </c>
      <c r="C165" s="108" t="s">
        <v>20</v>
      </c>
      <c r="D165" s="108">
        <v>2016</v>
      </c>
      <c r="E165" s="246" t="s">
        <v>642</v>
      </c>
      <c r="F165" s="110" t="s">
        <v>643</v>
      </c>
      <c r="G165" s="108" t="s">
        <v>20</v>
      </c>
      <c r="H165" s="110" t="s">
        <v>1282</v>
      </c>
      <c r="I165" s="180">
        <f t="shared" si="10"/>
        <v>450</v>
      </c>
      <c r="J165" s="185">
        <v>450</v>
      </c>
      <c r="K165" s="185">
        <v>0</v>
      </c>
      <c r="L165" s="180">
        <f t="shared" si="11"/>
        <v>450</v>
      </c>
      <c r="M165" s="185">
        <v>450</v>
      </c>
      <c r="N165" s="185">
        <v>0</v>
      </c>
      <c r="O165" s="108" t="s">
        <v>925</v>
      </c>
      <c r="P165" s="108" t="s">
        <v>944</v>
      </c>
      <c r="Q165" s="108" t="s">
        <v>922</v>
      </c>
      <c r="R165" s="127"/>
      <c r="S165" s="234"/>
      <c r="T165" s="234"/>
      <c r="U165" s="234"/>
      <c r="V165" s="234"/>
      <c r="W165" s="234"/>
      <c r="X165" s="234"/>
      <c r="Y165" s="234"/>
      <c r="Z165" s="234"/>
      <c r="AA165" s="234"/>
      <c r="AB165" s="234"/>
      <c r="AC165" s="234"/>
      <c r="AD165" s="108" t="s">
        <v>56</v>
      </c>
      <c r="AE165" s="183" t="s">
        <v>358</v>
      </c>
      <c r="AF165" s="108" t="s">
        <v>56</v>
      </c>
      <c r="AG165" s="108" t="s">
        <v>53</v>
      </c>
      <c r="AH165" s="108"/>
    </row>
    <row r="166" s="150" customFormat="1" hidden="1" spans="1:34">
      <c r="A166" s="118">
        <v>540425201720002</v>
      </c>
      <c r="B166" s="108" t="s">
        <v>19</v>
      </c>
      <c r="C166" s="108" t="s">
        <v>20</v>
      </c>
      <c r="D166" s="108">
        <v>2017</v>
      </c>
      <c r="E166" s="246" t="s">
        <v>697</v>
      </c>
      <c r="F166" s="108" t="s">
        <v>124</v>
      </c>
      <c r="G166" s="108" t="s">
        <v>918</v>
      </c>
      <c r="H166" s="110" t="s">
        <v>1283</v>
      </c>
      <c r="I166" s="180">
        <f t="shared" si="10"/>
        <v>298.52</v>
      </c>
      <c r="J166" s="185">
        <v>298.52</v>
      </c>
      <c r="K166" s="185">
        <v>0</v>
      </c>
      <c r="L166" s="180">
        <f t="shared" si="11"/>
        <v>298.52</v>
      </c>
      <c r="M166" s="185">
        <v>298.52</v>
      </c>
      <c r="N166" s="185">
        <v>0</v>
      </c>
      <c r="O166" s="108" t="s">
        <v>937</v>
      </c>
      <c r="P166" s="108" t="s">
        <v>921</v>
      </c>
      <c r="Q166" s="108" t="s">
        <v>927</v>
      </c>
      <c r="R166" s="127"/>
      <c r="S166" s="234"/>
      <c r="T166" s="234"/>
      <c r="U166" s="234"/>
      <c r="V166" s="234"/>
      <c r="W166" s="234"/>
      <c r="X166" s="234"/>
      <c r="Y166" s="234"/>
      <c r="Z166" s="234"/>
      <c r="AA166" s="234"/>
      <c r="AB166" s="234"/>
      <c r="AC166" s="234"/>
      <c r="AD166" s="108" t="s">
        <v>56</v>
      </c>
      <c r="AE166" s="183" t="s">
        <v>604</v>
      </c>
      <c r="AF166" s="108" t="s">
        <v>53</v>
      </c>
      <c r="AG166" s="108" t="s">
        <v>53</v>
      </c>
      <c r="AH166" s="108"/>
    </row>
    <row r="167" s="150" customFormat="1" hidden="1" spans="1:34">
      <c r="A167" s="118">
        <v>540425201720003</v>
      </c>
      <c r="B167" s="108" t="s">
        <v>19</v>
      </c>
      <c r="C167" s="108" t="s">
        <v>20</v>
      </c>
      <c r="D167" s="108">
        <v>2017</v>
      </c>
      <c r="E167" s="246" t="s">
        <v>699</v>
      </c>
      <c r="F167" s="108" t="s">
        <v>124</v>
      </c>
      <c r="G167" s="108" t="s">
        <v>1151</v>
      </c>
      <c r="H167" s="110" t="s">
        <v>1284</v>
      </c>
      <c r="I167" s="180">
        <f t="shared" si="10"/>
        <v>176.6</v>
      </c>
      <c r="J167" s="185">
        <v>176.6</v>
      </c>
      <c r="K167" s="185">
        <v>0</v>
      </c>
      <c r="L167" s="180">
        <f t="shared" si="11"/>
        <v>176.6</v>
      </c>
      <c r="M167" s="185">
        <v>176.6</v>
      </c>
      <c r="N167" s="185">
        <v>0</v>
      </c>
      <c r="O167" s="108" t="s">
        <v>937</v>
      </c>
      <c r="P167" s="108" t="s">
        <v>921</v>
      </c>
      <c r="Q167" s="108" t="s">
        <v>927</v>
      </c>
      <c r="R167" s="127"/>
      <c r="S167" s="234"/>
      <c r="T167" s="234"/>
      <c r="U167" s="234"/>
      <c r="V167" s="234"/>
      <c r="W167" s="234"/>
      <c r="X167" s="234"/>
      <c r="Y167" s="234"/>
      <c r="Z167" s="234"/>
      <c r="AA167" s="234"/>
      <c r="AB167" s="234"/>
      <c r="AC167" s="234"/>
      <c r="AD167" s="108" t="s">
        <v>56</v>
      </c>
      <c r="AE167" s="183" t="s">
        <v>698</v>
      </c>
      <c r="AF167" s="108" t="s">
        <v>53</v>
      </c>
      <c r="AG167" s="108" t="s">
        <v>53</v>
      </c>
      <c r="AH167" s="108"/>
    </row>
    <row r="168" s="150" customFormat="1" hidden="1" spans="1:34">
      <c r="A168" s="118">
        <v>540425201720004</v>
      </c>
      <c r="B168" s="108" t="s">
        <v>19</v>
      </c>
      <c r="C168" s="108" t="s">
        <v>20</v>
      </c>
      <c r="D168" s="108">
        <v>2017</v>
      </c>
      <c r="E168" s="246" t="s">
        <v>700</v>
      </c>
      <c r="F168" s="108" t="s">
        <v>124</v>
      </c>
      <c r="G168" s="108" t="s">
        <v>994</v>
      </c>
      <c r="H168" s="110" t="s">
        <v>1285</v>
      </c>
      <c r="I168" s="180">
        <f t="shared" si="10"/>
        <v>61.5242105263158</v>
      </c>
      <c r="J168" s="185">
        <v>61.5242105263158</v>
      </c>
      <c r="K168" s="185">
        <v>0</v>
      </c>
      <c r="L168" s="180">
        <f t="shared" si="11"/>
        <v>61.5242105263158</v>
      </c>
      <c r="M168" s="185">
        <v>61.5242105263158</v>
      </c>
      <c r="N168" s="185">
        <v>0</v>
      </c>
      <c r="O168" s="108" t="s">
        <v>937</v>
      </c>
      <c r="P168" s="108" t="s">
        <v>921</v>
      </c>
      <c r="Q168" s="108" t="s">
        <v>927</v>
      </c>
      <c r="R168" s="127"/>
      <c r="S168" s="234"/>
      <c r="T168" s="234"/>
      <c r="U168" s="234"/>
      <c r="V168" s="234"/>
      <c r="W168" s="234"/>
      <c r="X168" s="234"/>
      <c r="Y168" s="234"/>
      <c r="Z168" s="234"/>
      <c r="AA168" s="234"/>
      <c r="AB168" s="234"/>
      <c r="AC168" s="234"/>
      <c r="AD168" s="108" t="s">
        <v>56</v>
      </c>
      <c r="AE168" s="183" t="s">
        <v>698</v>
      </c>
      <c r="AF168" s="108" t="s">
        <v>53</v>
      </c>
      <c r="AG168" s="108" t="s">
        <v>53</v>
      </c>
      <c r="AH168" s="108"/>
    </row>
    <row r="169" s="150" customFormat="1" hidden="1" spans="1:34">
      <c r="A169" s="118">
        <v>540425201720005</v>
      </c>
      <c r="B169" s="108" t="s">
        <v>19</v>
      </c>
      <c r="C169" s="108" t="s">
        <v>20</v>
      </c>
      <c r="D169" s="108">
        <v>2017</v>
      </c>
      <c r="E169" s="246" t="s">
        <v>701</v>
      </c>
      <c r="F169" s="108" t="s">
        <v>124</v>
      </c>
      <c r="G169" s="108" t="s">
        <v>1286</v>
      </c>
      <c r="H169" s="110" t="s">
        <v>1287</v>
      </c>
      <c r="I169" s="180">
        <f t="shared" si="10"/>
        <v>21.2857894736842</v>
      </c>
      <c r="J169" s="185">
        <v>21.2857894736842</v>
      </c>
      <c r="K169" s="185">
        <v>0</v>
      </c>
      <c r="L169" s="180">
        <f t="shared" si="11"/>
        <v>21.2857894736842</v>
      </c>
      <c r="M169" s="185">
        <v>21.2857894736842</v>
      </c>
      <c r="N169" s="185">
        <v>0</v>
      </c>
      <c r="O169" s="108" t="s">
        <v>937</v>
      </c>
      <c r="P169" s="108" t="s">
        <v>921</v>
      </c>
      <c r="Q169" s="108" t="s">
        <v>927</v>
      </c>
      <c r="R169" s="127"/>
      <c r="S169" s="234"/>
      <c r="T169" s="234"/>
      <c r="U169" s="234"/>
      <c r="V169" s="234"/>
      <c r="W169" s="234"/>
      <c r="X169" s="234"/>
      <c r="Y169" s="234"/>
      <c r="Z169" s="234"/>
      <c r="AA169" s="234"/>
      <c r="AB169" s="234"/>
      <c r="AC169" s="234"/>
      <c r="AD169" s="108" t="s">
        <v>56</v>
      </c>
      <c r="AE169" s="183" t="s">
        <v>698</v>
      </c>
      <c r="AF169" s="108" t="s">
        <v>53</v>
      </c>
      <c r="AG169" s="108" t="s">
        <v>53</v>
      </c>
      <c r="AH169" s="108"/>
    </row>
    <row r="170" s="150" customFormat="1" hidden="1" spans="1:34">
      <c r="A170" s="118">
        <v>540425201720006</v>
      </c>
      <c r="B170" s="108" t="s">
        <v>19</v>
      </c>
      <c r="C170" s="108" t="s">
        <v>20</v>
      </c>
      <c r="D170" s="108">
        <v>2017</v>
      </c>
      <c r="E170" s="246" t="s">
        <v>702</v>
      </c>
      <c r="F170" s="108" t="s">
        <v>124</v>
      </c>
      <c r="G170" s="108" t="s">
        <v>1288</v>
      </c>
      <c r="H170" s="110" t="s">
        <v>1289</v>
      </c>
      <c r="I170" s="180">
        <f t="shared" si="10"/>
        <v>194.88</v>
      </c>
      <c r="J170" s="185">
        <v>194.88</v>
      </c>
      <c r="K170" s="185">
        <v>0</v>
      </c>
      <c r="L170" s="180">
        <f t="shared" si="11"/>
        <v>194.88</v>
      </c>
      <c r="M170" s="185">
        <v>194.88</v>
      </c>
      <c r="N170" s="185">
        <v>0</v>
      </c>
      <c r="O170" s="108" t="s">
        <v>937</v>
      </c>
      <c r="P170" s="108" t="s">
        <v>921</v>
      </c>
      <c r="Q170" s="108" t="s">
        <v>927</v>
      </c>
      <c r="R170" s="127"/>
      <c r="S170" s="234"/>
      <c r="T170" s="234"/>
      <c r="U170" s="234"/>
      <c r="V170" s="234"/>
      <c r="W170" s="234"/>
      <c r="X170" s="234"/>
      <c r="Y170" s="234"/>
      <c r="Z170" s="234"/>
      <c r="AA170" s="234"/>
      <c r="AB170" s="234"/>
      <c r="AC170" s="234"/>
      <c r="AD170" s="108" t="s">
        <v>56</v>
      </c>
      <c r="AE170" s="183" t="s">
        <v>698</v>
      </c>
      <c r="AF170" s="108" t="s">
        <v>53</v>
      </c>
      <c r="AG170" s="108" t="s">
        <v>53</v>
      </c>
      <c r="AH170" s="108"/>
    </row>
    <row r="171" s="150" customFormat="1" hidden="1" spans="1:34">
      <c r="A171" s="118">
        <v>540425201720007</v>
      </c>
      <c r="B171" s="108" t="s">
        <v>19</v>
      </c>
      <c r="C171" s="108" t="s">
        <v>20</v>
      </c>
      <c r="D171" s="108">
        <v>2017</v>
      </c>
      <c r="E171" s="246" t="s">
        <v>703</v>
      </c>
      <c r="F171" s="108" t="s">
        <v>124</v>
      </c>
      <c r="G171" s="108" t="s">
        <v>997</v>
      </c>
      <c r="H171" s="110" t="s">
        <v>1290</v>
      </c>
      <c r="I171" s="180">
        <f t="shared" si="10"/>
        <v>304.06</v>
      </c>
      <c r="J171" s="185">
        <v>304.06</v>
      </c>
      <c r="K171" s="185">
        <v>0</v>
      </c>
      <c r="L171" s="180">
        <f t="shared" si="11"/>
        <v>304.06</v>
      </c>
      <c r="M171" s="185">
        <v>304.06</v>
      </c>
      <c r="N171" s="185">
        <v>0</v>
      </c>
      <c r="O171" s="108" t="s">
        <v>937</v>
      </c>
      <c r="P171" s="108" t="s">
        <v>921</v>
      </c>
      <c r="Q171" s="108" t="s">
        <v>927</v>
      </c>
      <c r="R171" s="127"/>
      <c r="S171" s="234"/>
      <c r="T171" s="234"/>
      <c r="U171" s="234"/>
      <c r="V171" s="234"/>
      <c r="W171" s="234"/>
      <c r="X171" s="234"/>
      <c r="Y171" s="234"/>
      <c r="Z171" s="234"/>
      <c r="AA171" s="234"/>
      <c r="AB171" s="234"/>
      <c r="AC171" s="234"/>
      <c r="AD171" s="108" t="s">
        <v>56</v>
      </c>
      <c r="AE171" s="183" t="s">
        <v>698</v>
      </c>
      <c r="AF171" s="108" t="s">
        <v>53</v>
      </c>
      <c r="AG171" s="108" t="s">
        <v>53</v>
      </c>
      <c r="AH171" s="108"/>
    </row>
    <row r="172" s="150" customFormat="1" hidden="1" spans="1:34">
      <c r="A172" s="118">
        <v>540425201817007</v>
      </c>
      <c r="B172" s="110" t="s">
        <v>19</v>
      </c>
      <c r="C172" s="110" t="s">
        <v>20</v>
      </c>
      <c r="D172" s="110">
        <v>2018</v>
      </c>
      <c r="E172" s="179" t="s">
        <v>704</v>
      </c>
      <c r="F172" s="110" t="s">
        <v>124</v>
      </c>
      <c r="G172" s="110" t="s">
        <v>1288</v>
      </c>
      <c r="H172" s="110" t="s">
        <v>1291</v>
      </c>
      <c r="I172" s="180">
        <f t="shared" si="10"/>
        <v>53.75</v>
      </c>
      <c r="J172" s="180">
        <v>53.75</v>
      </c>
      <c r="K172" s="180">
        <v>0</v>
      </c>
      <c r="L172" s="180">
        <f t="shared" si="11"/>
        <v>53.75</v>
      </c>
      <c r="M172" s="180">
        <v>53.75</v>
      </c>
      <c r="N172" s="180">
        <v>0</v>
      </c>
      <c r="O172" s="110" t="s">
        <v>920</v>
      </c>
      <c r="P172" s="110" t="s">
        <v>926</v>
      </c>
      <c r="Q172" s="110" t="s">
        <v>927</v>
      </c>
      <c r="R172" s="182" t="s">
        <v>973</v>
      </c>
      <c r="S172" s="110" t="s">
        <v>53</v>
      </c>
      <c r="T172" s="110" t="s">
        <v>930</v>
      </c>
      <c r="U172" s="110" t="s">
        <v>1292</v>
      </c>
      <c r="V172" s="110"/>
      <c r="W172" s="108" t="s">
        <v>56</v>
      </c>
      <c r="X172" s="108"/>
      <c r="Y172" s="108"/>
      <c r="Z172" s="108"/>
      <c r="AA172" s="108"/>
      <c r="AB172" s="108" t="s">
        <v>933</v>
      </c>
      <c r="AC172" s="110"/>
      <c r="AD172" s="108" t="s">
        <v>56</v>
      </c>
      <c r="AE172" s="183" t="s">
        <v>162</v>
      </c>
      <c r="AF172" s="108" t="s">
        <v>53</v>
      </c>
      <c r="AG172" s="108" t="s">
        <v>53</v>
      </c>
      <c r="AH172" s="108"/>
    </row>
    <row r="173" s="153" customFormat="1" ht="56" hidden="1" spans="1:34">
      <c r="A173" s="213">
        <v>540425202219034</v>
      </c>
      <c r="B173" s="214" t="s">
        <v>19</v>
      </c>
      <c r="C173" s="214" t="s">
        <v>20</v>
      </c>
      <c r="D173" s="214">
        <v>2016</v>
      </c>
      <c r="E173" s="236" t="s">
        <v>721</v>
      </c>
      <c r="F173" s="214" t="s">
        <v>121</v>
      </c>
      <c r="G173" s="214" t="s">
        <v>984</v>
      </c>
      <c r="H173" s="214" t="s">
        <v>1293</v>
      </c>
      <c r="I173" s="216">
        <f t="shared" si="10"/>
        <v>1375.76</v>
      </c>
      <c r="J173" s="216">
        <v>1375.76</v>
      </c>
      <c r="K173" s="216">
        <v>0</v>
      </c>
      <c r="L173" s="216">
        <f t="shared" si="11"/>
        <v>1282.832953</v>
      </c>
      <c r="M173" s="216">
        <v>1282.832953</v>
      </c>
      <c r="N173" s="216">
        <v>0</v>
      </c>
      <c r="O173" s="214" t="s">
        <v>920</v>
      </c>
      <c r="P173" s="214" t="s">
        <v>972</v>
      </c>
      <c r="Q173" s="214" t="s">
        <v>973</v>
      </c>
      <c r="R173" s="220" t="s">
        <v>973</v>
      </c>
      <c r="S173" s="214" t="s">
        <v>53</v>
      </c>
      <c r="T173" s="214" t="s">
        <v>974</v>
      </c>
      <c r="U173" s="214"/>
      <c r="V173" s="214"/>
      <c r="W173" s="219"/>
      <c r="X173" s="219"/>
      <c r="Y173" s="219"/>
      <c r="Z173" s="219"/>
      <c r="AA173" s="219"/>
      <c r="AB173" s="219"/>
      <c r="AC173" s="214"/>
      <c r="AD173" s="219" t="s">
        <v>53</v>
      </c>
      <c r="AE173" s="221" t="s">
        <v>65</v>
      </c>
      <c r="AF173" s="108" t="s">
        <v>56</v>
      </c>
      <c r="AG173" s="108" t="s">
        <v>955</v>
      </c>
      <c r="AH173" s="108"/>
    </row>
    <row r="174" s="153" customFormat="1" ht="28" hidden="1" spans="1:34">
      <c r="A174" s="213">
        <v>540425202219055</v>
      </c>
      <c r="B174" s="214" t="s">
        <v>19</v>
      </c>
      <c r="C174" s="214" t="s">
        <v>20</v>
      </c>
      <c r="D174" s="214">
        <v>2016</v>
      </c>
      <c r="E174" s="229" t="s">
        <v>722</v>
      </c>
      <c r="F174" s="214" t="s">
        <v>121</v>
      </c>
      <c r="G174" s="214" t="s">
        <v>984</v>
      </c>
      <c r="H174" s="214" t="s">
        <v>1294</v>
      </c>
      <c r="I174" s="216">
        <f t="shared" si="10"/>
        <v>803.15</v>
      </c>
      <c r="J174" s="216">
        <v>803.15</v>
      </c>
      <c r="K174" s="216"/>
      <c r="L174" s="216">
        <f t="shared" si="11"/>
        <v>755.204967</v>
      </c>
      <c r="M174" s="216">
        <f>7552049.67/10000</f>
        <v>755.204967</v>
      </c>
      <c r="N174" s="214"/>
      <c r="O174" s="214" t="s">
        <v>920</v>
      </c>
      <c r="P174" s="214" t="s">
        <v>972</v>
      </c>
      <c r="Q174" s="214" t="s">
        <v>973</v>
      </c>
      <c r="R174" s="220" t="s">
        <v>973</v>
      </c>
      <c r="S174" s="214" t="s">
        <v>53</v>
      </c>
      <c r="T174" s="214" t="s">
        <v>974</v>
      </c>
      <c r="U174" s="214"/>
      <c r="V174" s="214"/>
      <c r="W174" s="219"/>
      <c r="X174" s="219"/>
      <c r="Y174" s="219"/>
      <c r="Z174" s="219"/>
      <c r="AA174" s="219"/>
      <c r="AB174" s="219"/>
      <c r="AC174" s="214"/>
      <c r="AD174" s="219" t="s">
        <v>53</v>
      </c>
      <c r="AE174" s="221" t="s">
        <v>54</v>
      </c>
      <c r="AF174" s="108" t="s">
        <v>56</v>
      </c>
      <c r="AG174" s="108" t="s">
        <v>955</v>
      </c>
      <c r="AH174" s="108"/>
    </row>
    <row r="175" s="153" customFormat="1" ht="42" hidden="1" spans="1:34">
      <c r="A175" s="213">
        <v>540425202119032</v>
      </c>
      <c r="B175" s="219" t="s">
        <v>19</v>
      </c>
      <c r="C175" s="219" t="s">
        <v>20</v>
      </c>
      <c r="D175" s="219">
        <v>2017</v>
      </c>
      <c r="E175" s="251" t="s">
        <v>724</v>
      </c>
      <c r="F175" s="219" t="s">
        <v>131</v>
      </c>
      <c r="G175" s="219" t="s">
        <v>1295</v>
      </c>
      <c r="H175" s="214" t="s">
        <v>1296</v>
      </c>
      <c r="I175" s="216">
        <f t="shared" si="10"/>
        <v>105.04</v>
      </c>
      <c r="J175" s="217">
        <v>105.04</v>
      </c>
      <c r="K175" s="217"/>
      <c r="L175" s="216">
        <f t="shared" si="11"/>
        <v>105.0427</v>
      </c>
      <c r="M175" s="252">
        <f>1050427/10000</f>
        <v>105.0427</v>
      </c>
      <c r="N175" s="219"/>
      <c r="O175" s="219" t="s">
        <v>937</v>
      </c>
      <c r="P175" s="219" t="s">
        <v>944</v>
      </c>
      <c r="Q175" s="219" t="s">
        <v>922</v>
      </c>
      <c r="R175" s="238"/>
      <c r="S175" s="219"/>
      <c r="T175" s="219"/>
      <c r="U175" s="219"/>
      <c r="V175" s="219"/>
      <c r="W175" s="219"/>
      <c r="X175" s="219"/>
      <c r="Y175" s="219"/>
      <c r="Z175" s="219"/>
      <c r="AA175" s="219"/>
      <c r="AB175" s="219"/>
      <c r="AC175" s="219"/>
      <c r="AD175" s="219" t="s">
        <v>53</v>
      </c>
      <c r="AE175" s="153" t="s">
        <v>725</v>
      </c>
      <c r="AF175" s="108" t="s">
        <v>56</v>
      </c>
      <c r="AG175" s="108" t="s">
        <v>955</v>
      </c>
      <c r="AH175" s="108"/>
    </row>
    <row r="176" s="153" customFormat="1" ht="168" hidden="1" spans="1:34">
      <c r="A176" s="213">
        <v>540425202219045</v>
      </c>
      <c r="B176" s="214" t="s">
        <v>19</v>
      </c>
      <c r="C176" s="214" t="s">
        <v>20</v>
      </c>
      <c r="D176" s="214">
        <v>2017</v>
      </c>
      <c r="E176" s="229" t="s">
        <v>726</v>
      </c>
      <c r="F176" s="214" t="s">
        <v>121</v>
      </c>
      <c r="G176" s="214" t="s">
        <v>1297</v>
      </c>
      <c r="H176" s="214" t="s">
        <v>1298</v>
      </c>
      <c r="I176" s="216">
        <f t="shared" si="10"/>
        <v>7800</v>
      </c>
      <c r="J176" s="253">
        <v>7800</v>
      </c>
      <c r="K176" s="253"/>
      <c r="L176" s="216">
        <f t="shared" si="11"/>
        <v>7800</v>
      </c>
      <c r="M176" s="253">
        <v>7800</v>
      </c>
      <c r="N176" s="214"/>
      <c r="O176" s="214" t="s">
        <v>920</v>
      </c>
      <c r="P176" s="214" t="s">
        <v>972</v>
      </c>
      <c r="Q176" s="214" t="s">
        <v>973</v>
      </c>
      <c r="R176" s="220" t="s">
        <v>973</v>
      </c>
      <c r="S176" s="214" t="s">
        <v>53</v>
      </c>
      <c r="T176" s="214" t="s">
        <v>974</v>
      </c>
      <c r="U176" s="214"/>
      <c r="V176" s="214"/>
      <c r="W176" s="219"/>
      <c r="X176" s="219"/>
      <c r="Y176" s="219"/>
      <c r="Z176" s="219"/>
      <c r="AA176" s="219"/>
      <c r="AB176" s="219"/>
      <c r="AC176" s="214" t="s">
        <v>1299</v>
      </c>
      <c r="AD176" s="219" t="s">
        <v>53</v>
      </c>
      <c r="AE176" s="221" t="s">
        <v>54</v>
      </c>
      <c r="AF176" s="108" t="s">
        <v>56</v>
      </c>
      <c r="AG176" s="108" t="s">
        <v>955</v>
      </c>
      <c r="AH176" s="108"/>
    </row>
    <row r="177" s="150" customFormat="1" ht="42" hidden="1" spans="1:34">
      <c r="A177" s="118">
        <v>540425201912010</v>
      </c>
      <c r="B177" s="110" t="s">
        <v>19</v>
      </c>
      <c r="C177" s="110" t="s">
        <v>20</v>
      </c>
      <c r="D177" s="110">
        <v>2019</v>
      </c>
      <c r="E177" s="179" t="s">
        <v>727</v>
      </c>
      <c r="F177" s="110" t="s">
        <v>456</v>
      </c>
      <c r="G177" s="110" t="s">
        <v>1161</v>
      </c>
      <c r="H177" s="110" t="s">
        <v>1300</v>
      </c>
      <c r="I177" s="231">
        <f t="shared" si="10"/>
        <v>225.1</v>
      </c>
      <c r="J177" s="180">
        <v>225.1</v>
      </c>
      <c r="K177" s="180"/>
      <c r="L177" s="231">
        <f t="shared" si="11"/>
        <v>220.820373</v>
      </c>
      <c r="M177" s="180">
        <f>2208203.73/10000</f>
        <v>220.820373</v>
      </c>
      <c r="N177" s="110"/>
      <c r="O177" s="110" t="s">
        <v>920</v>
      </c>
      <c r="P177" s="110" t="s">
        <v>1024</v>
      </c>
      <c r="Q177" s="110" t="s">
        <v>927</v>
      </c>
      <c r="R177" s="182" t="s">
        <v>939</v>
      </c>
      <c r="S177" s="110" t="s">
        <v>53</v>
      </c>
      <c r="T177" s="110" t="s">
        <v>930</v>
      </c>
      <c r="U177" s="110" t="s">
        <v>980</v>
      </c>
      <c r="V177" s="110" t="s">
        <v>1106</v>
      </c>
      <c r="W177" s="108" t="s">
        <v>56</v>
      </c>
      <c r="X177" s="108"/>
      <c r="Y177" s="108"/>
      <c r="Z177" s="108"/>
      <c r="AA177" s="108"/>
      <c r="AB177" s="108"/>
      <c r="AC177" s="110"/>
      <c r="AD177" s="108" t="s">
        <v>56</v>
      </c>
      <c r="AE177" s="183" t="s">
        <v>162</v>
      </c>
      <c r="AF177" s="108" t="s">
        <v>56</v>
      </c>
      <c r="AG177" s="108" t="s">
        <v>53</v>
      </c>
      <c r="AH177" s="108"/>
    </row>
    <row r="178" ht="56" hidden="1" spans="1:34">
      <c r="A178" s="118">
        <v>540425201812031</v>
      </c>
      <c r="B178" s="110" t="s">
        <v>19</v>
      </c>
      <c r="C178" s="110" t="s">
        <v>20</v>
      </c>
      <c r="D178" s="110">
        <v>2020</v>
      </c>
      <c r="E178" s="179" t="s">
        <v>728</v>
      </c>
      <c r="F178" s="110" t="s">
        <v>131</v>
      </c>
      <c r="G178" s="110" t="s">
        <v>1301</v>
      </c>
      <c r="H178" s="110" t="s">
        <v>1302</v>
      </c>
      <c r="I178" s="231">
        <f t="shared" si="10"/>
        <v>896</v>
      </c>
      <c r="J178" s="180">
        <v>896</v>
      </c>
      <c r="K178" s="180"/>
      <c r="L178" s="231">
        <f t="shared" si="11"/>
        <v>813.381396</v>
      </c>
      <c r="M178" s="180">
        <v>813.381396</v>
      </c>
      <c r="N178" s="110"/>
      <c r="O178" s="110" t="s">
        <v>920</v>
      </c>
      <c r="P178" s="110" t="s">
        <v>1024</v>
      </c>
      <c r="Q178" s="110" t="s">
        <v>927</v>
      </c>
      <c r="R178" s="182" t="s">
        <v>927</v>
      </c>
      <c r="S178" s="110" t="s">
        <v>56</v>
      </c>
      <c r="T178" s="110"/>
      <c r="U178" s="110"/>
      <c r="V178" s="110"/>
      <c r="W178" s="108"/>
      <c r="X178" s="108"/>
      <c r="Y178" s="108"/>
      <c r="Z178" s="108"/>
      <c r="AA178" s="108"/>
      <c r="AB178" s="108"/>
      <c r="AC178" s="110"/>
      <c r="AD178" s="69" t="s">
        <v>56</v>
      </c>
      <c r="AE178" s="169" t="s">
        <v>729</v>
      </c>
      <c r="AF178" s="108" t="s">
        <v>56</v>
      </c>
      <c r="AG178" s="108" t="s">
        <v>53</v>
      </c>
      <c r="AH178" s="108"/>
    </row>
    <row r="179" hidden="1" spans="1:34">
      <c r="A179" s="118">
        <v>540425201812032</v>
      </c>
      <c r="B179" s="108" t="s">
        <v>19</v>
      </c>
      <c r="C179" s="108" t="s">
        <v>20</v>
      </c>
      <c r="D179" s="108">
        <v>2022</v>
      </c>
      <c r="E179" s="246" t="s">
        <v>730</v>
      </c>
      <c r="F179" s="108" t="s">
        <v>216</v>
      </c>
      <c r="G179" s="108" t="s">
        <v>1303</v>
      </c>
      <c r="H179" s="110" t="s">
        <v>1304</v>
      </c>
      <c r="I179" s="231">
        <f t="shared" si="10"/>
        <v>298.35</v>
      </c>
      <c r="J179" s="185">
        <v>298.35</v>
      </c>
      <c r="K179" s="185"/>
      <c r="L179" s="231">
        <f t="shared" si="11"/>
        <v>298.35</v>
      </c>
      <c r="M179" s="185">
        <v>298.35</v>
      </c>
      <c r="N179" s="108"/>
      <c r="O179" s="108" t="s">
        <v>925</v>
      </c>
      <c r="P179" s="108" t="s">
        <v>1024</v>
      </c>
      <c r="Q179" s="108" t="s">
        <v>927</v>
      </c>
      <c r="R179" s="108"/>
      <c r="S179" s="108"/>
      <c r="T179" s="108"/>
      <c r="U179" s="108"/>
      <c r="V179" s="108" t="s">
        <v>1034</v>
      </c>
      <c r="W179" s="108"/>
      <c r="X179" s="108"/>
      <c r="Y179" s="108"/>
      <c r="Z179" s="108"/>
      <c r="AA179" s="108"/>
      <c r="AB179" s="108"/>
      <c r="AC179" s="108"/>
      <c r="AD179" s="69" t="s">
        <v>56</v>
      </c>
      <c r="AE179" s="169" t="s">
        <v>497</v>
      </c>
      <c r="AF179" s="108" t="s">
        <v>56</v>
      </c>
      <c r="AG179" s="108" t="s">
        <v>53</v>
      </c>
      <c r="AH179" s="108"/>
    </row>
    <row r="180" hidden="1" spans="1:34">
      <c r="A180" s="118">
        <v>540425201812035</v>
      </c>
      <c r="B180" s="108" t="s">
        <v>19</v>
      </c>
      <c r="C180" s="108" t="s">
        <v>20</v>
      </c>
      <c r="D180" s="108">
        <v>2020</v>
      </c>
      <c r="E180" s="246" t="s">
        <v>731</v>
      </c>
      <c r="F180" s="108" t="s">
        <v>216</v>
      </c>
      <c r="G180" s="108" t="s">
        <v>1305</v>
      </c>
      <c r="H180" s="110" t="s">
        <v>1306</v>
      </c>
      <c r="I180" s="231">
        <f t="shared" si="10"/>
        <v>2858.577</v>
      </c>
      <c r="J180" s="185">
        <v>2858.577</v>
      </c>
      <c r="K180" s="185"/>
      <c r="L180" s="231">
        <f t="shared" si="11"/>
        <v>2564.178154</v>
      </c>
      <c r="M180" s="185">
        <f>25641781.54/10000</f>
        <v>2564.178154</v>
      </c>
      <c r="N180" s="108"/>
      <c r="O180" s="108" t="s">
        <v>925</v>
      </c>
      <c r="P180" s="108" t="s">
        <v>1024</v>
      </c>
      <c r="Q180" s="108" t="s">
        <v>927</v>
      </c>
      <c r="R180" s="127"/>
      <c r="S180" s="108"/>
      <c r="T180" s="108"/>
      <c r="U180" s="108"/>
      <c r="V180" s="108"/>
      <c r="W180" s="108"/>
      <c r="X180" s="108"/>
      <c r="Y180" s="108"/>
      <c r="Z180" s="108"/>
      <c r="AA180" s="108"/>
      <c r="AB180" s="108"/>
      <c r="AC180" s="108"/>
      <c r="AD180" s="69" t="s">
        <v>56</v>
      </c>
      <c r="AE180" s="169" t="s">
        <v>732</v>
      </c>
      <c r="AF180" s="108" t="s">
        <v>56</v>
      </c>
      <c r="AG180" s="108" t="s">
        <v>53</v>
      </c>
      <c r="AH180" s="108"/>
    </row>
    <row r="181" s="156" customFormat="1" hidden="1" spans="1:34">
      <c r="A181" s="126">
        <v>540425201812036</v>
      </c>
      <c r="B181" s="127" t="s">
        <v>19</v>
      </c>
      <c r="C181" s="127" t="s">
        <v>20</v>
      </c>
      <c r="D181" s="127">
        <v>2020</v>
      </c>
      <c r="E181" s="128" t="s">
        <v>733</v>
      </c>
      <c r="F181" s="127" t="s">
        <v>216</v>
      </c>
      <c r="G181" s="127" t="s">
        <v>1307</v>
      </c>
      <c r="H181" s="182" t="s">
        <v>1308</v>
      </c>
      <c r="I181" s="129">
        <f t="shared" si="10"/>
        <v>5677.5288</v>
      </c>
      <c r="J181" s="254">
        <f>56775288/10000</f>
        <v>5677.5288</v>
      </c>
      <c r="K181" s="254"/>
      <c r="L181" s="129">
        <f t="shared" si="11"/>
        <v>5537.962509</v>
      </c>
      <c r="M181" s="254">
        <f>55379625.09/10000</f>
        <v>5537.962509</v>
      </c>
      <c r="N181" s="127"/>
      <c r="O181" s="127" t="s">
        <v>925</v>
      </c>
      <c r="P181" s="127" t="s">
        <v>1024</v>
      </c>
      <c r="Q181" s="127" t="s">
        <v>927</v>
      </c>
      <c r="R181" s="127"/>
      <c r="S181" s="127"/>
      <c r="T181" s="127"/>
      <c r="U181" s="127"/>
      <c r="V181" s="127"/>
      <c r="W181" s="127"/>
      <c r="X181" s="127"/>
      <c r="Y181" s="127"/>
      <c r="Z181" s="127"/>
      <c r="AA181" s="127"/>
      <c r="AB181" s="127"/>
      <c r="AC181" s="127"/>
      <c r="AD181" s="127" t="s">
        <v>56</v>
      </c>
      <c r="AE181" s="241" t="s">
        <v>732</v>
      </c>
      <c r="AF181" s="127" t="s">
        <v>56</v>
      </c>
      <c r="AG181" s="108" t="s">
        <v>53</v>
      </c>
      <c r="AH181" s="108"/>
    </row>
    <row r="182" s="150" customFormat="1" hidden="1" spans="1:34">
      <c r="A182" s="118">
        <v>540425201812037</v>
      </c>
      <c r="B182" s="110" t="s">
        <v>19</v>
      </c>
      <c r="C182" s="110" t="s">
        <v>20</v>
      </c>
      <c r="D182" s="110">
        <v>2020</v>
      </c>
      <c r="E182" s="179" t="s">
        <v>734</v>
      </c>
      <c r="F182" s="110" t="s">
        <v>131</v>
      </c>
      <c r="G182" s="110" t="s">
        <v>1309</v>
      </c>
      <c r="H182" s="110" t="s">
        <v>1310</v>
      </c>
      <c r="I182" s="180">
        <f t="shared" si="10"/>
        <v>210.95</v>
      </c>
      <c r="J182" s="180">
        <v>210.95</v>
      </c>
      <c r="K182" s="180"/>
      <c r="L182" s="180">
        <f t="shared" si="11"/>
        <v>210.8829941</v>
      </c>
      <c r="M182" s="180">
        <f>2108829.941/10000</f>
        <v>210.8829941</v>
      </c>
      <c r="N182" s="110"/>
      <c r="O182" s="110" t="s">
        <v>920</v>
      </c>
      <c r="P182" s="110" t="s">
        <v>1024</v>
      </c>
      <c r="Q182" s="110" t="s">
        <v>927</v>
      </c>
      <c r="R182" s="110" t="s">
        <v>927</v>
      </c>
      <c r="S182" s="110" t="s">
        <v>53</v>
      </c>
      <c r="T182" s="110" t="s">
        <v>930</v>
      </c>
      <c r="U182" s="110" t="s">
        <v>980</v>
      </c>
      <c r="V182" s="110"/>
      <c r="W182" s="108"/>
      <c r="X182" s="108"/>
      <c r="Y182" s="108"/>
      <c r="Z182" s="108"/>
      <c r="AA182" s="108"/>
      <c r="AB182" s="108"/>
      <c r="AC182" s="110"/>
      <c r="AD182" s="108" t="s">
        <v>56</v>
      </c>
      <c r="AE182" s="183" t="s">
        <v>239</v>
      </c>
      <c r="AF182" s="108" t="s">
        <v>56</v>
      </c>
      <c r="AG182" s="108" t="s">
        <v>53</v>
      </c>
      <c r="AH182" s="108"/>
    </row>
    <row r="183" hidden="1" spans="1:34">
      <c r="A183" s="118">
        <v>540425201812038</v>
      </c>
      <c r="B183" s="108" t="s">
        <v>19</v>
      </c>
      <c r="C183" s="108" t="s">
        <v>20</v>
      </c>
      <c r="D183" s="108">
        <v>2022</v>
      </c>
      <c r="E183" s="246" t="s">
        <v>735</v>
      </c>
      <c r="F183" s="108" t="s">
        <v>216</v>
      </c>
      <c r="G183" s="108" t="s">
        <v>1311</v>
      </c>
      <c r="H183" s="110" t="s">
        <v>1312</v>
      </c>
      <c r="I183" s="231">
        <f t="shared" si="10"/>
        <v>491.15</v>
      </c>
      <c r="J183" s="185">
        <v>491.15</v>
      </c>
      <c r="K183" s="185"/>
      <c r="L183" s="231">
        <f t="shared" si="11"/>
        <v>491.15</v>
      </c>
      <c r="M183" s="185">
        <v>491.15</v>
      </c>
      <c r="N183" s="108"/>
      <c r="O183" s="108" t="s">
        <v>925</v>
      </c>
      <c r="P183" s="108" t="s">
        <v>1024</v>
      </c>
      <c r="Q183" s="108" t="s">
        <v>927</v>
      </c>
      <c r="R183" s="127"/>
      <c r="S183" s="108"/>
      <c r="T183" s="108"/>
      <c r="U183" s="108"/>
      <c r="V183" s="108"/>
      <c r="W183" s="108"/>
      <c r="X183" s="108"/>
      <c r="Y183" s="108"/>
      <c r="Z183" s="108"/>
      <c r="AA183" s="108"/>
      <c r="AB183" s="108"/>
      <c r="AC183" s="108"/>
      <c r="AD183" s="69" t="s">
        <v>56</v>
      </c>
      <c r="AE183" s="169" t="s">
        <v>497</v>
      </c>
      <c r="AF183" s="108" t="s">
        <v>56</v>
      </c>
      <c r="AG183" s="108" t="s">
        <v>53</v>
      </c>
      <c r="AH183" s="108"/>
    </row>
    <row r="184" s="150" customFormat="1" ht="70" hidden="1" spans="1:34">
      <c r="A184" s="118">
        <v>540425201812039</v>
      </c>
      <c r="B184" s="110" t="s">
        <v>19</v>
      </c>
      <c r="C184" s="110" t="s">
        <v>20</v>
      </c>
      <c r="D184" s="110">
        <v>2020</v>
      </c>
      <c r="E184" s="179" t="s">
        <v>736</v>
      </c>
      <c r="F184" s="110" t="s">
        <v>131</v>
      </c>
      <c r="G184" s="110" t="s">
        <v>1140</v>
      </c>
      <c r="H184" s="110" t="s">
        <v>1313</v>
      </c>
      <c r="I184" s="180">
        <f t="shared" si="10"/>
        <v>1421.900617</v>
      </c>
      <c r="J184" s="180">
        <f>14219006.17/10000</f>
        <v>1421.900617</v>
      </c>
      <c r="K184" s="180"/>
      <c r="L184" s="180">
        <f t="shared" si="11"/>
        <v>1389.229304</v>
      </c>
      <c r="M184" s="180">
        <f>13892293.04/10000</f>
        <v>1389.229304</v>
      </c>
      <c r="N184" s="110"/>
      <c r="O184" s="110" t="s">
        <v>920</v>
      </c>
      <c r="P184" s="110" t="s">
        <v>1024</v>
      </c>
      <c r="Q184" s="110" t="s">
        <v>927</v>
      </c>
      <c r="R184" s="182" t="s">
        <v>927</v>
      </c>
      <c r="S184" s="187" t="s">
        <v>53</v>
      </c>
      <c r="T184" s="187" t="s">
        <v>930</v>
      </c>
      <c r="U184" s="187" t="s">
        <v>980</v>
      </c>
      <c r="V184" s="187" t="s">
        <v>1314</v>
      </c>
      <c r="W184" s="234"/>
      <c r="X184" s="234"/>
      <c r="Y184" s="234"/>
      <c r="Z184" s="234"/>
      <c r="AA184" s="234"/>
      <c r="AB184" s="234"/>
      <c r="AC184" s="187"/>
      <c r="AD184" s="108" t="s">
        <v>56</v>
      </c>
      <c r="AE184" s="183" t="s">
        <v>737</v>
      </c>
      <c r="AF184" s="108" t="s">
        <v>56</v>
      </c>
      <c r="AG184" s="108" t="s">
        <v>53</v>
      </c>
      <c r="AH184" s="108"/>
    </row>
    <row r="185" s="150" customFormat="1" ht="56" hidden="1" spans="1:34">
      <c r="A185" s="118">
        <v>540425201812040</v>
      </c>
      <c r="B185" s="110" t="s">
        <v>19</v>
      </c>
      <c r="C185" s="110" t="s">
        <v>20</v>
      </c>
      <c r="D185" s="110">
        <v>2022</v>
      </c>
      <c r="E185" s="179" t="s">
        <v>738</v>
      </c>
      <c r="F185" s="110" t="s">
        <v>131</v>
      </c>
      <c r="G185" s="110" t="s">
        <v>1315</v>
      </c>
      <c r="H185" s="110" t="s">
        <v>1316</v>
      </c>
      <c r="I185" s="180">
        <f t="shared" si="10"/>
        <v>774.19</v>
      </c>
      <c r="J185" s="180">
        <v>774.19</v>
      </c>
      <c r="K185" s="180"/>
      <c r="L185" s="180">
        <f t="shared" si="11"/>
        <v>719.604937</v>
      </c>
      <c r="M185" s="180">
        <f>7196049.37/10000</f>
        <v>719.604937</v>
      </c>
      <c r="N185" s="110"/>
      <c r="O185" s="110" t="s">
        <v>920</v>
      </c>
      <c r="P185" s="110" t="s">
        <v>1024</v>
      </c>
      <c r="Q185" s="110" t="s">
        <v>927</v>
      </c>
      <c r="R185" s="110" t="s">
        <v>927</v>
      </c>
      <c r="S185" s="187" t="s">
        <v>53</v>
      </c>
      <c r="T185" s="187" t="s">
        <v>974</v>
      </c>
      <c r="U185" s="187" t="s">
        <v>1063</v>
      </c>
      <c r="V185" s="187" t="s">
        <v>1317</v>
      </c>
      <c r="W185" s="234"/>
      <c r="X185" s="234"/>
      <c r="Y185" s="234"/>
      <c r="Z185" s="234"/>
      <c r="AA185" s="234"/>
      <c r="AB185" s="234"/>
      <c r="AC185" s="187"/>
      <c r="AD185" s="108" t="s">
        <v>56</v>
      </c>
      <c r="AE185" s="183" t="s">
        <v>131</v>
      </c>
      <c r="AF185" s="108" t="s">
        <v>56</v>
      </c>
      <c r="AG185" s="108" t="s">
        <v>53</v>
      </c>
      <c r="AH185" s="108"/>
    </row>
    <row r="186" s="156" customFormat="1" ht="42" spans="1:34">
      <c r="A186" s="126">
        <v>540425201812043</v>
      </c>
      <c r="B186" s="182" t="s">
        <v>19</v>
      </c>
      <c r="C186" s="182" t="s">
        <v>20</v>
      </c>
      <c r="D186" s="182">
        <v>2019</v>
      </c>
      <c r="E186" s="240" t="s">
        <v>739</v>
      </c>
      <c r="F186" s="182" t="s">
        <v>456</v>
      </c>
      <c r="G186" s="182" t="s">
        <v>1318</v>
      </c>
      <c r="H186" s="182" t="s">
        <v>1319</v>
      </c>
      <c r="I186" s="129">
        <f t="shared" ref="I186:I235" si="12">J186+K186</f>
        <v>339.47</v>
      </c>
      <c r="J186" s="129">
        <v>339.47</v>
      </c>
      <c r="K186" s="129"/>
      <c r="L186" s="129">
        <f t="shared" ref="L186:L234" si="13">M186+N186</f>
        <v>334.197568</v>
      </c>
      <c r="M186" s="129">
        <f>3341975.68/10000</f>
        <v>334.197568</v>
      </c>
      <c r="N186" s="182"/>
      <c r="O186" s="182" t="s">
        <v>920</v>
      </c>
      <c r="P186" s="182" t="s">
        <v>1024</v>
      </c>
      <c r="Q186" s="182" t="s">
        <v>927</v>
      </c>
      <c r="R186" s="182" t="s">
        <v>922</v>
      </c>
      <c r="S186" s="182" t="s">
        <v>56</v>
      </c>
      <c r="T186" s="182"/>
      <c r="U186" s="182"/>
      <c r="V186" s="182"/>
      <c r="W186" s="127"/>
      <c r="X186" s="127"/>
      <c r="Y186" s="127"/>
      <c r="Z186" s="127"/>
      <c r="AA186" s="127"/>
      <c r="AB186" s="127"/>
      <c r="AC186" s="182"/>
      <c r="AD186" s="127" t="s">
        <v>56</v>
      </c>
      <c r="AE186" s="241" t="s">
        <v>239</v>
      </c>
      <c r="AF186" s="127" t="s">
        <v>53</v>
      </c>
      <c r="AG186" s="108" t="s">
        <v>53</v>
      </c>
      <c r="AH186" s="108"/>
    </row>
    <row r="187" s="150" customFormat="1" ht="56" hidden="1" spans="1:34">
      <c r="A187" s="118">
        <v>540425201812044</v>
      </c>
      <c r="B187" s="110" t="s">
        <v>19</v>
      </c>
      <c r="C187" s="110" t="s">
        <v>20</v>
      </c>
      <c r="D187" s="110">
        <v>2019</v>
      </c>
      <c r="E187" s="179" t="s">
        <v>740</v>
      </c>
      <c r="F187" s="110" t="s">
        <v>456</v>
      </c>
      <c r="G187" s="110" t="s">
        <v>1318</v>
      </c>
      <c r="H187" s="110" t="s">
        <v>1320</v>
      </c>
      <c r="I187" s="180">
        <f t="shared" si="12"/>
        <v>668.75</v>
      </c>
      <c r="J187" s="180">
        <v>668.75</v>
      </c>
      <c r="K187" s="180"/>
      <c r="L187" s="180">
        <f t="shared" si="13"/>
        <v>653.718776</v>
      </c>
      <c r="M187" s="180">
        <v>653.718776</v>
      </c>
      <c r="N187" s="110"/>
      <c r="O187" s="110" t="s">
        <v>920</v>
      </c>
      <c r="P187" s="110" t="s">
        <v>1024</v>
      </c>
      <c r="Q187" s="110" t="s">
        <v>927</v>
      </c>
      <c r="R187" s="182" t="s">
        <v>939</v>
      </c>
      <c r="S187" s="110" t="s">
        <v>53</v>
      </c>
      <c r="T187" s="110" t="s">
        <v>974</v>
      </c>
      <c r="U187" s="110" t="s">
        <v>1063</v>
      </c>
      <c r="V187" s="110" t="s">
        <v>1321</v>
      </c>
      <c r="W187" s="108"/>
      <c r="X187" s="108"/>
      <c r="Y187" s="108"/>
      <c r="Z187" s="108"/>
      <c r="AA187" s="108"/>
      <c r="AB187" s="108"/>
      <c r="AC187" s="110"/>
      <c r="AD187" s="108" t="s">
        <v>56</v>
      </c>
      <c r="AE187" s="183" t="s">
        <v>239</v>
      </c>
      <c r="AF187" s="108" t="s">
        <v>56</v>
      </c>
      <c r="AG187" s="108" t="s">
        <v>53</v>
      </c>
      <c r="AH187" s="108"/>
    </row>
    <row r="188" ht="42" hidden="1" spans="1:34">
      <c r="A188" s="118">
        <v>540425201812045</v>
      </c>
      <c r="B188" s="110" t="s">
        <v>19</v>
      </c>
      <c r="C188" s="110" t="s">
        <v>20</v>
      </c>
      <c r="D188" s="110">
        <v>2022</v>
      </c>
      <c r="E188" s="179" t="s">
        <v>741</v>
      </c>
      <c r="F188" s="110" t="s">
        <v>131</v>
      </c>
      <c r="G188" s="110" t="s">
        <v>1322</v>
      </c>
      <c r="H188" s="110" t="s">
        <v>1323</v>
      </c>
      <c r="I188" s="231">
        <f t="shared" si="12"/>
        <v>390.74</v>
      </c>
      <c r="J188" s="180">
        <v>390.74</v>
      </c>
      <c r="K188" s="180"/>
      <c r="L188" s="231">
        <f t="shared" si="13"/>
        <v>385.626485</v>
      </c>
      <c r="M188" s="180">
        <f>385.626485*10000/10000</f>
        <v>385.626485</v>
      </c>
      <c r="N188" s="110"/>
      <c r="O188" s="110" t="s">
        <v>920</v>
      </c>
      <c r="P188" s="110" t="s">
        <v>1024</v>
      </c>
      <c r="Q188" s="110" t="s">
        <v>927</v>
      </c>
      <c r="R188" s="182" t="s">
        <v>927</v>
      </c>
      <c r="S188" s="110" t="s">
        <v>53</v>
      </c>
      <c r="T188" s="110" t="s">
        <v>974</v>
      </c>
      <c r="U188" s="110" t="s">
        <v>1063</v>
      </c>
      <c r="V188" s="110" t="s">
        <v>1324</v>
      </c>
      <c r="W188" s="108"/>
      <c r="X188" s="108"/>
      <c r="Y188" s="108"/>
      <c r="Z188" s="108"/>
      <c r="AA188" s="108"/>
      <c r="AB188" s="108"/>
      <c r="AC188" s="110"/>
      <c r="AD188" s="69" t="s">
        <v>56</v>
      </c>
      <c r="AE188" s="169" t="s">
        <v>742</v>
      </c>
      <c r="AF188" s="108" t="s">
        <v>56</v>
      </c>
      <c r="AG188" s="108" t="s">
        <v>53</v>
      </c>
      <c r="AH188" s="108"/>
    </row>
    <row r="189" s="150" customFormat="1" ht="56" hidden="1" spans="1:34">
      <c r="A189" s="118">
        <v>540425201812046</v>
      </c>
      <c r="B189" s="110" t="s">
        <v>19</v>
      </c>
      <c r="C189" s="110" t="s">
        <v>20</v>
      </c>
      <c r="D189" s="110">
        <v>2019</v>
      </c>
      <c r="E189" s="179" t="s">
        <v>745</v>
      </c>
      <c r="F189" s="110" t="s">
        <v>131</v>
      </c>
      <c r="G189" s="110" t="s">
        <v>969</v>
      </c>
      <c r="H189" s="110" t="s">
        <v>1325</v>
      </c>
      <c r="I189" s="180">
        <f t="shared" si="12"/>
        <v>1866</v>
      </c>
      <c r="J189" s="180">
        <v>1866</v>
      </c>
      <c r="K189" s="180"/>
      <c r="L189" s="180">
        <f t="shared" si="13"/>
        <v>1866</v>
      </c>
      <c r="M189" s="180">
        <v>1866</v>
      </c>
      <c r="N189" s="110"/>
      <c r="O189" s="110" t="s">
        <v>920</v>
      </c>
      <c r="P189" s="110" t="s">
        <v>1024</v>
      </c>
      <c r="Q189" s="110" t="s">
        <v>927</v>
      </c>
      <c r="R189" s="182" t="s">
        <v>939</v>
      </c>
      <c r="S189" s="110" t="s">
        <v>56</v>
      </c>
      <c r="T189" s="110"/>
      <c r="U189" s="110"/>
      <c r="V189" s="110"/>
      <c r="W189" s="108"/>
      <c r="X189" s="108"/>
      <c r="Y189" s="108"/>
      <c r="Z189" s="108"/>
      <c r="AA189" s="108"/>
      <c r="AB189" s="108"/>
      <c r="AC189" s="110"/>
      <c r="AD189" s="108" t="s">
        <v>56</v>
      </c>
      <c r="AE189" s="183" t="s">
        <v>239</v>
      </c>
      <c r="AF189" s="108" t="s">
        <v>56</v>
      </c>
      <c r="AG189" s="108" t="s">
        <v>53</v>
      </c>
      <c r="AH189" s="108"/>
    </row>
    <row r="190" s="150" customFormat="1" ht="42" hidden="1" spans="1:34">
      <c r="A190" s="118">
        <v>540425201812047</v>
      </c>
      <c r="B190" s="110" t="s">
        <v>19</v>
      </c>
      <c r="C190" s="110" t="s">
        <v>20</v>
      </c>
      <c r="D190" s="110">
        <v>2021</v>
      </c>
      <c r="E190" s="179" t="s">
        <v>747</v>
      </c>
      <c r="F190" s="110" t="s">
        <v>131</v>
      </c>
      <c r="G190" s="110" t="s">
        <v>1318</v>
      </c>
      <c r="H190" s="110" t="s">
        <v>1326</v>
      </c>
      <c r="I190" s="180">
        <f t="shared" si="12"/>
        <v>294</v>
      </c>
      <c r="J190" s="180">
        <v>294</v>
      </c>
      <c r="K190" s="180"/>
      <c r="L190" s="180">
        <f t="shared" si="13"/>
        <v>259.737267</v>
      </c>
      <c r="M190" s="180">
        <f>2597372.67/10000</f>
        <v>259.737267</v>
      </c>
      <c r="N190" s="110"/>
      <c r="O190" s="110" t="s">
        <v>920</v>
      </c>
      <c r="P190" s="110" t="s">
        <v>1024</v>
      </c>
      <c r="Q190" s="110" t="s">
        <v>927</v>
      </c>
      <c r="R190" s="182" t="s">
        <v>927</v>
      </c>
      <c r="S190" s="187" t="s">
        <v>53</v>
      </c>
      <c r="T190" s="187"/>
      <c r="U190" s="187"/>
      <c r="V190" s="187"/>
      <c r="W190" s="234"/>
      <c r="X190" s="234"/>
      <c r="Y190" s="234"/>
      <c r="Z190" s="234"/>
      <c r="AA190" s="234"/>
      <c r="AB190" s="234"/>
      <c r="AC190" s="187"/>
      <c r="AD190" s="108" t="s">
        <v>56</v>
      </c>
      <c r="AE190" s="183"/>
      <c r="AF190" s="108" t="s">
        <v>56</v>
      </c>
      <c r="AG190" s="108" t="s">
        <v>53</v>
      </c>
      <c r="AH190" s="108"/>
    </row>
    <row r="191" ht="42" hidden="1" spans="1:34">
      <c r="A191" s="118">
        <v>540425201812048</v>
      </c>
      <c r="B191" s="110" t="s">
        <v>19</v>
      </c>
      <c r="C191" s="110" t="s">
        <v>20</v>
      </c>
      <c r="D191" s="110">
        <v>2019</v>
      </c>
      <c r="E191" s="179" t="s">
        <v>748</v>
      </c>
      <c r="F191" s="110" t="s">
        <v>456</v>
      </c>
      <c r="G191" s="110" t="s">
        <v>1176</v>
      </c>
      <c r="H191" s="110" t="s">
        <v>1327</v>
      </c>
      <c r="I191" s="231">
        <f t="shared" si="12"/>
        <v>244.92</v>
      </c>
      <c r="J191" s="180">
        <v>244.92</v>
      </c>
      <c r="K191" s="180"/>
      <c r="L191" s="231">
        <f t="shared" si="13"/>
        <v>234.747448</v>
      </c>
      <c r="M191" s="180">
        <v>234.747448</v>
      </c>
      <c r="N191" s="110"/>
      <c r="O191" s="110" t="s">
        <v>920</v>
      </c>
      <c r="P191" s="110" t="s">
        <v>1024</v>
      </c>
      <c r="Q191" s="110" t="s">
        <v>927</v>
      </c>
      <c r="R191" s="182" t="s">
        <v>939</v>
      </c>
      <c r="S191" s="110" t="s">
        <v>53</v>
      </c>
      <c r="T191" s="110" t="s">
        <v>930</v>
      </c>
      <c r="U191" s="110" t="s">
        <v>980</v>
      </c>
      <c r="V191" s="110" t="s">
        <v>1034</v>
      </c>
      <c r="W191" s="108"/>
      <c r="X191" s="108"/>
      <c r="Y191" s="108"/>
      <c r="Z191" s="108"/>
      <c r="AA191" s="108"/>
      <c r="AB191" s="108"/>
      <c r="AC191" s="110"/>
      <c r="AD191" s="69" t="s">
        <v>56</v>
      </c>
      <c r="AE191" s="169" t="s">
        <v>749</v>
      </c>
      <c r="AF191" s="108" t="s">
        <v>56</v>
      </c>
      <c r="AG191" s="108" t="s">
        <v>53</v>
      </c>
      <c r="AH191" s="108"/>
    </row>
    <row r="192" ht="56" hidden="1" spans="1:34">
      <c r="A192" s="118">
        <v>540425201812049</v>
      </c>
      <c r="B192" s="110" t="s">
        <v>19</v>
      </c>
      <c r="C192" s="110" t="s">
        <v>20</v>
      </c>
      <c r="D192" s="110">
        <v>2019</v>
      </c>
      <c r="E192" s="179" t="s">
        <v>750</v>
      </c>
      <c r="F192" s="110" t="s">
        <v>131</v>
      </c>
      <c r="G192" s="110" t="s">
        <v>1328</v>
      </c>
      <c r="H192" s="110" t="s">
        <v>1329</v>
      </c>
      <c r="I192" s="231">
        <f t="shared" si="12"/>
        <v>1004</v>
      </c>
      <c r="J192" s="180">
        <v>1004</v>
      </c>
      <c r="K192" s="180"/>
      <c r="L192" s="231">
        <f t="shared" si="13"/>
        <v>921.038566</v>
      </c>
      <c r="M192" s="180">
        <f>9210385.66/10000</f>
        <v>921.038566</v>
      </c>
      <c r="N192" s="110"/>
      <c r="O192" s="110" t="s">
        <v>920</v>
      </c>
      <c r="P192" s="110" t="s">
        <v>1024</v>
      </c>
      <c r="Q192" s="110" t="s">
        <v>927</v>
      </c>
      <c r="R192" s="182" t="s">
        <v>973</v>
      </c>
      <c r="S192" s="110" t="s">
        <v>53</v>
      </c>
      <c r="T192" s="110" t="s">
        <v>930</v>
      </c>
      <c r="U192" s="110" t="s">
        <v>980</v>
      </c>
      <c r="V192" s="110" t="s">
        <v>1034</v>
      </c>
      <c r="W192" s="108"/>
      <c r="X192" s="108"/>
      <c r="Y192" s="108"/>
      <c r="Z192" s="108"/>
      <c r="AA192" s="108"/>
      <c r="AB192" s="108"/>
      <c r="AC192" s="110" t="s">
        <v>1031</v>
      </c>
      <c r="AD192" s="69" t="s">
        <v>56</v>
      </c>
      <c r="AE192" s="169" t="s">
        <v>553</v>
      </c>
      <c r="AF192" s="108" t="s">
        <v>56</v>
      </c>
      <c r="AG192" s="108" t="s">
        <v>53</v>
      </c>
      <c r="AH192" s="108"/>
    </row>
    <row r="193" s="150" customFormat="1" ht="70" hidden="1" spans="1:34">
      <c r="A193" s="118">
        <v>540425201812050</v>
      </c>
      <c r="B193" s="110" t="s">
        <v>19</v>
      </c>
      <c r="C193" s="110" t="s">
        <v>20</v>
      </c>
      <c r="D193" s="110">
        <v>2020</v>
      </c>
      <c r="E193" s="179" t="s">
        <v>751</v>
      </c>
      <c r="F193" s="110" t="s">
        <v>131</v>
      </c>
      <c r="G193" s="110" t="s">
        <v>948</v>
      </c>
      <c r="H193" s="110" t="s">
        <v>1330</v>
      </c>
      <c r="I193" s="180">
        <f t="shared" si="12"/>
        <v>800</v>
      </c>
      <c r="J193" s="180">
        <v>800</v>
      </c>
      <c r="K193" s="180"/>
      <c r="L193" s="180">
        <f t="shared" si="13"/>
        <v>788.362197</v>
      </c>
      <c r="M193" s="180">
        <v>788.362197</v>
      </c>
      <c r="N193" s="110"/>
      <c r="O193" s="110" t="s">
        <v>920</v>
      </c>
      <c r="P193" s="110" t="s">
        <v>1024</v>
      </c>
      <c r="Q193" s="110" t="s">
        <v>927</v>
      </c>
      <c r="R193" s="182" t="s">
        <v>927</v>
      </c>
      <c r="S193" s="110" t="s">
        <v>53</v>
      </c>
      <c r="T193" s="110" t="s">
        <v>930</v>
      </c>
      <c r="U193" s="110" t="s">
        <v>980</v>
      </c>
      <c r="V193" s="110" t="s">
        <v>1034</v>
      </c>
      <c r="W193" s="108"/>
      <c r="X193" s="108"/>
      <c r="Y193" s="108"/>
      <c r="Z193" s="108"/>
      <c r="AA193" s="108"/>
      <c r="AB193" s="108"/>
      <c r="AC193" s="110"/>
      <c r="AD193" s="108" t="s">
        <v>56</v>
      </c>
      <c r="AE193" s="183" t="s">
        <v>239</v>
      </c>
      <c r="AF193" s="108" t="s">
        <v>56</v>
      </c>
      <c r="AG193" s="108" t="s">
        <v>53</v>
      </c>
      <c r="AH193" s="108"/>
    </row>
    <row r="194" ht="42" hidden="1" spans="1:34">
      <c r="A194" s="118">
        <v>540425201812051</v>
      </c>
      <c r="B194" s="110" t="s">
        <v>19</v>
      </c>
      <c r="C194" s="110" t="s">
        <v>20</v>
      </c>
      <c r="D194" s="110">
        <v>2021</v>
      </c>
      <c r="E194" s="179" t="s">
        <v>752</v>
      </c>
      <c r="F194" s="110" t="s">
        <v>131</v>
      </c>
      <c r="G194" s="110" t="s">
        <v>1331</v>
      </c>
      <c r="H194" s="110" t="s">
        <v>1332</v>
      </c>
      <c r="I194" s="231">
        <f t="shared" si="12"/>
        <v>300</v>
      </c>
      <c r="J194" s="180">
        <v>300</v>
      </c>
      <c r="K194" s="180"/>
      <c r="L194" s="231">
        <f t="shared" si="13"/>
        <v>280.297741</v>
      </c>
      <c r="M194" s="180">
        <v>280.297741</v>
      </c>
      <c r="N194" s="110"/>
      <c r="O194" s="110" t="s">
        <v>920</v>
      </c>
      <c r="P194" s="110" t="s">
        <v>1024</v>
      </c>
      <c r="Q194" s="110" t="s">
        <v>927</v>
      </c>
      <c r="R194" s="182" t="s">
        <v>927</v>
      </c>
      <c r="S194" s="110" t="s">
        <v>53</v>
      </c>
      <c r="T194" s="110" t="s">
        <v>930</v>
      </c>
      <c r="U194" s="110" t="s">
        <v>980</v>
      </c>
      <c r="V194" s="110" t="s">
        <v>1333</v>
      </c>
      <c r="W194" s="108"/>
      <c r="X194" s="108"/>
      <c r="Y194" s="108"/>
      <c r="Z194" s="108"/>
      <c r="AA194" s="108"/>
      <c r="AB194" s="108"/>
      <c r="AC194" s="110"/>
      <c r="AD194" s="69" t="s">
        <v>56</v>
      </c>
      <c r="AE194" s="169" t="s">
        <v>729</v>
      </c>
      <c r="AF194" s="108" t="s">
        <v>56</v>
      </c>
      <c r="AG194" s="108" t="s">
        <v>53</v>
      </c>
      <c r="AH194" s="108"/>
    </row>
    <row r="195" s="150" customFormat="1" ht="56" hidden="1" spans="1:34">
      <c r="A195" s="118">
        <v>540425201812052</v>
      </c>
      <c r="B195" s="110" t="s">
        <v>19</v>
      </c>
      <c r="C195" s="110" t="s">
        <v>20</v>
      </c>
      <c r="D195" s="110">
        <v>2018</v>
      </c>
      <c r="E195" s="179" t="s">
        <v>753</v>
      </c>
      <c r="F195" s="110" t="s">
        <v>240</v>
      </c>
      <c r="G195" s="110" t="s">
        <v>1264</v>
      </c>
      <c r="H195" s="110" t="s">
        <v>1334</v>
      </c>
      <c r="I195" s="180">
        <f t="shared" si="12"/>
        <v>169.98</v>
      </c>
      <c r="J195" s="180">
        <v>169.98</v>
      </c>
      <c r="K195" s="180"/>
      <c r="L195" s="180">
        <f t="shared" si="13"/>
        <v>160.764874</v>
      </c>
      <c r="M195" s="180">
        <v>160.764874</v>
      </c>
      <c r="N195" s="110"/>
      <c r="O195" s="110" t="s">
        <v>920</v>
      </c>
      <c r="P195" s="110" t="s">
        <v>1024</v>
      </c>
      <c r="Q195" s="110" t="s">
        <v>927</v>
      </c>
      <c r="R195" s="182" t="s">
        <v>927</v>
      </c>
      <c r="S195" s="110" t="s">
        <v>56</v>
      </c>
      <c r="T195" s="110"/>
      <c r="U195" s="110"/>
      <c r="V195" s="110"/>
      <c r="W195" s="108"/>
      <c r="X195" s="108"/>
      <c r="Y195" s="108"/>
      <c r="Z195" s="108"/>
      <c r="AA195" s="108"/>
      <c r="AB195" s="108"/>
      <c r="AC195" s="110"/>
      <c r="AD195" s="108" t="s">
        <v>56</v>
      </c>
      <c r="AE195" s="183" t="s">
        <v>239</v>
      </c>
      <c r="AF195" s="108"/>
      <c r="AG195" s="108" t="s">
        <v>53</v>
      </c>
      <c r="AH195" s="108"/>
    </row>
    <row r="196" ht="56" hidden="1" spans="1:34">
      <c r="A196" s="118">
        <v>540425201812053</v>
      </c>
      <c r="B196" s="110" t="s">
        <v>19</v>
      </c>
      <c r="C196" s="110" t="s">
        <v>20</v>
      </c>
      <c r="D196" s="110">
        <v>2018</v>
      </c>
      <c r="E196" s="179" t="s">
        <v>754</v>
      </c>
      <c r="F196" s="110" t="s">
        <v>240</v>
      </c>
      <c r="G196" s="110" t="s">
        <v>1176</v>
      </c>
      <c r="H196" s="110" t="s">
        <v>1335</v>
      </c>
      <c r="I196" s="231">
        <f t="shared" si="12"/>
        <v>265.1</v>
      </c>
      <c r="J196" s="180">
        <v>265.1</v>
      </c>
      <c r="K196" s="180"/>
      <c r="L196" s="231">
        <f t="shared" si="13"/>
        <v>254.671851</v>
      </c>
      <c r="M196" s="180">
        <v>254.671851</v>
      </c>
      <c r="N196" s="110"/>
      <c r="O196" s="110" t="s">
        <v>920</v>
      </c>
      <c r="P196" s="110" t="s">
        <v>1024</v>
      </c>
      <c r="Q196" s="110" t="s">
        <v>927</v>
      </c>
      <c r="R196" s="182" t="s">
        <v>922</v>
      </c>
      <c r="S196" s="110" t="s">
        <v>56</v>
      </c>
      <c r="T196" s="110"/>
      <c r="U196" s="110"/>
      <c r="V196" s="110"/>
      <c r="W196" s="108"/>
      <c r="X196" s="108"/>
      <c r="Y196" s="108"/>
      <c r="Z196" s="108"/>
      <c r="AA196" s="108"/>
      <c r="AB196" s="108"/>
      <c r="AC196" s="110"/>
      <c r="AD196" s="69" t="s">
        <v>56</v>
      </c>
      <c r="AE196" s="169" t="s">
        <v>755</v>
      </c>
      <c r="AF196" s="108" t="s">
        <v>56</v>
      </c>
      <c r="AG196" s="108" t="s">
        <v>53</v>
      </c>
      <c r="AH196" s="108"/>
    </row>
    <row r="197" s="150" customFormat="1" ht="42" hidden="1" spans="1:34">
      <c r="A197" s="118">
        <v>540425201812054</v>
      </c>
      <c r="B197" s="110" t="s">
        <v>19</v>
      </c>
      <c r="C197" s="110" t="s">
        <v>20</v>
      </c>
      <c r="D197" s="110">
        <v>2022</v>
      </c>
      <c r="E197" s="179" t="s">
        <v>756</v>
      </c>
      <c r="F197" s="110" t="s">
        <v>131</v>
      </c>
      <c r="G197" s="110" t="s">
        <v>1336</v>
      </c>
      <c r="H197" s="110" t="s">
        <v>1337</v>
      </c>
      <c r="I197" s="180">
        <f t="shared" si="12"/>
        <v>300</v>
      </c>
      <c r="J197" s="180">
        <v>300</v>
      </c>
      <c r="K197" s="180"/>
      <c r="L197" s="180">
        <f t="shared" si="13"/>
        <v>300</v>
      </c>
      <c r="M197" s="180">
        <v>300</v>
      </c>
      <c r="N197" s="110"/>
      <c r="O197" s="110" t="s">
        <v>920</v>
      </c>
      <c r="P197" s="110" t="s">
        <v>1024</v>
      </c>
      <c r="Q197" s="110" t="s">
        <v>927</v>
      </c>
      <c r="R197" s="182" t="s">
        <v>927</v>
      </c>
      <c r="S197" s="110" t="s">
        <v>53</v>
      </c>
      <c r="T197" s="110"/>
      <c r="U197" s="110"/>
      <c r="V197" s="110"/>
      <c r="W197" s="108"/>
      <c r="X197" s="108"/>
      <c r="Y197" s="108"/>
      <c r="Z197" s="108"/>
      <c r="AA197" s="108"/>
      <c r="AB197" s="108"/>
      <c r="AC197" s="110"/>
      <c r="AD197" s="108" t="s">
        <v>56</v>
      </c>
      <c r="AE197" s="183" t="s">
        <v>239</v>
      </c>
      <c r="AF197" s="108" t="s">
        <v>56</v>
      </c>
      <c r="AG197" s="108" t="s">
        <v>53</v>
      </c>
      <c r="AH197" s="108"/>
    </row>
    <row r="198" s="156" customFormat="1" ht="28" hidden="1" spans="1:34">
      <c r="A198" s="126">
        <v>540425201812057</v>
      </c>
      <c r="B198" s="182" t="s">
        <v>19</v>
      </c>
      <c r="C198" s="182" t="s">
        <v>20</v>
      </c>
      <c r="D198" s="182">
        <v>2019</v>
      </c>
      <c r="E198" s="240" t="s">
        <v>757</v>
      </c>
      <c r="F198" s="182" t="s">
        <v>216</v>
      </c>
      <c r="G198" s="182" t="s">
        <v>1264</v>
      </c>
      <c r="H198" s="182" t="s">
        <v>1338</v>
      </c>
      <c r="I198" s="129">
        <f t="shared" si="12"/>
        <v>522</v>
      </c>
      <c r="J198" s="129">
        <v>522</v>
      </c>
      <c r="K198" s="129"/>
      <c r="L198" s="129">
        <f t="shared" si="13"/>
        <v>518.348114</v>
      </c>
      <c r="M198" s="129">
        <v>518.348114</v>
      </c>
      <c r="N198" s="182"/>
      <c r="O198" s="182" t="s">
        <v>920</v>
      </c>
      <c r="P198" s="182" t="s">
        <v>1024</v>
      </c>
      <c r="Q198" s="182" t="s">
        <v>927</v>
      </c>
      <c r="R198" s="182" t="s">
        <v>922</v>
      </c>
      <c r="S198" s="182" t="s">
        <v>53</v>
      </c>
      <c r="T198" s="182" t="s">
        <v>930</v>
      </c>
      <c r="U198" s="182" t="s">
        <v>980</v>
      </c>
      <c r="V198" s="182" t="s">
        <v>1034</v>
      </c>
      <c r="W198" s="127"/>
      <c r="X198" s="127"/>
      <c r="Y198" s="127"/>
      <c r="Z198" s="127"/>
      <c r="AA198" s="127"/>
      <c r="AB198" s="127"/>
      <c r="AC198" s="182"/>
      <c r="AD198" s="127" t="s">
        <v>56</v>
      </c>
      <c r="AE198" s="241" t="s">
        <v>758</v>
      </c>
      <c r="AF198" s="127" t="s">
        <v>56</v>
      </c>
      <c r="AG198" s="108" t="s">
        <v>53</v>
      </c>
      <c r="AH198" s="108" t="s">
        <v>53</v>
      </c>
    </row>
    <row r="199" s="156" customFormat="1" ht="28" hidden="1" spans="1:34">
      <c r="A199" s="126">
        <v>540425201812058</v>
      </c>
      <c r="B199" s="182" t="s">
        <v>19</v>
      </c>
      <c r="C199" s="182" t="s">
        <v>20</v>
      </c>
      <c r="D199" s="182">
        <v>2019</v>
      </c>
      <c r="E199" s="240" t="s">
        <v>759</v>
      </c>
      <c r="F199" s="182" t="s">
        <v>216</v>
      </c>
      <c r="G199" s="182" t="s">
        <v>1264</v>
      </c>
      <c r="H199" s="182" t="s">
        <v>1339</v>
      </c>
      <c r="I199" s="129">
        <f t="shared" si="12"/>
        <v>787</v>
      </c>
      <c r="J199" s="129">
        <v>787</v>
      </c>
      <c r="K199" s="129"/>
      <c r="L199" s="129">
        <f t="shared" si="13"/>
        <v>758.566162</v>
      </c>
      <c r="M199" s="129">
        <v>758.566162</v>
      </c>
      <c r="N199" s="182"/>
      <c r="O199" s="182" t="s">
        <v>920</v>
      </c>
      <c r="P199" s="182" t="s">
        <v>1024</v>
      </c>
      <c r="Q199" s="182" t="s">
        <v>927</v>
      </c>
      <c r="R199" s="182" t="s">
        <v>927</v>
      </c>
      <c r="S199" s="182" t="s">
        <v>53</v>
      </c>
      <c r="T199" s="182" t="s">
        <v>930</v>
      </c>
      <c r="U199" s="182" t="s">
        <v>980</v>
      </c>
      <c r="V199" s="182" t="s">
        <v>1034</v>
      </c>
      <c r="W199" s="127"/>
      <c r="X199" s="127"/>
      <c r="Y199" s="127"/>
      <c r="Z199" s="127"/>
      <c r="AA199" s="127"/>
      <c r="AB199" s="127"/>
      <c r="AC199" s="182"/>
      <c r="AD199" s="127" t="s">
        <v>56</v>
      </c>
      <c r="AE199" s="241" t="s">
        <v>758</v>
      </c>
      <c r="AF199" s="127" t="s">
        <v>56</v>
      </c>
      <c r="AG199" s="108" t="s">
        <v>53</v>
      </c>
      <c r="AH199" s="108"/>
    </row>
    <row r="200" s="154" customFormat="1" ht="28" hidden="1" spans="1:34">
      <c r="A200" s="126">
        <v>540425201812059</v>
      </c>
      <c r="B200" s="182" t="s">
        <v>19</v>
      </c>
      <c r="C200" s="182" t="s">
        <v>20</v>
      </c>
      <c r="D200" s="182">
        <v>2017</v>
      </c>
      <c r="E200" s="240" t="s">
        <v>772</v>
      </c>
      <c r="F200" s="182" t="s">
        <v>216</v>
      </c>
      <c r="G200" s="182" t="s">
        <v>1340</v>
      </c>
      <c r="H200" s="182" t="s">
        <v>1341</v>
      </c>
      <c r="I200" s="223">
        <f t="shared" si="12"/>
        <v>637</v>
      </c>
      <c r="J200" s="129">
        <v>637</v>
      </c>
      <c r="K200" s="129"/>
      <c r="L200" s="223">
        <f t="shared" si="13"/>
        <v>367.246444</v>
      </c>
      <c r="M200" s="129">
        <f>3672464.44/10000</f>
        <v>367.246444</v>
      </c>
      <c r="N200" s="182"/>
      <c r="O200" s="182" t="s">
        <v>920</v>
      </c>
      <c r="P200" s="182" t="s">
        <v>1024</v>
      </c>
      <c r="Q200" s="182" t="s">
        <v>927</v>
      </c>
      <c r="R200" s="182" t="s">
        <v>927</v>
      </c>
      <c r="S200" s="226" t="s">
        <v>56</v>
      </c>
      <c r="T200" s="226"/>
      <c r="U200" s="226"/>
      <c r="V200" s="226"/>
      <c r="W200" s="146"/>
      <c r="X200" s="146"/>
      <c r="Y200" s="146"/>
      <c r="Z200" s="146"/>
      <c r="AA200" s="146"/>
      <c r="AB200" s="146"/>
      <c r="AC200" s="226"/>
      <c r="AD200" s="134" t="s">
        <v>56</v>
      </c>
      <c r="AE200" s="227" t="s">
        <v>167</v>
      </c>
      <c r="AF200" s="127" t="s">
        <v>56</v>
      </c>
      <c r="AG200" s="127" t="s">
        <v>53</v>
      </c>
      <c r="AH200" s="127"/>
    </row>
    <row r="201" s="150" customFormat="1" ht="28" hidden="1" spans="1:34">
      <c r="A201" s="118">
        <v>540425201812060</v>
      </c>
      <c r="B201" s="110" t="s">
        <v>19</v>
      </c>
      <c r="C201" s="110" t="s">
        <v>20</v>
      </c>
      <c r="D201" s="110">
        <v>2019</v>
      </c>
      <c r="E201" s="179" t="s">
        <v>773</v>
      </c>
      <c r="F201" s="110" t="s">
        <v>216</v>
      </c>
      <c r="G201" s="110" t="s">
        <v>1342</v>
      </c>
      <c r="H201" s="110" t="s">
        <v>1343</v>
      </c>
      <c r="I201" s="180">
        <f t="shared" si="12"/>
        <v>788.54844</v>
      </c>
      <c r="J201" s="180">
        <v>788.54844</v>
      </c>
      <c r="K201" s="180"/>
      <c r="L201" s="180">
        <f t="shared" si="13"/>
        <v>304.4</v>
      </c>
      <c r="M201" s="180">
        <f>附件2!AN528/10000</f>
        <v>304.4</v>
      </c>
      <c r="N201" s="110"/>
      <c r="O201" s="110" t="s">
        <v>920</v>
      </c>
      <c r="P201" s="110" t="s">
        <v>1024</v>
      </c>
      <c r="Q201" s="110" t="s">
        <v>927</v>
      </c>
      <c r="R201" s="182" t="s">
        <v>927</v>
      </c>
      <c r="S201" s="110" t="s">
        <v>53</v>
      </c>
      <c r="T201" s="110" t="s">
        <v>930</v>
      </c>
      <c r="U201" s="110" t="s">
        <v>980</v>
      </c>
      <c r="V201" s="110" t="s">
        <v>1344</v>
      </c>
      <c r="W201" s="108"/>
      <c r="X201" s="108"/>
      <c r="Y201" s="108"/>
      <c r="Z201" s="108"/>
      <c r="AA201" s="108"/>
      <c r="AB201" s="108"/>
      <c r="AC201" s="110"/>
      <c r="AD201" s="108" t="s">
        <v>56</v>
      </c>
      <c r="AE201" s="183" t="s">
        <v>774</v>
      </c>
      <c r="AF201" s="108" t="s">
        <v>56</v>
      </c>
      <c r="AG201" s="108" t="s">
        <v>53</v>
      </c>
      <c r="AH201" s="108"/>
    </row>
    <row r="202" s="150" customFormat="1" ht="28" hidden="1" spans="1:34">
      <c r="A202" s="118">
        <v>540425201812061</v>
      </c>
      <c r="B202" s="110" t="s">
        <v>19</v>
      </c>
      <c r="C202" s="110" t="s">
        <v>20</v>
      </c>
      <c r="D202" s="110">
        <v>2019</v>
      </c>
      <c r="E202" s="179" t="s">
        <v>775</v>
      </c>
      <c r="F202" s="110" t="s">
        <v>216</v>
      </c>
      <c r="G202" s="110" t="s">
        <v>1077</v>
      </c>
      <c r="H202" s="110" t="s">
        <v>1345</v>
      </c>
      <c r="I202" s="180">
        <f t="shared" si="12"/>
        <v>870.3254</v>
      </c>
      <c r="J202" s="180">
        <v>870.3254</v>
      </c>
      <c r="K202" s="180"/>
      <c r="L202" s="180">
        <f t="shared" si="13"/>
        <v>344.36</v>
      </c>
      <c r="M202" s="180">
        <v>344.36</v>
      </c>
      <c r="N202" s="110"/>
      <c r="O202" s="110" t="s">
        <v>920</v>
      </c>
      <c r="P202" s="110" t="s">
        <v>1024</v>
      </c>
      <c r="Q202" s="110" t="s">
        <v>927</v>
      </c>
      <c r="R202" s="182" t="s">
        <v>927</v>
      </c>
      <c r="S202" s="110" t="s">
        <v>53</v>
      </c>
      <c r="T202" s="110" t="s">
        <v>930</v>
      </c>
      <c r="U202" s="110" t="s">
        <v>980</v>
      </c>
      <c r="V202" s="110" t="s">
        <v>1333</v>
      </c>
      <c r="W202" s="108"/>
      <c r="X202" s="108"/>
      <c r="Y202" s="108"/>
      <c r="Z202" s="108"/>
      <c r="AA202" s="108"/>
      <c r="AB202" s="108"/>
      <c r="AC202" s="110"/>
      <c r="AD202" s="108" t="s">
        <v>56</v>
      </c>
      <c r="AE202" s="183" t="s">
        <v>774</v>
      </c>
      <c r="AF202" s="108"/>
      <c r="AG202" s="108" t="s">
        <v>53</v>
      </c>
      <c r="AH202" s="108"/>
    </row>
    <row r="203" s="150" customFormat="1" ht="28" hidden="1" spans="1:34">
      <c r="A203" s="118">
        <v>540425201812062</v>
      </c>
      <c r="B203" s="110" t="s">
        <v>19</v>
      </c>
      <c r="C203" s="110" t="s">
        <v>20</v>
      </c>
      <c r="D203" s="110">
        <v>2019</v>
      </c>
      <c r="E203" s="179" t="s">
        <v>776</v>
      </c>
      <c r="F203" s="110" t="s">
        <v>216</v>
      </c>
      <c r="G203" s="110" t="s">
        <v>1346</v>
      </c>
      <c r="H203" s="110" t="s">
        <v>1347</v>
      </c>
      <c r="I203" s="180">
        <f t="shared" si="12"/>
        <v>1674.45035</v>
      </c>
      <c r="J203" s="180">
        <v>1674.45035</v>
      </c>
      <c r="K203" s="180"/>
      <c r="L203" s="180">
        <f t="shared" si="13"/>
        <v>741.2</v>
      </c>
      <c r="M203" s="180">
        <v>741.2</v>
      </c>
      <c r="N203" s="110"/>
      <c r="O203" s="110" t="s">
        <v>920</v>
      </c>
      <c r="P203" s="110" t="s">
        <v>1024</v>
      </c>
      <c r="Q203" s="110" t="s">
        <v>927</v>
      </c>
      <c r="R203" s="182" t="s">
        <v>927</v>
      </c>
      <c r="S203" s="110" t="s">
        <v>53</v>
      </c>
      <c r="T203" s="110" t="s">
        <v>930</v>
      </c>
      <c r="U203" s="110" t="s">
        <v>980</v>
      </c>
      <c r="V203" s="110" t="s">
        <v>1344</v>
      </c>
      <c r="W203" s="108"/>
      <c r="X203" s="108"/>
      <c r="Y203" s="108"/>
      <c r="Z203" s="108"/>
      <c r="AA203" s="108"/>
      <c r="AB203" s="108"/>
      <c r="AC203" s="110"/>
      <c r="AD203" s="108" t="s">
        <v>56</v>
      </c>
      <c r="AE203" s="183" t="s">
        <v>774</v>
      </c>
      <c r="AF203" s="108"/>
      <c r="AG203" s="108" t="s">
        <v>53</v>
      </c>
      <c r="AH203" s="108"/>
    </row>
    <row r="204" s="150" customFormat="1" ht="28" hidden="1" spans="1:34">
      <c r="A204" s="118">
        <v>540425201812063</v>
      </c>
      <c r="B204" s="110" t="s">
        <v>19</v>
      </c>
      <c r="C204" s="110" t="s">
        <v>20</v>
      </c>
      <c r="D204" s="110">
        <v>2019</v>
      </c>
      <c r="E204" s="179" t="s">
        <v>777</v>
      </c>
      <c r="F204" s="110" t="s">
        <v>216</v>
      </c>
      <c r="G204" s="110" t="s">
        <v>1082</v>
      </c>
      <c r="H204" s="110" t="s">
        <v>1348</v>
      </c>
      <c r="I204" s="180">
        <f t="shared" si="12"/>
        <v>956.651018</v>
      </c>
      <c r="J204" s="180">
        <v>956.651018</v>
      </c>
      <c r="K204" s="180"/>
      <c r="L204" s="180">
        <f t="shared" si="13"/>
        <v>415.38</v>
      </c>
      <c r="M204" s="180">
        <v>415.38</v>
      </c>
      <c r="N204" s="110"/>
      <c r="O204" s="110" t="s">
        <v>920</v>
      </c>
      <c r="P204" s="110" t="s">
        <v>1024</v>
      </c>
      <c r="Q204" s="110" t="s">
        <v>927</v>
      </c>
      <c r="R204" s="182" t="s">
        <v>927</v>
      </c>
      <c r="S204" s="110" t="s">
        <v>53</v>
      </c>
      <c r="T204" s="110" t="s">
        <v>930</v>
      </c>
      <c r="U204" s="110" t="s">
        <v>980</v>
      </c>
      <c r="V204" s="110" t="s">
        <v>1344</v>
      </c>
      <c r="W204" s="108"/>
      <c r="X204" s="108"/>
      <c r="Y204" s="108"/>
      <c r="Z204" s="108"/>
      <c r="AA204" s="108"/>
      <c r="AB204" s="108"/>
      <c r="AC204" s="110"/>
      <c r="AD204" s="108" t="s">
        <v>56</v>
      </c>
      <c r="AE204" s="183" t="s">
        <v>774</v>
      </c>
      <c r="AF204" s="108" t="s">
        <v>56</v>
      </c>
      <c r="AG204" s="108" t="s">
        <v>53</v>
      </c>
      <c r="AH204" s="108"/>
    </row>
    <row r="205" s="150" customFormat="1" ht="28" hidden="1" spans="1:34">
      <c r="A205" s="118">
        <v>540425201812064</v>
      </c>
      <c r="B205" s="110" t="s">
        <v>19</v>
      </c>
      <c r="C205" s="110" t="s">
        <v>20</v>
      </c>
      <c r="D205" s="110">
        <v>2019</v>
      </c>
      <c r="E205" s="179" t="s">
        <v>778</v>
      </c>
      <c r="F205" s="110" t="s">
        <v>216</v>
      </c>
      <c r="G205" s="110" t="s">
        <v>1331</v>
      </c>
      <c r="H205" s="110" t="s">
        <v>1349</v>
      </c>
      <c r="I205" s="180">
        <f t="shared" si="12"/>
        <v>1012.084842</v>
      </c>
      <c r="J205" s="180">
        <v>1012.084842</v>
      </c>
      <c r="K205" s="180"/>
      <c r="L205" s="180">
        <f t="shared" si="13"/>
        <v>401.76</v>
      </c>
      <c r="M205" s="180">
        <v>401.76</v>
      </c>
      <c r="N205" s="110"/>
      <c r="O205" s="110" t="s">
        <v>920</v>
      </c>
      <c r="P205" s="110" t="s">
        <v>1024</v>
      </c>
      <c r="Q205" s="110" t="s">
        <v>927</v>
      </c>
      <c r="R205" s="182" t="s">
        <v>927</v>
      </c>
      <c r="S205" s="110" t="s">
        <v>53</v>
      </c>
      <c r="T205" s="110" t="s">
        <v>930</v>
      </c>
      <c r="U205" s="110" t="s">
        <v>980</v>
      </c>
      <c r="V205" s="110" t="s">
        <v>1333</v>
      </c>
      <c r="W205" s="108"/>
      <c r="X205" s="108"/>
      <c r="Y205" s="108"/>
      <c r="Z205" s="108"/>
      <c r="AA205" s="108"/>
      <c r="AB205" s="108"/>
      <c r="AC205" s="110"/>
      <c r="AD205" s="108" t="s">
        <v>56</v>
      </c>
      <c r="AE205" s="183" t="s">
        <v>774</v>
      </c>
      <c r="AF205" s="108"/>
      <c r="AG205" s="108" t="s">
        <v>53</v>
      </c>
      <c r="AH205" s="108"/>
    </row>
    <row r="206" s="150" customFormat="1" ht="28" hidden="1" spans="1:34">
      <c r="A206" s="118">
        <v>540425201812065</v>
      </c>
      <c r="B206" s="110" t="s">
        <v>19</v>
      </c>
      <c r="C206" s="110" t="s">
        <v>20</v>
      </c>
      <c r="D206" s="110">
        <v>2019</v>
      </c>
      <c r="E206" s="179" t="s">
        <v>779</v>
      </c>
      <c r="F206" s="110" t="s">
        <v>216</v>
      </c>
      <c r="G206" s="110" t="s">
        <v>1074</v>
      </c>
      <c r="H206" s="110" t="s">
        <v>1350</v>
      </c>
      <c r="I206" s="180">
        <f t="shared" si="12"/>
        <v>3875.50821</v>
      </c>
      <c r="J206" s="180">
        <v>3875.50821</v>
      </c>
      <c r="K206" s="180"/>
      <c r="L206" s="180">
        <f t="shared" si="13"/>
        <v>1638.24</v>
      </c>
      <c r="M206" s="180">
        <v>1638.24</v>
      </c>
      <c r="N206" s="110"/>
      <c r="O206" s="110" t="s">
        <v>920</v>
      </c>
      <c r="P206" s="110" t="s">
        <v>1024</v>
      </c>
      <c r="Q206" s="110" t="s">
        <v>927</v>
      </c>
      <c r="R206" s="182" t="s">
        <v>927</v>
      </c>
      <c r="S206" s="110" t="s">
        <v>53</v>
      </c>
      <c r="T206" s="110" t="s">
        <v>930</v>
      </c>
      <c r="U206" s="110" t="s">
        <v>980</v>
      </c>
      <c r="V206" s="110" t="s">
        <v>1333</v>
      </c>
      <c r="W206" s="108"/>
      <c r="X206" s="108"/>
      <c r="Y206" s="108"/>
      <c r="Z206" s="108"/>
      <c r="AA206" s="108"/>
      <c r="AB206" s="108"/>
      <c r="AC206" s="110"/>
      <c r="AD206" s="108" t="s">
        <v>56</v>
      </c>
      <c r="AE206" s="183" t="s">
        <v>774</v>
      </c>
      <c r="AF206" s="108" t="s">
        <v>56</v>
      </c>
      <c r="AG206" s="108" t="s">
        <v>53</v>
      </c>
      <c r="AH206" s="108"/>
    </row>
    <row r="207" s="156" customFormat="1" ht="28" hidden="1" spans="1:34">
      <c r="A207" s="126">
        <v>540425201812066</v>
      </c>
      <c r="B207" s="182" t="s">
        <v>19</v>
      </c>
      <c r="C207" s="182" t="s">
        <v>20</v>
      </c>
      <c r="D207" s="182">
        <v>2019</v>
      </c>
      <c r="E207" s="240" t="s">
        <v>780</v>
      </c>
      <c r="F207" s="182" t="s">
        <v>216</v>
      </c>
      <c r="G207" s="182" t="s">
        <v>1351</v>
      </c>
      <c r="H207" s="182" t="s">
        <v>1352</v>
      </c>
      <c r="I207" s="129">
        <f t="shared" si="12"/>
        <v>614.0174</v>
      </c>
      <c r="J207" s="129">
        <v>614.0174</v>
      </c>
      <c r="K207" s="129"/>
      <c r="L207" s="129">
        <f t="shared" si="13"/>
        <v>235.72</v>
      </c>
      <c r="M207" s="129">
        <v>235.72</v>
      </c>
      <c r="N207" s="182"/>
      <c r="O207" s="182" t="s">
        <v>920</v>
      </c>
      <c r="P207" s="182" t="s">
        <v>1024</v>
      </c>
      <c r="Q207" s="182" t="s">
        <v>927</v>
      </c>
      <c r="R207" s="182" t="s">
        <v>927</v>
      </c>
      <c r="S207" s="182" t="s">
        <v>53</v>
      </c>
      <c r="T207" s="182" t="s">
        <v>930</v>
      </c>
      <c r="U207" s="182" t="s">
        <v>980</v>
      </c>
      <c r="V207" s="182" t="s">
        <v>1333</v>
      </c>
      <c r="W207" s="127"/>
      <c r="X207" s="127"/>
      <c r="Y207" s="127"/>
      <c r="Z207" s="127"/>
      <c r="AA207" s="127"/>
      <c r="AB207" s="127"/>
      <c r="AC207" s="182"/>
      <c r="AD207" s="127" t="s">
        <v>56</v>
      </c>
      <c r="AE207" s="241" t="s">
        <v>774</v>
      </c>
      <c r="AF207" s="127" t="s">
        <v>56</v>
      </c>
      <c r="AG207" s="108" t="s">
        <v>53</v>
      </c>
      <c r="AH207" s="108"/>
    </row>
    <row r="208" s="150" customFormat="1" ht="28" hidden="1" spans="1:34">
      <c r="A208" s="118">
        <v>540425201812067</v>
      </c>
      <c r="B208" s="110" t="s">
        <v>19</v>
      </c>
      <c r="C208" s="110" t="s">
        <v>20</v>
      </c>
      <c r="D208" s="110">
        <v>2019</v>
      </c>
      <c r="E208" s="179" t="s">
        <v>781</v>
      </c>
      <c r="F208" s="110" t="s">
        <v>216</v>
      </c>
      <c r="G208" s="110" t="s">
        <v>1353</v>
      </c>
      <c r="H208" s="110" t="s">
        <v>1354</v>
      </c>
      <c r="I208" s="180">
        <f t="shared" si="12"/>
        <v>839.74</v>
      </c>
      <c r="J208" s="180">
        <v>839.74</v>
      </c>
      <c r="K208" s="180"/>
      <c r="L208" s="180">
        <f t="shared" si="13"/>
        <v>541.3906</v>
      </c>
      <c r="M208" s="180">
        <f>5413906/10000</f>
        <v>541.3906</v>
      </c>
      <c r="N208" s="110"/>
      <c r="O208" s="110" t="s">
        <v>920</v>
      </c>
      <c r="P208" s="110" t="s">
        <v>1024</v>
      </c>
      <c r="Q208" s="110" t="s">
        <v>927</v>
      </c>
      <c r="R208" s="182" t="s">
        <v>927</v>
      </c>
      <c r="S208" s="110" t="s">
        <v>53</v>
      </c>
      <c r="T208" s="110" t="s">
        <v>930</v>
      </c>
      <c r="U208" s="110" t="s">
        <v>980</v>
      </c>
      <c r="V208" s="110"/>
      <c r="W208" s="108"/>
      <c r="X208" s="108"/>
      <c r="Y208" s="108"/>
      <c r="Z208" s="108"/>
      <c r="AA208" s="108"/>
      <c r="AB208" s="108"/>
      <c r="AC208" s="110"/>
      <c r="AD208" s="108" t="s">
        <v>56</v>
      </c>
      <c r="AE208" s="183" t="s">
        <v>782</v>
      </c>
      <c r="AF208" s="108" t="s">
        <v>56</v>
      </c>
      <c r="AG208" s="108" t="s">
        <v>53</v>
      </c>
      <c r="AH208" s="108"/>
    </row>
    <row r="209" s="150" customFormat="1" ht="28" hidden="1" spans="1:34">
      <c r="A209" s="118">
        <v>540425201812068</v>
      </c>
      <c r="B209" s="110" t="s">
        <v>19</v>
      </c>
      <c r="C209" s="110" t="s">
        <v>20</v>
      </c>
      <c r="D209" s="110">
        <v>2019</v>
      </c>
      <c r="E209" s="179" t="s">
        <v>783</v>
      </c>
      <c r="F209" s="110" t="s">
        <v>216</v>
      </c>
      <c r="G209" s="110" t="s">
        <v>1355</v>
      </c>
      <c r="H209" s="110" t="s">
        <v>1356</v>
      </c>
      <c r="I209" s="180">
        <f t="shared" si="12"/>
        <v>791.20116</v>
      </c>
      <c r="J209" s="180">
        <v>791.20116</v>
      </c>
      <c r="K209" s="180"/>
      <c r="L209" s="180">
        <f t="shared" si="13"/>
        <v>520.027</v>
      </c>
      <c r="M209" s="180">
        <f>5200270/10000</f>
        <v>520.027</v>
      </c>
      <c r="N209" s="110"/>
      <c r="O209" s="110" t="s">
        <v>920</v>
      </c>
      <c r="P209" s="110" t="s">
        <v>1024</v>
      </c>
      <c r="Q209" s="110" t="s">
        <v>927</v>
      </c>
      <c r="R209" s="182" t="s">
        <v>927</v>
      </c>
      <c r="S209" s="110" t="s">
        <v>53</v>
      </c>
      <c r="T209" s="110" t="s">
        <v>930</v>
      </c>
      <c r="U209" s="110" t="s">
        <v>980</v>
      </c>
      <c r="V209" s="110" t="s">
        <v>1333</v>
      </c>
      <c r="W209" s="108"/>
      <c r="X209" s="108"/>
      <c r="Y209" s="108"/>
      <c r="Z209" s="108"/>
      <c r="AA209" s="108"/>
      <c r="AB209" s="108"/>
      <c r="AC209" s="110"/>
      <c r="AD209" s="108" t="s">
        <v>56</v>
      </c>
      <c r="AE209" s="183" t="s">
        <v>782</v>
      </c>
      <c r="AF209" s="108" t="s">
        <v>56</v>
      </c>
      <c r="AG209" s="108" t="s">
        <v>53</v>
      </c>
      <c r="AH209" s="108"/>
    </row>
    <row r="210" s="150" customFormat="1" ht="28" hidden="1" spans="1:34">
      <c r="A210" s="118">
        <v>540425201812069</v>
      </c>
      <c r="B210" s="110" t="s">
        <v>19</v>
      </c>
      <c r="C210" s="110" t="s">
        <v>20</v>
      </c>
      <c r="D210" s="110">
        <v>2019</v>
      </c>
      <c r="E210" s="179" t="s">
        <v>784</v>
      </c>
      <c r="F210" s="110" t="s">
        <v>216</v>
      </c>
      <c r="G210" s="110" t="s">
        <v>1357</v>
      </c>
      <c r="H210" s="110" t="s">
        <v>1358</v>
      </c>
      <c r="I210" s="180">
        <f t="shared" si="12"/>
        <v>624.029439</v>
      </c>
      <c r="J210" s="180">
        <v>624.029439</v>
      </c>
      <c r="K210" s="180"/>
      <c r="L210" s="180">
        <f t="shared" si="13"/>
        <v>404.0496</v>
      </c>
      <c r="M210" s="180">
        <f>4040496/10000</f>
        <v>404.0496</v>
      </c>
      <c r="N210" s="110"/>
      <c r="O210" s="110" t="s">
        <v>920</v>
      </c>
      <c r="P210" s="110" t="s">
        <v>1024</v>
      </c>
      <c r="Q210" s="110" t="s">
        <v>927</v>
      </c>
      <c r="R210" s="182" t="s">
        <v>927</v>
      </c>
      <c r="S210" s="110" t="s">
        <v>53</v>
      </c>
      <c r="T210" s="110" t="s">
        <v>930</v>
      </c>
      <c r="U210" s="110" t="s">
        <v>980</v>
      </c>
      <c r="V210" s="110" t="s">
        <v>1333</v>
      </c>
      <c r="W210" s="108"/>
      <c r="X210" s="108"/>
      <c r="Y210" s="108"/>
      <c r="Z210" s="108"/>
      <c r="AA210" s="108"/>
      <c r="AB210" s="108"/>
      <c r="AC210" s="110"/>
      <c r="AD210" s="108" t="s">
        <v>56</v>
      </c>
      <c r="AE210" s="183" t="s">
        <v>782</v>
      </c>
      <c r="AF210" s="108" t="s">
        <v>56</v>
      </c>
      <c r="AG210" s="108" t="s">
        <v>53</v>
      </c>
      <c r="AH210" s="108"/>
    </row>
    <row r="211" s="150" customFormat="1" ht="28" hidden="1" spans="1:34">
      <c r="A211" s="118">
        <v>540425201812070</v>
      </c>
      <c r="B211" s="110" t="s">
        <v>19</v>
      </c>
      <c r="C211" s="110" t="s">
        <v>20</v>
      </c>
      <c r="D211" s="110">
        <v>2019</v>
      </c>
      <c r="E211" s="179" t="s">
        <v>785</v>
      </c>
      <c r="F211" s="110" t="s">
        <v>216</v>
      </c>
      <c r="G211" s="110" t="s">
        <v>1309</v>
      </c>
      <c r="H211" s="110" t="s">
        <v>1359</v>
      </c>
      <c r="I211" s="180">
        <f t="shared" si="12"/>
        <v>341.761554</v>
      </c>
      <c r="J211" s="180">
        <v>341.761554</v>
      </c>
      <c r="K211" s="180"/>
      <c r="L211" s="180">
        <f t="shared" si="13"/>
        <v>30.06</v>
      </c>
      <c r="M211" s="180">
        <v>30.06</v>
      </c>
      <c r="N211" s="110"/>
      <c r="O211" s="110" t="s">
        <v>920</v>
      </c>
      <c r="P211" s="110" t="s">
        <v>1024</v>
      </c>
      <c r="Q211" s="110" t="s">
        <v>927</v>
      </c>
      <c r="R211" s="182" t="s">
        <v>927</v>
      </c>
      <c r="S211" s="110" t="s">
        <v>53</v>
      </c>
      <c r="T211" s="110" t="s">
        <v>930</v>
      </c>
      <c r="U211" s="110" t="s">
        <v>980</v>
      </c>
      <c r="V211" s="110" t="s">
        <v>1333</v>
      </c>
      <c r="W211" s="108"/>
      <c r="X211" s="108"/>
      <c r="Y211" s="108"/>
      <c r="Z211" s="108"/>
      <c r="AA211" s="108"/>
      <c r="AB211" s="108"/>
      <c r="AC211" s="110"/>
      <c r="AD211" s="108" t="s">
        <v>56</v>
      </c>
      <c r="AE211" s="183" t="s">
        <v>774</v>
      </c>
      <c r="AF211" s="108" t="s">
        <v>56</v>
      </c>
      <c r="AG211" s="108" t="s">
        <v>53</v>
      </c>
      <c r="AH211" s="108"/>
    </row>
    <row r="212" s="150" customFormat="1" ht="28" hidden="1" spans="1:34">
      <c r="A212" s="118">
        <v>540425201812071</v>
      </c>
      <c r="B212" s="110" t="s">
        <v>19</v>
      </c>
      <c r="C212" s="110" t="s">
        <v>20</v>
      </c>
      <c r="D212" s="110">
        <v>2022</v>
      </c>
      <c r="E212" s="179" t="s">
        <v>786</v>
      </c>
      <c r="F212" s="110" t="s">
        <v>131</v>
      </c>
      <c r="G212" s="110" t="s">
        <v>1360</v>
      </c>
      <c r="H212" s="110" t="s">
        <v>1338</v>
      </c>
      <c r="I212" s="180">
        <f t="shared" si="12"/>
        <v>522</v>
      </c>
      <c r="J212" s="180">
        <v>522</v>
      </c>
      <c r="K212" s="180"/>
      <c r="L212" s="180">
        <f t="shared" si="13"/>
        <v>522</v>
      </c>
      <c r="M212" s="180">
        <v>522</v>
      </c>
      <c r="N212" s="110"/>
      <c r="O212" s="110" t="s">
        <v>920</v>
      </c>
      <c r="P212" s="110" t="s">
        <v>1024</v>
      </c>
      <c r="Q212" s="110" t="s">
        <v>927</v>
      </c>
      <c r="R212" s="182" t="s">
        <v>922</v>
      </c>
      <c r="S212" s="187" t="s">
        <v>56</v>
      </c>
      <c r="T212" s="187"/>
      <c r="U212" s="187"/>
      <c r="V212" s="187"/>
      <c r="W212" s="234"/>
      <c r="X212" s="234"/>
      <c r="Y212" s="234"/>
      <c r="Z212" s="234"/>
      <c r="AA212" s="234"/>
      <c r="AB212" s="234"/>
      <c r="AC212" s="187"/>
      <c r="AD212" s="108" t="s">
        <v>56</v>
      </c>
      <c r="AE212" s="183" t="s">
        <v>317</v>
      </c>
      <c r="AF212" s="108" t="s">
        <v>56</v>
      </c>
      <c r="AG212" s="108" t="s">
        <v>53</v>
      </c>
      <c r="AH212" s="108"/>
    </row>
    <row r="213" s="150" customFormat="1" ht="42" hidden="1" spans="1:34">
      <c r="A213" s="118">
        <v>540425201421005</v>
      </c>
      <c r="B213" s="110" t="s">
        <v>19</v>
      </c>
      <c r="C213" s="110" t="s">
        <v>20</v>
      </c>
      <c r="D213" s="110">
        <v>2014</v>
      </c>
      <c r="E213" s="179" t="s">
        <v>787</v>
      </c>
      <c r="F213" s="110" t="s">
        <v>67</v>
      </c>
      <c r="G213" s="108" t="s">
        <v>1262</v>
      </c>
      <c r="H213" s="110" t="s">
        <v>1361</v>
      </c>
      <c r="I213" s="180">
        <f t="shared" si="12"/>
        <v>31</v>
      </c>
      <c r="J213" s="185">
        <v>31</v>
      </c>
      <c r="K213" s="185"/>
      <c r="L213" s="180">
        <f t="shared" si="13"/>
        <v>31</v>
      </c>
      <c r="M213" s="185">
        <v>31</v>
      </c>
      <c r="N213" s="108"/>
      <c r="O213" s="110" t="s">
        <v>920</v>
      </c>
      <c r="P213" s="108" t="s">
        <v>1159</v>
      </c>
      <c r="Q213" s="110" t="s">
        <v>927</v>
      </c>
      <c r="R213" s="182" t="s">
        <v>922</v>
      </c>
      <c r="S213" s="234" t="s">
        <v>56</v>
      </c>
      <c r="T213" s="234"/>
      <c r="U213" s="234"/>
      <c r="V213" s="234"/>
      <c r="W213" s="234"/>
      <c r="X213" s="234"/>
      <c r="Y213" s="234"/>
      <c r="Z213" s="234"/>
      <c r="AA213" s="234"/>
      <c r="AB213" s="234"/>
      <c r="AC213" s="234" t="s">
        <v>1362</v>
      </c>
      <c r="AD213" s="108" t="s">
        <v>56</v>
      </c>
      <c r="AE213" s="183" t="s">
        <v>788</v>
      </c>
      <c r="AF213" s="108" t="s">
        <v>56</v>
      </c>
      <c r="AG213" s="108" t="s">
        <v>53</v>
      </c>
      <c r="AH213" s="108" t="s">
        <v>53</v>
      </c>
    </row>
    <row r="214" s="150" customFormat="1" hidden="1" spans="1:34">
      <c r="A214" s="118">
        <v>540425201521006</v>
      </c>
      <c r="B214" s="110" t="s">
        <v>19</v>
      </c>
      <c r="C214" s="110" t="s">
        <v>20</v>
      </c>
      <c r="D214" s="110">
        <v>2015</v>
      </c>
      <c r="E214" s="179" t="s">
        <v>789</v>
      </c>
      <c r="F214" s="110" t="s">
        <v>67</v>
      </c>
      <c r="G214" s="108" t="s">
        <v>1262</v>
      </c>
      <c r="H214" s="110" t="s">
        <v>1363</v>
      </c>
      <c r="I214" s="180">
        <f t="shared" si="12"/>
        <v>140</v>
      </c>
      <c r="J214" s="185">
        <v>140</v>
      </c>
      <c r="K214" s="185"/>
      <c r="L214" s="180">
        <f t="shared" si="13"/>
        <v>140</v>
      </c>
      <c r="M214" s="180">
        <v>140</v>
      </c>
      <c r="N214" s="108"/>
      <c r="O214" s="110" t="s">
        <v>920</v>
      </c>
      <c r="P214" s="108" t="s">
        <v>1159</v>
      </c>
      <c r="Q214" s="110" t="s">
        <v>927</v>
      </c>
      <c r="R214" s="182" t="s">
        <v>922</v>
      </c>
      <c r="S214" s="234" t="s">
        <v>56</v>
      </c>
      <c r="T214" s="234"/>
      <c r="U214" s="234"/>
      <c r="V214" s="234"/>
      <c r="W214" s="234"/>
      <c r="X214" s="234"/>
      <c r="Y214" s="234"/>
      <c r="Z214" s="234"/>
      <c r="AA214" s="234"/>
      <c r="AB214" s="234"/>
      <c r="AC214" s="234" t="s">
        <v>1364</v>
      </c>
      <c r="AD214" s="108" t="s">
        <v>56</v>
      </c>
      <c r="AE214" s="183" t="s">
        <v>790</v>
      </c>
      <c r="AF214" s="108" t="s">
        <v>56</v>
      </c>
      <c r="AG214" s="108" t="s">
        <v>53</v>
      </c>
      <c r="AH214" s="108" t="s">
        <v>53</v>
      </c>
    </row>
    <row r="215" s="156" customFormat="1" hidden="1" spans="1:34">
      <c r="A215" s="126">
        <v>540425201319049</v>
      </c>
      <c r="B215" s="182" t="s">
        <v>19</v>
      </c>
      <c r="C215" s="182" t="s">
        <v>20</v>
      </c>
      <c r="D215" s="182">
        <v>2013</v>
      </c>
      <c r="E215" s="240" t="s">
        <v>791</v>
      </c>
      <c r="F215" s="182" t="s">
        <v>67</v>
      </c>
      <c r="G215" s="127" t="s">
        <v>1198</v>
      </c>
      <c r="H215" s="182" t="s">
        <v>1365</v>
      </c>
      <c r="I215" s="129">
        <f t="shared" si="12"/>
        <v>28</v>
      </c>
      <c r="J215" s="254">
        <v>28</v>
      </c>
      <c r="K215" s="254"/>
      <c r="L215" s="129">
        <f t="shared" si="13"/>
        <v>28</v>
      </c>
      <c r="M215" s="129">
        <v>26</v>
      </c>
      <c r="N215" s="129">
        <v>2</v>
      </c>
      <c r="O215" s="182" t="s">
        <v>920</v>
      </c>
      <c r="P215" s="127" t="s">
        <v>1366</v>
      </c>
      <c r="Q215" s="127" t="s">
        <v>922</v>
      </c>
      <c r="R215" s="182" t="s">
        <v>922</v>
      </c>
      <c r="S215" s="127" t="s">
        <v>56</v>
      </c>
      <c r="T215" s="127"/>
      <c r="U215" s="127"/>
      <c r="V215" s="127"/>
      <c r="W215" s="127"/>
      <c r="X215" s="127"/>
      <c r="Y215" s="127"/>
      <c r="Z215" s="127"/>
      <c r="AA215" s="127"/>
      <c r="AB215" s="127"/>
      <c r="AC215" s="127" t="s">
        <v>1367</v>
      </c>
      <c r="AD215" s="127" t="s">
        <v>56</v>
      </c>
      <c r="AE215" s="241" t="s">
        <v>239</v>
      </c>
      <c r="AF215" s="127" t="s">
        <v>56</v>
      </c>
      <c r="AG215" s="108" t="s">
        <v>53</v>
      </c>
      <c r="AH215" s="108" t="s">
        <v>53</v>
      </c>
    </row>
    <row r="216" s="150" customFormat="1" ht="28" hidden="1" spans="1:34">
      <c r="A216" s="118">
        <v>540425201419050</v>
      </c>
      <c r="B216" s="110" t="s">
        <v>19</v>
      </c>
      <c r="C216" s="110" t="s">
        <v>20</v>
      </c>
      <c r="D216" s="110">
        <v>2014</v>
      </c>
      <c r="E216" s="179" t="s">
        <v>792</v>
      </c>
      <c r="F216" s="110" t="s">
        <v>67</v>
      </c>
      <c r="G216" s="108" t="s">
        <v>1368</v>
      </c>
      <c r="H216" s="110" t="s">
        <v>1369</v>
      </c>
      <c r="I216" s="180">
        <f t="shared" si="12"/>
        <v>166.75</v>
      </c>
      <c r="J216" s="185">
        <v>166.75</v>
      </c>
      <c r="K216" s="185"/>
      <c r="L216" s="180">
        <f t="shared" si="13"/>
        <v>166.75</v>
      </c>
      <c r="M216" s="180">
        <v>166.75</v>
      </c>
      <c r="N216" s="108"/>
      <c r="O216" s="110" t="s">
        <v>920</v>
      </c>
      <c r="P216" s="108" t="s">
        <v>1366</v>
      </c>
      <c r="Q216" s="108" t="s">
        <v>922</v>
      </c>
      <c r="R216" s="182" t="s">
        <v>922</v>
      </c>
      <c r="S216" s="234" t="s">
        <v>56</v>
      </c>
      <c r="T216" s="234"/>
      <c r="U216" s="234"/>
      <c r="V216" s="234"/>
      <c r="W216" s="234"/>
      <c r="X216" s="234"/>
      <c r="Y216" s="234"/>
      <c r="Z216" s="234"/>
      <c r="AA216" s="234"/>
      <c r="AB216" s="234"/>
      <c r="AC216" s="234" t="s">
        <v>1370</v>
      </c>
      <c r="AD216" s="108" t="s">
        <v>56</v>
      </c>
      <c r="AE216" s="183" t="s">
        <v>793</v>
      </c>
      <c r="AF216" s="108" t="s">
        <v>56</v>
      </c>
      <c r="AG216" s="108" t="s">
        <v>53</v>
      </c>
      <c r="AH216" s="108" t="s">
        <v>53</v>
      </c>
    </row>
    <row r="217" s="150" customFormat="1" hidden="1" spans="1:34">
      <c r="A217" s="118">
        <v>540425201619008</v>
      </c>
      <c r="B217" s="108" t="s">
        <v>19</v>
      </c>
      <c r="C217" s="108" t="s">
        <v>20</v>
      </c>
      <c r="D217" s="108">
        <v>2015</v>
      </c>
      <c r="E217" s="246" t="s">
        <v>794</v>
      </c>
      <c r="F217" s="108" t="s">
        <v>173</v>
      </c>
      <c r="G217" s="108" t="s">
        <v>1240</v>
      </c>
      <c r="H217" s="110" t="s">
        <v>1371</v>
      </c>
      <c r="I217" s="180">
        <f t="shared" si="12"/>
        <v>35</v>
      </c>
      <c r="J217" s="185">
        <v>30</v>
      </c>
      <c r="K217" s="185">
        <v>5</v>
      </c>
      <c r="L217" s="180">
        <f t="shared" si="13"/>
        <v>30</v>
      </c>
      <c r="M217" s="180">
        <v>30</v>
      </c>
      <c r="N217" s="108"/>
      <c r="O217" s="108" t="s">
        <v>925</v>
      </c>
      <c r="P217" s="108" t="s">
        <v>944</v>
      </c>
      <c r="Q217" s="108" t="s">
        <v>922</v>
      </c>
      <c r="R217" s="127"/>
      <c r="S217" s="108" t="s">
        <v>56</v>
      </c>
      <c r="T217" s="108"/>
      <c r="U217" s="108"/>
      <c r="V217" s="108"/>
      <c r="W217" s="108"/>
      <c r="X217" s="108"/>
      <c r="Y217" s="108"/>
      <c r="Z217" s="108"/>
      <c r="AA217" s="108"/>
      <c r="AB217" s="108"/>
      <c r="AC217" s="108"/>
      <c r="AD217" s="127" t="s">
        <v>56</v>
      </c>
      <c r="AE217" s="241" t="s">
        <v>707</v>
      </c>
      <c r="AF217" s="108" t="s">
        <v>53</v>
      </c>
      <c r="AG217" s="108" t="s">
        <v>53</v>
      </c>
      <c r="AH217" s="108"/>
    </row>
    <row r="218" s="156" customFormat="1" hidden="1" spans="1:34">
      <c r="A218" s="126">
        <v>540425201307022</v>
      </c>
      <c r="B218" s="127" t="s">
        <v>19</v>
      </c>
      <c r="C218" s="127" t="s">
        <v>20</v>
      </c>
      <c r="D218" s="127">
        <v>2013</v>
      </c>
      <c r="E218" s="128" t="s">
        <v>795</v>
      </c>
      <c r="F218" s="127" t="s">
        <v>173</v>
      </c>
      <c r="G218" s="127" t="s">
        <v>1027</v>
      </c>
      <c r="H218" s="182" t="s">
        <v>1372</v>
      </c>
      <c r="I218" s="180">
        <f t="shared" si="12"/>
        <v>50</v>
      </c>
      <c r="J218" s="254">
        <v>46</v>
      </c>
      <c r="K218" s="254">
        <v>4</v>
      </c>
      <c r="L218" s="129">
        <f t="shared" si="13"/>
        <v>46</v>
      </c>
      <c r="M218" s="129">
        <v>46</v>
      </c>
      <c r="N218" s="127"/>
      <c r="O218" s="127" t="s">
        <v>920</v>
      </c>
      <c r="P218" s="127" t="s">
        <v>957</v>
      </c>
      <c r="Q218" s="182" t="s">
        <v>922</v>
      </c>
      <c r="R218" s="127" t="s">
        <v>922</v>
      </c>
      <c r="S218" s="127" t="s">
        <v>56</v>
      </c>
      <c r="T218" s="127"/>
      <c r="U218" s="182"/>
      <c r="V218" s="127"/>
      <c r="W218" s="127"/>
      <c r="X218" s="127"/>
      <c r="Y218" s="127"/>
      <c r="Z218" s="127"/>
      <c r="AA218" s="127"/>
      <c r="AB218" s="127"/>
      <c r="AC218" s="127"/>
      <c r="AD218" s="127" t="s">
        <v>56</v>
      </c>
      <c r="AE218" s="241" t="s">
        <v>707</v>
      </c>
      <c r="AF218" s="108" t="s">
        <v>53</v>
      </c>
      <c r="AG218" s="108" t="s">
        <v>53</v>
      </c>
      <c r="AH218" s="108"/>
    </row>
    <row r="219" s="156" customFormat="1" hidden="1" spans="1:34">
      <c r="A219" s="126">
        <v>540425201319053</v>
      </c>
      <c r="B219" s="127" t="s">
        <v>19</v>
      </c>
      <c r="C219" s="127" t="s">
        <v>20</v>
      </c>
      <c r="D219" s="127">
        <v>2013</v>
      </c>
      <c r="E219" s="128" t="s">
        <v>796</v>
      </c>
      <c r="F219" s="127" t="s">
        <v>173</v>
      </c>
      <c r="G219" s="127" t="s">
        <v>1373</v>
      </c>
      <c r="H219" s="182" t="s">
        <v>1374</v>
      </c>
      <c r="I219" s="129">
        <f t="shared" si="12"/>
        <v>45</v>
      </c>
      <c r="J219" s="254">
        <v>40</v>
      </c>
      <c r="K219" s="254">
        <v>5</v>
      </c>
      <c r="L219" s="129">
        <f t="shared" si="13"/>
        <v>45</v>
      </c>
      <c r="M219" s="129">
        <v>40</v>
      </c>
      <c r="N219" s="127">
        <v>5</v>
      </c>
      <c r="O219" s="127" t="s">
        <v>920</v>
      </c>
      <c r="P219" s="127" t="s">
        <v>1366</v>
      </c>
      <c r="Q219" s="127" t="s">
        <v>922</v>
      </c>
      <c r="R219" s="127" t="s">
        <v>922</v>
      </c>
      <c r="S219" s="127" t="s">
        <v>56</v>
      </c>
      <c r="T219" s="127"/>
      <c r="U219" s="127"/>
      <c r="V219" s="127"/>
      <c r="W219" s="127"/>
      <c r="X219" s="127"/>
      <c r="Y219" s="127"/>
      <c r="Z219" s="127"/>
      <c r="AA219" s="127"/>
      <c r="AB219" s="127"/>
      <c r="AC219" s="127"/>
      <c r="AD219" s="127" t="s">
        <v>56</v>
      </c>
      <c r="AE219" s="241" t="s">
        <v>707</v>
      </c>
      <c r="AF219" s="108" t="s">
        <v>53</v>
      </c>
      <c r="AG219" s="108" t="s">
        <v>53</v>
      </c>
      <c r="AH219" s="108" t="s">
        <v>53</v>
      </c>
    </row>
    <row r="220" s="156" customFormat="1" hidden="1" spans="1:34">
      <c r="A220" s="126">
        <v>540425201319054</v>
      </c>
      <c r="B220" s="127" t="s">
        <v>19</v>
      </c>
      <c r="C220" s="127" t="s">
        <v>20</v>
      </c>
      <c r="D220" s="127">
        <v>2013</v>
      </c>
      <c r="E220" s="60" t="s">
        <v>803</v>
      </c>
      <c r="F220" s="127" t="s">
        <v>173</v>
      </c>
      <c r="G220" s="127" t="s">
        <v>1375</v>
      </c>
      <c r="H220" s="182" t="s">
        <v>1376</v>
      </c>
      <c r="I220" s="129">
        <f t="shared" si="12"/>
        <v>110</v>
      </c>
      <c r="J220" s="254">
        <v>100</v>
      </c>
      <c r="K220" s="254">
        <v>10</v>
      </c>
      <c r="L220" s="129">
        <f t="shared" si="13"/>
        <v>100</v>
      </c>
      <c r="M220" s="129">
        <v>100</v>
      </c>
      <c r="N220" s="127"/>
      <c r="O220" s="127" t="s">
        <v>920</v>
      </c>
      <c r="P220" s="127" t="s">
        <v>944</v>
      </c>
      <c r="Q220" s="127" t="s">
        <v>922</v>
      </c>
      <c r="R220" s="127" t="s">
        <v>922</v>
      </c>
      <c r="S220" s="127" t="s">
        <v>56</v>
      </c>
      <c r="T220" s="127"/>
      <c r="U220" s="127"/>
      <c r="V220" s="127"/>
      <c r="W220" s="127"/>
      <c r="X220" s="127"/>
      <c r="Y220" s="127"/>
      <c r="Z220" s="127"/>
      <c r="AA220" s="127"/>
      <c r="AB220" s="127"/>
      <c r="AC220" s="127"/>
      <c r="AD220" s="127" t="s">
        <v>56</v>
      </c>
      <c r="AE220" s="241" t="s">
        <v>707</v>
      </c>
      <c r="AF220" s="108" t="s">
        <v>53</v>
      </c>
      <c r="AG220" s="108" t="s">
        <v>53</v>
      </c>
      <c r="AH220" s="108"/>
    </row>
    <row r="221" s="156" customFormat="1" hidden="1" spans="1:34">
      <c r="A221" s="126">
        <v>540425201419014</v>
      </c>
      <c r="B221" s="127" t="s">
        <v>19</v>
      </c>
      <c r="C221" s="127" t="s">
        <v>20</v>
      </c>
      <c r="D221" s="127">
        <v>2015</v>
      </c>
      <c r="E221" s="128" t="s">
        <v>807</v>
      </c>
      <c r="F221" s="127" t="s">
        <v>173</v>
      </c>
      <c r="G221" s="127" t="s">
        <v>1240</v>
      </c>
      <c r="H221" s="182" t="s">
        <v>1377</v>
      </c>
      <c r="I221" s="129">
        <f t="shared" si="12"/>
        <v>55</v>
      </c>
      <c r="J221" s="254">
        <v>50</v>
      </c>
      <c r="K221" s="254">
        <v>5</v>
      </c>
      <c r="L221" s="129">
        <f t="shared" si="13"/>
        <v>50</v>
      </c>
      <c r="M221" s="129">
        <v>50</v>
      </c>
      <c r="N221" s="127"/>
      <c r="O221" s="127" t="s">
        <v>920</v>
      </c>
      <c r="P221" s="127" t="s">
        <v>996</v>
      </c>
      <c r="Q221" s="127" t="s">
        <v>922</v>
      </c>
      <c r="R221" s="127" t="s">
        <v>922</v>
      </c>
      <c r="S221" s="127" t="s">
        <v>56</v>
      </c>
      <c r="T221" s="127"/>
      <c r="U221" s="127"/>
      <c r="V221" s="127"/>
      <c r="W221" s="127"/>
      <c r="X221" s="127"/>
      <c r="Y221" s="127"/>
      <c r="Z221" s="127"/>
      <c r="AA221" s="127"/>
      <c r="AB221" s="127"/>
      <c r="AC221" s="127"/>
      <c r="AD221" s="127" t="s">
        <v>56</v>
      </c>
      <c r="AE221" s="241" t="s">
        <v>707</v>
      </c>
      <c r="AF221" s="108" t="s">
        <v>53</v>
      </c>
      <c r="AG221" s="108" t="s">
        <v>53</v>
      </c>
      <c r="AH221" s="108" t="s">
        <v>53</v>
      </c>
    </row>
    <row r="222" s="156" customFormat="1" hidden="1" spans="1:34">
      <c r="A222" s="126">
        <v>540425201419055</v>
      </c>
      <c r="B222" s="127" t="s">
        <v>19</v>
      </c>
      <c r="C222" s="127" t="s">
        <v>20</v>
      </c>
      <c r="D222" s="127">
        <v>2014</v>
      </c>
      <c r="E222" s="128" t="s">
        <v>812</v>
      </c>
      <c r="F222" s="127" t="s">
        <v>173</v>
      </c>
      <c r="G222" s="127" t="s">
        <v>977</v>
      </c>
      <c r="H222" s="182" t="s">
        <v>1378</v>
      </c>
      <c r="I222" s="129">
        <f t="shared" si="12"/>
        <v>65</v>
      </c>
      <c r="J222" s="254">
        <v>60</v>
      </c>
      <c r="K222" s="254">
        <v>5</v>
      </c>
      <c r="L222" s="129">
        <f t="shared" si="13"/>
        <v>60</v>
      </c>
      <c r="M222" s="129">
        <v>60</v>
      </c>
      <c r="N222" s="127"/>
      <c r="O222" s="127" t="s">
        <v>920</v>
      </c>
      <c r="P222" s="127" t="s">
        <v>944</v>
      </c>
      <c r="Q222" s="127" t="s">
        <v>922</v>
      </c>
      <c r="R222" s="127" t="s">
        <v>922</v>
      </c>
      <c r="S222" s="127" t="s">
        <v>56</v>
      </c>
      <c r="T222" s="127"/>
      <c r="U222" s="127"/>
      <c r="V222" s="127"/>
      <c r="W222" s="127"/>
      <c r="X222" s="127"/>
      <c r="Y222" s="127"/>
      <c r="Z222" s="127"/>
      <c r="AA222" s="127"/>
      <c r="AB222" s="127"/>
      <c r="AC222" s="127"/>
      <c r="AD222" s="127" t="s">
        <v>56</v>
      </c>
      <c r="AE222" s="241" t="s">
        <v>707</v>
      </c>
      <c r="AF222" s="108"/>
      <c r="AG222" s="108" t="s">
        <v>53</v>
      </c>
      <c r="AH222" s="108" t="s">
        <v>53</v>
      </c>
    </row>
    <row r="223" s="156" customFormat="1" hidden="1" spans="1:34">
      <c r="A223" s="126">
        <v>540425201307023</v>
      </c>
      <c r="B223" s="127" t="s">
        <v>19</v>
      </c>
      <c r="C223" s="127" t="s">
        <v>20</v>
      </c>
      <c r="D223" s="127">
        <v>2013</v>
      </c>
      <c r="E223" s="128" t="s">
        <v>800</v>
      </c>
      <c r="F223" s="127" t="s">
        <v>173</v>
      </c>
      <c r="G223" s="127" t="s">
        <v>1074</v>
      </c>
      <c r="H223" s="182" t="s">
        <v>1379</v>
      </c>
      <c r="I223" s="129">
        <f t="shared" si="12"/>
        <v>55</v>
      </c>
      <c r="J223" s="255">
        <v>55</v>
      </c>
      <c r="K223" s="254"/>
      <c r="L223" s="180">
        <f t="shared" si="13"/>
        <v>50</v>
      </c>
      <c r="M223" s="254">
        <v>50</v>
      </c>
      <c r="N223" s="127"/>
      <c r="O223" s="127" t="s">
        <v>920</v>
      </c>
      <c r="P223" s="127" t="s">
        <v>957</v>
      </c>
      <c r="Q223" s="182" t="s">
        <v>922</v>
      </c>
      <c r="R223" s="127" t="s">
        <v>922</v>
      </c>
      <c r="S223" s="127" t="s">
        <v>56</v>
      </c>
      <c r="T223" s="127"/>
      <c r="U223" s="127"/>
      <c r="V223" s="127"/>
      <c r="W223" s="127"/>
      <c r="X223" s="127"/>
      <c r="Y223" s="127"/>
      <c r="Z223" s="127"/>
      <c r="AA223" s="127"/>
      <c r="AB223" s="127"/>
      <c r="AC223" s="127"/>
      <c r="AD223" s="127" t="s">
        <v>56</v>
      </c>
      <c r="AE223" s="241" t="s">
        <v>707</v>
      </c>
      <c r="AF223" s="108"/>
      <c r="AG223" s="108" t="s">
        <v>53</v>
      </c>
      <c r="AH223" s="108"/>
    </row>
    <row r="224" s="150" customFormat="1" hidden="1" spans="1:34">
      <c r="A224" s="126">
        <v>540425201407023</v>
      </c>
      <c r="B224" s="127" t="s">
        <v>19</v>
      </c>
      <c r="C224" s="127" t="s">
        <v>20</v>
      </c>
      <c r="D224" s="108">
        <v>2014</v>
      </c>
      <c r="E224" s="246" t="s">
        <v>823</v>
      </c>
      <c r="F224" s="127" t="s">
        <v>173</v>
      </c>
      <c r="G224" s="108" t="s">
        <v>1380</v>
      </c>
      <c r="H224" s="110" t="s">
        <v>1381</v>
      </c>
      <c r="I224" s="180">
        <f t="shared" si="12"/>
        <v>55</v>
      </c>
      <c r="J224" s="255">
        <v>50</v>
      </c>
      <c r="K224" s="256">
        <v>5</v>
      </c>
      <c r="L224" s="180">
        <f t="shared" si="13"/>
        <v>50</v>
      </c>
      <c r="M224" s="254">
        <v>50</v>
      </c>
      <c r="N224" s="108"/>
      <c r="O224" s="108" t="s">
        <v>925</v>
      </c>
      <c r="P224" s="108" t="s">
        <v>944</v>
      </c>
      <c r="Q224" s="108" t="s">
        <v>922</v>
      </c>
      <c r="R224" s="127"/>
      <c r="S224" s="108"/>
      <c r="T224" s="108"/>
      <c r="U224" s="108"/>
      <c r="V224" s="108"/>
      <c r="W224" s="108"/>
      <c r="X224" s="108"/>
      <c r="Y224" s="108"/>
      <c r="Z224" s="108"/>
      <c r="AA224" s="108"/>
      <c r="AB224" s="108"/>
      <c r="AC224" s="108"/>
      <c r="AD224" s="127" t="s">
        <v>56</v>
      </c>
      <c r="AE224" s="241" t="s">
        <v>711</v>
      </c>
      <c r="AF224" s="108" t="s">
        <v>56</v>
      </c>
      <c r="AG224" s="108" t="s">
        <v>53</v>
      </c>
      <c r="AH224" s="108"/>
    </row>
    <row r="225" s="150" customFormat="1" hidden="1" spans="1:34">
      <c r="A225" s="126">
        <v>540425201407024</v>
      </c>
      <c r="B225" s="127" t="s">
        <v>19</v>
      </c>
      <c r="C225" s="127" t="s">
        <v>20</v>
      </c>
      <c r="D225" s="108">
        <v>2014</v>
      </c>
      <c r="E225" s="246" t="s">
        <v>824</v>
      </c>
      <c r="F225" s="127" t="s">
        <v>173</v>
      </c>
      <c r="G225" s="108" t="s">
        <v>1353</v>
      </c>
      <c r="H225" s="110" t="s">
        <v>1382</v>
      </c>
      <c r="I225" s="180">
        <f t="shared" si="12"/>
        <v>50</v>
      </c>
      <c r="J225" s="255">
        <v>45</v>
      </c>
      <c r="K225" s="256">
        <v>5</v>
      </c>
      <c r="L225" s="180">
        <f t="shared" si="13"/>
        <v>45</v>
      </c>
      <c r="M225" s="254">
        <v>45</v>
      </c>
      <c r="N225" s="108"/>
      <c r="O225" s="108" t="s">
        <v>920</v>
      </c>
      <c r="P225" s="108" t="s">
        <v>944</v>
      </c>
      <c r="Q225" s="108" t="s">
        <v>922</v>
      </c>
      <c r="R225" s="127" t="s">
        <v>922</v>
      </c>
      <c r="S225" s="108"/>
      <c r="T225" s="108"/>
      <c r="U225" s="108"/>
      <c r="V225" s="108"/>
      <c r="W225" s="108"/>
      <c r="X225" s="108"/>
      <c r="Y225" s="108"/>
      <c r="Z225" s="108"/>
      <c r="AA225" s="108"/>
      <c r="AB225" s="108"/>
      <c r="AC225" s="108"/>
      <c r="AD225" s="127" t="s">
        <v>56</v>
      </c>
      <c r="AE225" s="241" t="s">
        <v>711</v>
      </c>
      <c r="AF225" s="108"/>
      <c r="AG225" s="108" t="s">
        <v>53</v>
      </c>
      <c r="AH225" s="108" t="s">
        <v>53</v>
      </c>
    </row>
    <row r="226" s="150" customFormat="1" hidden="1" spans="1:34">
      <c r="A226" s="126">
        <v>540425201407025</v>
      </c>
      <c r="B226" s="127" t="s">
        <v>19</v>
      </c>
      <c r="C226" s="127" t="s">
        <v>20</v>
      </c>
      <c r="D226" s="257">
        <v>2014</v>
      </c>
      <c r="E226" s="246" t="s">
        <v>832</v>
      </c>
      <c r="F226" s="127" t="s">
        <v>173</v>
      </c>
      <c r="G226" s="108" t="s">
        <v>1383</v>
      </c>
      <c r="H226" s="110" t="s">
        <v>1384</v>
      </c>
      <c r="I226" s="180">
        <f t="shared" si="12"/>
        <v>120</v>
      </c>
      <c r="J226" s="255">
        <v>105</v>
      </c>
      <c r="K226" s="256">
        <v>15</v>
      </c>
      <c r="L226" s="180">
        <f t="shared" si="13"/>
        <v>104.45</v>
      </c>
      <c r="M226" s="254">
        <v>104.45</v>
      </c>
      <c r="N226" s="108"/>
      <c r="O226" s="108" t="s">
        <v>920</v>
      </c>
      <c r="P226" s="108" t="s">
        <v>1366</v>
      </c>
      <c r="Q226" s="108" t="s">
        <v>922</v>
      </c>
      <c r="R226" s="127" t="s">
        <v>922</v>
      </c>
      <c r="S226" s="108"/>
      <c r="T226" s="108"/>
      <c r="U226" s="108"/>
      <c r="V226" s="108"/>
      <c r="W226" s="108"/>
      <c r="X226" s="108"/>
      <c r="Y226" s="108"/>
      <c r="Z226" s="108"/>
      <c r="AA226" s="108"/>
      <c r="AB226" s="108"/>
      <c r="AC226" s="108"/>
      <c r="AD226" s="127" t="s">
        <v>56</v>
      </c>
      <c r="AE226" s="241" t="s">
        <v>833</v>
      </c>
      <c r="AF226" s="108" t="s">
        <v>53</v>
      </c>
      <c r="AG226" s="108" t="s">
        <v>53</v>
      </c>
      <c r="AH226" s="108"/>
    </row>
    <row r="227" s="150" customFormat="1" hidden="1" spans="1:34">
      <c r="A227" s="126">
        <v>540425201307025</v>
      </c>
      <c r="B227" s="127" t="s">
        <v>19</v>
      </c>
      <c r="C227" s="127" t="s">
        <v>20</v>
      </c>
      <c r="D227" s="257">
        <v>2013</v>
      </c>
      <c r="E227" s="128" t="s">
        <v>829</v>
      </c>
      <c r="F227" s="127" t="s">
        <v>173</v>
      </c>
      <c r="G227" s="108" t="s">
        <v>969</v>
      </c>
      <c r="H227" s="110" t="s">
        <v>1385</v>
      </c>
      <c r="I227" s="180">
        <f t="shared" si="12"/>
        <v>48</v>
      </c>
      <c r="J227" s="255">
        <v>45</v>
      </c>
      <c r="K227" s="256">
        <v>3</v>
      </c>
      <c r="L227" s="180">
        <f t="shared" si="13"/>
        <v>45</v>
      </c>
      <c r="M227" s="254">
        <v>45</v>
      </c>
      <c r="N227" s="108"/>
      <c r="O227" s="108" t="s">
        <v>920</v>
      </c>
      <c r="P227" s="108" t="s">
        <v>957</v>
      </c>
      <c r="Q227" s="108" t="s">
        <v>922</v>
      </c>
      <c r="R227" s="127" t="s">
        <v>922</v>
      </c>
      <c r="S227" s="108"/>
      <c r="T227" s="108"/>
      <c r="U227" s="108"/>
      <c r="V227" s="108"/>
      <c r="W227" s="108"/>
      <c r="X227" s="108"/>
      <c r="Y227" s="108"/>
      <c r="Z227" s="108"/>
      <c r="AA227" s="108"/>
      <c r="AB227" s="108"/>
      <c r="AC227" s="108"/>
      <c r="AD227" s="127" t="s">
        <v>56</v>
      </c>
      <c r="AE227" s="241" t="s">
        <v>830</v>
      </c>
      <c r="AF227" s="108" t="s">
        <v>53</v>
      </c>
      <c r="AG227" s="108" t="s">
        <v>53</v>
      </c>
      <c r="AH227" s="108"/>
    </row>
    <row r="228" s="150" customFormat="1" hidden="1" spans="1:34">
      <c r="A228" s="126">
        <v>540425201307026</v>
      </c>
      <c r="B228" s="127" t="s">
        <v>19</v>
      </c>
      <c r="C228" s="127" t="s">
        <v>20</v>
      </c>
      <c r="D228" s="257">
        <v>2013</v>
      </c>
      <c r="E228" s="128" t="s">
        <v>835</v>
      </c>
      <c r="F228" s="127" t="s">
        <v>173</v>
      </c>
      <c r="G228" s="108" t="s">
        <v>1357</v>
      </c>
      <c r="H228" s="110" t="s">
        <v>1386</v>
      </c>
      <c r="I228" s="180">
        <f t="shared" si="12"/>
        <v>45</v>
      </c>
      <c r="J228" s="258">
        <v>40</v>
      </c>
      <c r="K228" s="258">
        <v>5</v>
      </c>
      <c r="L228" s="180">
        <f t="shared" si="13"/>
        <v>40</v>
      </c>
      <c r="M228" s="254">
        <v>40</v>
      </c>
      <c r="N228" s="108"/>
      <c r="O228" s="108" t="s">
        <v>920</v>
      </c>
      <c r="P228" s="108" t="s">
        <v>954</v>
      </c>
      <c r="Q228" s="108" t="s">
        <v>922</v>
      </c>
      <c r="R228" s="127" t="s">
        <v>922</v>
      </c>
      <c r="S228" s="108"/>
      <c r="T228" s="108"/>
      <c r="U228" s="108"/>
      <c r="V228" s="108"/>
      <c r="W228" s="108"/>
      <c r="X228" s="108"/>
      <c r="Y228" s="108"/>
      <c r="Z228" s="108"/>
      <c r="AA228" s="108"/>
      <c r="AB228" s="108"/>
      <c r="AC228" s="108"/>
      <c r="AD228" s="127" t="s">
        <v>56</v>
      </c>
      <c r="AE228" s="241" t="s">
        <v>711</v>
      </c>
      <c r="AF228" s="108" t="s">
        <v>53</v>
      </c>
      <c r="AG228" s="108" t="s">
        <v>53</v>
      </c>
      <c r="AH228" s="108"/>
    </row>
    <row r="229" s="150" customFormat="1" hidden="1" spans="1:34">
      <c r="A229" s="259" t="s">
        <v>1387</v>
      </c>
      <c r="B229" s="127" t="s">
        <v>19</v>
      </c>
      <c r="C229" s="127" t="s">
        <v>20</v>
      </c>
      <c r="D229" s="108">
        <v>2015</v>
      </c>
      <c r="E229" s="246" t="s">
        <v>839</v>
      </c>
      <c r="F229" s="127" t="s">
        <v>173</v>
      </c>
      <c r="G229" s="108" t="s">
        <v>950</v>
      </c>
      <c r="H229" s="110" t="s">
        <v>1388</v>
      </c>
      <c r="I229" s="180">
        <f t="shared" si="12"/>
        <v>55</v>
      </c>
      <c r="J229" s="258">
        <v>45</v>
      </c>
      <c r="K229" s="258">
        <v>10</v>
      </c>
      <c r="L229" s="180">
        <f t="shared" si="13"/>
        <v>45</v>
      </c>
      <c r="M229" s="254">
        <v>45</v>
      </c>
      <c r="N229" s="108"/>
      <c r="O229" s="108" t="s">
        <v>920</v>
      </c>
      <c r="P229" s="108" t="s">
        <v>944</v>
      </c>
      <c r="Q229" s="108" t="s">
        <v>922</v>
      </c>
      <c r="R229" s="127" t="s">
        <v>922</v>
      </c>
      <c r="S229" s="108"/>
      <c r="T229" s="108"/>
      <c r="U229" s="108"/>
      <c r="V229" s="108"/>
      <c r="W229" s="108"/>
      <c r="X229" s="108"/>
      <c r="Y229" s="108"/>
      <c r="Z229" s="108"/>
      <c r="AA229" s="108"/>
      <c r="AB229" s="108"/>
      <c r="AC229" s="108"/>
      <c r="AD229" s="127" t="s">
        <v>56</v>
      </c>
      <c r="AE229" s="241" t="s">
        <v>707</v>
      </c>
      <c r="AF229" s="108"/>
      <c r="AG229" s="108" t="s">
        <v>53</v>
      </c>
      <c r="AH229" s="108"/>
    </row>
    <row r="230" s="150" customFormat="1" hidden="1" spans="1:34">
      <c r="A230" s="126">
        <v>540425201307027</v>
      </c>
      <c r="B230" s="127" t="s">
        <v>19</v>
      </c>
      <c r="C230" s="127" t="s">
        <v>20</v>
      </c>
      <c r="D230" s="257">
        <v>2013</v>
      </c>
      <c r="E230" s="128" t="s">
        <v>803</v>
      </c>
      <c r="F230" s="127" t="s">
        <v>173</v>
      </c>
      <c r="G230" s="108" t="s">
        <v>1375</v>
      </c>
      <c r="H230" s="110" t="s">
        <v>1376</v>
      </c>
      <c r="I230" s="180">
        <f t="shared" si="12"/>
        <v>39</v>
      </c>
      <c r="J230" s="258">
        <v>34</v>
      </c>
      <c r="K230" s="258">
        <v>5</v>
      </c>
      <c r="L230" s="180">
        <f t="shared" si="13"/>
        <v>34</v>
      </c>
      <c r="M230" s="254">
        <v>34</v>
      </c>
      <c r="N230" s="108"/>
      <c r="O230" s="108" t="s">
        <v>920</v>
      </c>
      <c r="P230" s="108" t="s">
        <v>1366</v>
      </c>
      <c r="Q230" s="108" t="s">
        <v>922</v>
      </c>
      <c r="R230" s="127" t="s">
        <v>922</v>
      </c>
      <c r="S230" s="108"/>
      <c r="T230" s="108"/>
      <c r="U230" s="108"/>
      <c r="V230" s="108"/>
      <c r="W230" s="108"/>
      <c r="X230" s="108"/>
      <c r="Y230" s="108"/>
      <c r="Z230" s="108"/>
      <c r="AA230" s="108"/>
      <c r="AB230" s="108"/>
      <c r="AC230" s="108"/>
      <c r="AD230" s="127" t="s">
        <v>56</v>
      </c>
      <c r="AE230" s="127" t="s">
        <v>707</v>
      </c>
      <c r="AF230" s="108" t="s">
        <v>53</v>
      </c>
      <c r="AG230" s="108" t="s">
        <v>53</v>
      </c>
      <c r="AH230" s="108"/>
    </row>
    <row r="231" s="150" customFormat="1" hidden="1" spans="1:34">
      <c r="A231" s="259" t="s">
        <v>1389</v>
      </c>
      <c r="B231" s="127" t="s">
        <v>19</v>
      </c>
      <c r="C231" s="127" t="s">
        <v>20</v>
      </c>
      <c r="D231" s="257">
        <v>2015</v>
      </c>
      <c r="E231" s="246" t="s">
        <v>849</v>
      </c>
      <c r="F231" s="127" t="s">
        <v>173</v>
      </c>
      <c r="G231" s="108" t="s">
        <v>1091</v>
      </c>
      <c r="H231" s="110" t="s">
        <v>1390</v>
      </c>
      <c r="I231" s="180">
        <f t="shared" si="12"/>
        <v>47</v>
      </c>
      <c r="J231" s="258">
        <v>45</v>
      </c>
      <c r="K231" s="256">
        <v>2</v>
      </c>
      <c r="L231" s="180">
        <f t="shared" si="13"/>
        <v>45</v>
      </c>
      <c r="M231" s="254">
        <v>45</v>
      </c>
      <c r="N231" s="108"/>
      <c r="O231" s="108" t="s">
        <v>920</v>
      </c>
      <c r="P231" s="108" t="s">
        <v>1366</v>
      </c>
      <c r="Q231" s="108" t="s">
        <v>922</v>
      </c>
      <c r="R231" s="127" t="s">
        <v>922</v>
      </c>
      <c r="S231" s="108"/>
      <c r="T231" s="108"/>
      <c r="U231" s="108"/>
      <c r="V231" s="108"/>
      <c r="W231" s="108"/>
      <c r="X231" s="108"/>
      <c r="Y231" s="108"/>
      <c r="Z231" s="108"/>
      <c r="AA231" s="108"/>
      <c r="AB231" s="108"/>
      <c r="AC231" s="108"/>
      <c r="AD231" s="127" t="s">
        <v>56</v>
      </c>
      <c r="AE231" s="127" t="s">
        <v>850</v>
      </c>
      <c r="AF231" s="108" t="s">
        <v>53</v>
      </c>
      <c r="AG231" s="108" t="s">
        <v>53</v>
      </c>
      <c r="AH231" s="108" t="s">
        <v>53</v>
      </c>
    </row>
    <row r="232" hidden="1" spans="1:34">
      <c r="A232" s="126">
        <v>540425201307028</v>
      </c>
      <c r="B232" s="127" t="s">
        <v>19</v>
      </c>
      <c r="C232" s="127" t="s">
        <v>20</v>
      </c>
      <c r="D232" s="257">
        <v>2013</v>
      </c>
      <c r="E232" s="260" t="s">
        <v>865</v>
      </c>
      <c r="F232" s="127" t="s">
        <v>173</v>
      </c>
      <c r="G232" s="69" t="s">
        <v>1391</v>
      </c>
      <c r="H232" s="168" t="s">
        <v>1392</v>
      </c>
      <c r="I232" s="180">
        <f t="shared" si="12"/>
        <v>40</v>
      </c>
      <c r="J232" s="258">
        <v>40</v>
      </c>
      <c r="K232" s="69"/>
      <c r="L232" s="180">
        <f t="shared" si="13"/>
        <v>40</v>
      </c>
      <c r="M232" s="254">
        <v>40</v>
      </c>
      <c r="N232" s="69"/>
      <c r="O232" s="69" t="s">
        <v>920</v>
      </c>
      <c r="P232" s="69" t="s">
        <v>1366</v>
      </c>
      <c r="Q232" s="69" t="s">
        <v>922</v>
      </c>
      <c r="R232" s="127" t="s">
        <v>922</v>
      </c>
      <c r="S232" s="69"/>
      <c r="T232" s="69"/>
      <c r="U232" s="69"/>
      <c r="V232" s="69"/>
      <c r="W232" s="69"/>
      <c r="X232" s="69"/>
      <c r="Y232" s="69"/>
      <c r="Z232" s="69"/>
      <c r="AA232" s="69"/>
      <c r="AB232" s="69"/>
      <c r="AC232" s="69"/>
      <c r="AD232" s="69" t="s">
        <v>56</v>
      </c>
      <c r="AE232" s="69" t="s">
        <v>707</v>
      </c>
      <c r="AF232" s="69" t="s">
        <v>53</v>
      </c>
      <c r="AG232" s="108" t="s">
        <v>53</v>
      </c>
      <c r="AH232" s="108" t="s">
        <v>53</v>
      </c>
    </row>
    <row r="233" s="150" customFormat="1" hidden="1" spans="1:34">
      <c r="A233" s="259" t="s">
        <v>1393</v>
      </c>
      <c r="B233" s="127" t="s">
        <v>19</v>
      </c>
      <c r="C233" s="127" t="s">
        <v>20</v>
      </c>
      <c r="D233" s="257">
        <v>2015</v>
      </c>
      <c r="E233" s="128" t="s">
        <v>851</v>
      </c>
      <c r="F233" s="127" t="s">
        <v>173</v>
      </c>
      <c r="G233" s="108" t="s">
        <v>1373</v>
      </c>
      <c r="H233" s="110" t="s">
        <v>1394</v>
      </c>
      <c r="I233" s="180">
        <f t="shared" si="12"/>
        <v>90</v>
      </c>
      <c r="J233" s="258">
        <v>80</v>
      </c>
      <c r="K233" s="256">
        <v>10</v>
      </c>
      <c r="L233" s="180">
        <f t="shared" si="13"/>
        <v>80</v>
      </c>
      <c r="M233" s="254">
        <v>80</v>
      </c>
      <c r="N233" s="108"/>
      <c r="O233" s="108" t="s">
        <v>920</v>
      </c>
      <c r="P233" s="108" t="s">
        <v>926</v>
      </c>
      <c r="Q233" s="108" t="s">
        <v>922</v>
      </c>
      <c r="R233" s="127" t="s">
        <v>973</v>
      </c>
      <c r="S233" s="108"/>
      <c r="T233" s="108"/>
      <c r="U233" s="108"/>
      <c r="V233" s="108"/>
      <c r="W233" s="108"/>
      <c r="X233" s="108"/>
      <c r="Y233" s="108"/>
      <c r="Z233" s="108"/>
      <c r="AA233" s="108"/>
      <c r="AB233" s="108"/>
      <c r="AC233" s="108"/>
      <c r="AD233" s="108" t="s">
        <v>56</v>
      </c>
      <c r="AE233" s="108" t="s">
        <v>707</v>
      </c>
      <c r="AF233" s="108" t="s">
        <v>53</v>
      </c>
      <c r="AG233" s="108" t="s">
        <v>53</v>
      </c>
      <c r="AH233" s="108"/>
    </row>
    <row r="234" s="153" customFormat="1" ht="42" hidden="1" spans="1:34">
      <c r="A234" s="261" t="s">
        <v>1395</v>
      </c>
      <c r="B234" s="238" t="s">
        <v>19</v>
      </c>
      <c r="C234" s="238" t="s">
        <v>20</v>
      </c>
      <c r="D234" s="262">
        <v>2016</v>
      </c>
      <c r="E234" s="263" t="s">
        <v>866</v>
      </c>
      <c r="F234" s="238" t="s">
        <v>240</v>
      </c>
      <c r="G234" s="219" t="s">
        <v>964</v>
      </c>
      <c r="H234" s="214" t="s">
        <v>1396</v>
      </c>
      <c r="I234" s="216">
        <f t="shared" si="12"/>
        <v>265.73</v>
      </c>
      <c r="J234" s="264">
        <v>239.37</v>
      </c>
      <c r="K234" s="265">
        <v>26.36</v>
      </c>
      <c r="L234" s="216">
        <f t="shared" si="13"/>
        <v>265.73</v>
      </c>
      <c r="M234" s="266">
        <f>J234</f>
        <v>239.37</v>
      </c>
      <c r="N234" s="219">
        <f>K234</f>
        <v>26.36</v>
      </c>
      <c r="O234" s="219" t="s">
        <v>937</v>
      </c>
      <c r="P234" s="219" t="s">
        <v>944</v>
      </c>
      <c r="Q234" s="219"/>
      <c r="R234" s="238"/>
      <c r="S234" s="219"/>
      <c r="T234" s="219"/>
      <c r="U234" s="219"/>
      <c r="V234" s="219"/>
      <c r="W234" s="219"/>
      <c r="X234" s="219"/>
      <c r="Y234" s="219"/>
      <c r="Z234" s="219"/>
      <c r="AA234" s="219"/>
      <c r="AB234" s="219"/>
      <c r="AC234" s="219"/>
      <c r="AD234" s="219" t="s">
        <v>53</v>
      </c>
      <c r="AE234" s="219" t="s">
        <v>107</v>
      </c>
      <c r="AF234" s="219" t="s">
        <v>56</v>
      </c>
      <c r="AG234" s="108" t="s">
        <v>955</v>
      </c>
      <c r="AH234" s="108"/>
    </row>
    <row r="235" s="150" customFormat="1" ht="42" hidden="1" spans="1:34">
      <c r="A235" s="126">
        <v>540425201407028</v>
      </c>
      <c r="B235" s="127" t="s">
        <v>19</v>
      </c>
      <c r="C235" s="127" t="s">
        <v>20</v>
      </c>
      <c r="D235" s="257">
        <v>2014</v>
      </c>
      <c r="E235" s="128" t="s">
        <v>861</v>
      </c>
      <c r="F235" s="127" t="s">
        <v>173</v>
      </c>
      <c r="G235" s="108" t="s">
        <v>1107</v>
      </c>
      <c r="H235" s="110" t="s">
        <v>1397</v>
      </c>
      <c r="I235" s="180">
        <f t="shared" si="12"/>
        <v>45</v>
      </c>
      <c r="J235" s="258">
        <v>40</v>
      </c>
      <c r="K235" s="256">
        <v>5</v>
      </c>
      <c r="L235" s="180">
        <f>M235</f>
        <v>40</v>
      </c>
      <c r="M235" s="254">
        <v>40</v>
      </c>
      <c r="N235" s="108"/>
      <c r="O235" s="108" t="s">
        <v>920</v>
      </c>
      <c r="P235" s="108" t="s">
        <v>944</v>
      </c>
      <c r="Q235" s="108" t="s">
        <v>927</v>
      </c>
      <c r="R235" s="127" t="s">
        <v>973</v>
      </c>
      <c r="S235" s="108"/>
      <c r="T235" s="108"/>
      <c r="U235" s="108"/>
      <c r="V235" s="108"/>
      <c r="W235" s="108"/>
      <c r="X235" s="108"/>
      <c r="Y235" s="108"/>
      <c r="Z235" s="108"/>
      <c r="AA235" s="108"/>
      <c r="AB235" s="108"/>
      <c r="AC235" s="108"/>
      <c r="AD235" s="108" t="s">
        <v>56</v>
      </c>
      <c r="AE235" s="108" t="s">
        <v>239</v>
      </c>
      <c r="AF235" s="108" t="s">
        <v>53</v>
      </c>
      <c r="AG235" s="108" t="s">
        <v>53</v>
      </c>
      <c r="AH235" s="108"/>
    </row>
    <row r="237" spans="1:34">
      <c r="E237" s="267" t="s">
        <v>154</v>
      </c>
      <c r="F237" s="32" t="s">
        <v>1398</v>
      </c>
    </row>
    <row r="239" spans="1:34">
      <c r="E239" s="268"/>
    </row>
  </sheetData>
  <sheetProtection formatCells="0" formatColumns="0" formatRows="0" insertRows="0" insertColumns="0" insertHyperlinks="0" deleteColumns="0" deleteRows="0" sort="0" autoFilter="0" pivotTables="0"/>
  <autoFilter xmlns:etc="http://www.wps.cn/officeDocument/2017/etCustomData" ref="A4:AH235" etc:filterBottomFollowUsedRange="0">
    <filterColumn colId="4">
      <filters>
        <filter val="察隅县巩固村宗巴组茶叶种植项目"/>
      </filters>
    </filterColumn>
    <extLst/>
  </autoFilter>
  <mergeCells count="33">
    <mergeCell ref="A1:AC1"/>
    <mergeCell ref="I2:K2"/>
    <mergeCell ref="L2:N2"/>
    <mergeCell ref="U2:V2"/>
    <mergeCell ref="D4:F4"/>
    <mergeCell ref="I4:K4"/>
    <mergeCell ref="L4:N4"/>
    <mergeCell ref="A2:A3"/>
    <mergeCell ref="B2:B3"/>
    <mergeCell ref="C2:C3"/>
    <mergeCell ref="D2:D3"/>
    <mergeCell ref="E2:E3"/>
    <mergeCell ref="F2:F3"/>
    <mergeCell ref="G2:G3"/>
    <mergeCell ref="H2:H3"/>
    <mergeCell ref="O2:O3"/>
    <mergeCell ref="P2:P3"/>
    <mergeCell ref="Q2:Q3"/>
    <mergeCell ref="R2:R3"/>
    <mergeCell ref="S2:S3"/>
    <mergeCell ref="T2:T3"/>
    <mergeCell ref="W2:W3"/>
    <mergeCell ref="X2:X3"/>
    <mergeCell ref="Y2:Y3"/>
    <mergeCell ref="Z2:Z3"/>
    <mergeCell ref="AA2:AA3"/>
    <mergeCell ref="AB2:AB3"/>
    <mergeCell ref="AC2:AC3"/>
    <mergeCell ref="AD2:AD3"/>
    <mergeCell ref="AE2:AE3"/>
    <mergeCell ref="AF2:AF3"/>
    <mergeCell ref="AG2:AG4"/>
    <mergeCell ref="AH2:AH3"/>
  </mergeCells>
  <conditionalFormatting sqref="E233">
    <cfRule type="duplicateValues" dxfId="1" priority="6"/>
  </conditionalFormatting>
  <conditionalFormatting sqref="E234">
    <cfRule type="duplicateValues" dxfId="0" priority="3"/>
    <cfRule type="duplicateValues" dxfId="1" priority="4"/>
  </conditionalFormatting>
  <conditionalFormatting sqref="E235">
    <cfRule type="duplicateValues" dxfId="1" priority="2"/>
    <cfRule type="duplicateValues" dxfId="0" priority="1"/>
  </conditionalFormatting>
  <conditionalFormatting sqref="E1:E219 E221:E232 E236:E237 E239:E1048576">
    <cfRule type="duplicateValues" dxfId="1" priority="7"/>
  </conditionalFormatting>
  <conditionalFormatting sqref="E1:E219 E221:E226 E229 E231:E232 E236:E237 E239:E1048576">
    <cfRule type="duplicateValues" dxfId="1" priority="10"/>
  </conditionalFormatting>
  <dataValidations count="5">
    <dataValidation type="list" allowBlank="1" showInputMessage="1" showErrorMessage="1" sqref="R3 AB3">
      <formula1>"巩固类,升级类,盘活类,调整类"</formula1>
    </dataValidation>
    <dataValidation allowBlank="1" showInputMessage="1" showErrorMessage="1" sqref="AH132 AG15:AG235"/>
    <dataValidation type="list" allowBlank="1" showInputMessage="1" showErrorMessage="1" sqref="P5:P26">
      <formula1>"青稞,小麦,饲料,牦牛,乳,羊,猪,鸡,蜂,鱼虾,藏药,茶,葡萄,苹果,猕猴桃,设施农业,乡村旅游,商贸流通,其他"</formula1>
    </dataValidation>
    <dataValidation type="list" allowBlank="1" showInputMessage="1" showErrorMessage="1" promptTitle="是，否" sqref="AD5:AD14">
      <formula1>"是,否"</formula1>
    </dataValidation>
    <dataValidation type="list" allowBlank="1" showInputMessage="1" showErrorMessage="1" sqref="AF15:AF231 AH15:AH131 AH133:AH235 AF5:AH14">
      <formula1>"是,否"</formula1>
    </dataValidation>
  </dataValidations>
  <pageMargins left="0.700694444444445" right="0.700694444444445" top="0.751388888888889" bottom="0.751388888888889" header="0.298611111111111" footer="0.298611111111111"/>
  <pageSetup paperSize="9" scale="36" fitToHeight="0" orientation="landscape" horizontalDpi="600"/>
  <headerFooter/>
  <ignoredErrors>
    <ignoredError sqref="P5" listDataValidation="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pageSetUpPr fitToPage="1"/>
  </sheetPr>
  <dimension ref="A1:P208"/>
  <sheetViews>
    <sheetView workbookViewId="0">
      <pane ySplit="5" topLeftCell="A6" activePane="bottomLeft" state="frozen"/>
      <selection/>
      <selection pane="bottomLeft" activeCell="D212" sqref="D212"/>
    </sheetView>
  </sheetViews>
  <sheetFormatPr defaultColWidth="9.02727272727273" defaultRowHeight="14"/>
  <cols>
    <col min="1" max="1" width="18.7454545454545" style="80" customWidth="1"/>
    <col min="2" max="2" width="8.73636363636364" style="32"/>
    <col min="3" max="3" width="7.45454545454545" style="81" customWidth="1"/>
    <col min="4" max="4" width="58.7545454545455" customWidth="1"/>
    <col min="5" max="5" width="14.2545454545455" customWidth="1"/>
    <col min="6" max="6" width="10.8818181818182" customWidth="1"/>
    <col min="7" max="7" width="15.5454545454545" customWidth="1"/>
    <col min="8" max="9" width="16.1909090909091" customWidth="1"/>
    <col min="10" max="10" width="20.5090909090909" customWidth="1"/>
    <col min="11" max="11" width="42.8181818181818" style="1" customWidth="1"/>
    <col min="12" max="12" width="44.1818181818182" style="1" customWidth="1"/>
    <col min="13" max="13" width="42.0909090909091" style="1" customWidth="1"/>
    <col min="14" max="14" width="52.7272727272727" style="1" customWidth="1"/>
    <col min="15" max="15" width="42" style="1" customWidth="1"/>
    <col min="16" max="16" width="10.3636363636364" customWidth="1"/>
  </cols>
  <sheetData>
    <row r="1" ht="65" customHeight="1" spans="1:16">
      <c r="A1" s="15" t="s">
        <v>1399</v>
      </c>
      <c r="B1" s="82"/>
      <c r="C1" s="83"/>
      <c r="D1" s="82"/>
      <c r="E1" s="82"/>
      <c r="F1" s="82"/>
      <c r="G1" s="82"/>
      <c r="H1" s="82"/>
      <c r="I1" s="82"/>
      <c r="J1" s="82"/>
      <c r="K1" s="16"/>
      <c r="L1" s="16"/>
      <c r="M1" s="16"/>
      <c r="N1" s="16"/>
      <c r="O1" s="16"/>
      <c r="P1" s="82"/>
    </row>
    <row r="2" ht="17.5" spans="1:16">
      <c r="A2" s="84" t="s">
        <v>871</v>
      </c>
      <c r="B2" s="4" t="s">
        <v>1400</v>
      </c>
      <c r="C2" s="85" t="s">
        <v>22</v>
      </c>
      <c r="D2" s="4" t="s">
        <v>23</v>
      </c>
      <c r="E2" s="4" t="s">
        <v>1401</v>
      </c>
      <c r="F2" s="4" t="s">
        <v>1402</v>
      </c>
      <c r="G2" s="4" t="s">
        <v>1403</v>
      </c>
      <c r="H2" s="4" t="s">
        <v>1404</v>
      </c>
      <c r="I2" s="3" t="s">
        <v>1405</v>
      </c>
      <c r="J2" s="86" t="s">
        <v>1406</v>
      </c>
      <c r="K2" s="86"/>
      <c r="L2" s="87"/>
      <c r="M2" s="87"/>
      <c r="N2" s="87"/>
      <c r="O2" s="88"/>
      <c r="P2" s="89" t="s">
        <v>893</v>
      </c>
    </row>
    <row r="3" ht="17.5" spans="1:16">
      <c r="A3" s="90"/>
      <c r="B3" s="91"/>
      <c r="C3" s="92"/>
      <c r="D3" s="91"/>
      <c r="E3" s="91"/>
      <c r="F3" s="91"/>
      <c r="G3" s="91"/>
      <c r="H3" s="91"/>
      <c r="I3" s="3"/>
      <c r="J3" s="93" t="s">
        <v>1407</v>
      </c>
      <c r="K3" s="3"/>
      <c r="L3" s="94" t="s">
        <v>1408</v>
      </c>
      <c r="M3" s="3" t="s">
        <v>1409</v>
      </c>
      <c r="N3" s="3" t="s">
        <v>1410</v>
      </c>
      <c r="O3" s="3" t="s">
        <v>1411</v>
      </c>
      <c r="P3" s="95"/>
    </row>
    <row r="4" ht="17.5" spans="1:16">
      <c r="A4" s="96"/>
      <c r="B4" s="97"/>
      <c r="C4" s="98"/>
      <c r="D4" s="97"/>
      <c r="E4" s="97"/>
      <c r="F4" s="97"/>
      <c r="G4" s="97"/>
      <c r="H4" s="97"/>
      <c r="I4" s="3"/>
      <c r="J4" s="93" t="s">
        <v>1412</v>
      </c>
      <c r="K4" s="3" t="s">
        <v>902</v>
      </c>
      <c r="L4" s="99"/>
      <c r="M4" s="3"/>
      <c r="N4" s="3"/>
      <c r="O4" s="3"/>
      <c r="P4" s="100"/>
    </row>
    <row r="5" ht="85" customHeight="1" spans="1:16">
      <c r="A5" s="101" t="s">
        <v>1413</v>
      </c>
      <c r="B5" s="102"/>
      <c r="C5" s="103"/>
      <c r="D5" s="102" t="s">
        <v>1414</v>
      </c>
      <c r="E5" s="102" t="s">
        <v>1415</v>
      </c>
      <c r="F5" s="102" t="s">
        <v>1416</v>
      </c>
      <c r="G5" s="102" t="s">
        <v>1417</v>
      </c>
      <c r="H5" s="102" t="s">
        <v>1418</v>
      </c>
      <c r="I5" s="104" t="s">
        <v>1419</v>
      </c>
      <c r="J5" s="105" t="s">
        <v>1420</v>
      </c>
      <c r="K5" s="106"/>
      <c r="L5" s="106"/>
      <c r="M5" s="3"/>
      <c r="N5" s="3"/>
      <c r="O5" s="3"/>
      <c r="P5" s="102"/>
    </row>
    <row r="6" hidden="1" spans="1:16">
      <c r="A6" s="107">
        <v>540425201916012</v>
      </c>
      <c r="B6" s="108" t="s">
        <v>20</v>
      </c>
      <c r="C6" s="108">
        <v>2019</v>
      </c>
      <c r="D6" s="58" t="s">
        <v>113</v>
      </c>
      <c r="E6" s="109">
        <v>742.0825</v>
      </c>
      <c r="F6" s="58">
        <f>SUMIF('附件5-2'!$A$4:$A$336,A6,'附件5-2'!$I$4:$I$336)</f>
        <v>4</v>
      </c>
      <c r="G6" s="75">
        <v>742</v>
      </c>
      <c r="H6" s="75">
        <v>519.4</v>
      </c>
      <c r="I6" s="58" t="s">
        <v>1421</v>
      </c>
      <c r="J6" s="108" t="s">
        <v>1063</v>
      </c>
      <c r="K6" s="9" t="s">
        <v>1422</v>
      </c>
      <c r="L6" s="9" t="s">
        <v>1123</v>
      </c>
      <c r="M6" s="9" t="s">
        <v>1422</v>
      </c>
      <c r="N6" s="9" t="s">
        <v>1423</v>
      </c>
      <c r="O6" s="9" t="s">
        <v>1422</v>
      </c>
      <c r="P6" s="58"/>
    </row>
    <row r="7" hidden="1" spans="1:16">
      <c r="A7" s="107">
        <v>540425202116013</v>
      </c>
      <c r="B7" s="108" t="s">
        <v>20</v>
      </c>
      <c r="C7" s="108">
        <v>2021</v>
      </c>
      <c r="D7" s="58" t="s">
        <v>270</v>
      </c>
      <c r="E7" s="109">
        <v>371.559052</v>
      </c>
      <c r="F7" s="58">
        <f>SUMIF('附件5-2'!$A$4:$A$336,A7,'附件5-2'!$I$4:$I$336)</f>
        <v>3</v>
      </c>
      <c r="G7" s="75">
        <v>371.559051999999</v>
      </c>
      <c r="H7" s="75">
        <v>315.825192999999</v>
      </c>
      <c r="I7" s="58" t="s">
        <v>1421</v>
      </c>
      <c r="J7" s="108" t="s">
        <v>1063</v>
      </c>
      <c r="K7" s="9" t="s">
        <v>1422</v>
      </c>
      <c r="L7" s="9" t="s">
        <v>1123</v>
      </c>
      <c r="M7" s="9" t="s">
        <v>1422</v>
      </c>
      <c r="N7" s="9" t="s">
        <v>1423</v>
      </c>
      <c r="O7" s="9" t="s">
        <v>1422</v>
      </c>
      <c r="P7" s="58"/>
    </row>
    <row r="8" hidden="1" spans="1:16">
      <c r="A8" s="107">
        <v>540425201908006</v>
      </c>
      <c r="B8" s="108" t="s">
        <v>20</v>
      </c>
      <c r="C8" s="108">
        <v>2019</v>
      </c>
      <c r="D8" s="58" t="s">
        <v>212</v>
      </c>
      <c r="E8" s="109">
        <v>60</v>
      </c>
      <c r="F8" s="58">
        <f>SUMIF('附件5-2'!$A$4:$A$336,A8,'附件5-2'!$I$4:$I$336)</f>
        <v>3</v>
      </c>
      <c r="G8" s="75">
        <v>59.05</v>
      </c>
      <c r="H8" s="75">
        <v>42.811249</v>
      </c>
      <c r="I8" s="58" t="s">
        <v>1421</v>
      </c>
      <c r="J8" s="108" t="s">
        <v>1063</v>
      </c>
      <c r="K8" s="9" t="s">
        <v>1424</v>
      </c>
      <c r="L8" s="9" t="s">
        <v>1073</v>
      </c>
      <c r="M8" s="9" t="s">
        <v>1424</v>
      </c>
      <c r="N8" s="9" t="s">
        <v>1425</v>
      </c>
      <c r="O8" s="9" t="s">
        <v>1424</v>
      </c>
      <c r="P8" s="58"/>
    </row>
    <row r="9" hidden="1" spans="1:16">
      <c r="A9" s="107">
        <v>540425202019028</v>
      </c>
      <c r="B9" s="108" t="s">
        <v>20</v>
      </c>
      <c r="C9" s="108">
        <v>2020</v>
      </c>
      <c r="D9" s="58" t="s">
        <v>490</v>
      </c>
      <c r="E9" s="109">
        <v>379</v>
      </c>
      <c r="F9" s="58">
        <f>SUMIF('附件5-2'!$A$4:$A$336,A9,'附件5-2'!$I$4:$I$336)</f>
        <v>9</v>
      </c>
      <c r="G9" s="75">
        <v>379</v>
      </c>
      <c r="H9" s="75">
        <v>189.5</v>
      </c>
      <c r="I9" s="58" t="s">
        <v>1426</v>
      </c>
      <c r="J9" s="108" t="s">
        <v>975</v>
      </c>
      <c r="K9" s="9" t="s">
        <v>1147</v>
      </c>
      <c r="L9" s="9" t="s">
        <v>1147</v>
      </c>
      <c r="M9" s="9" t="s">
        <v>1147</v>
      </c>
      <c r="N9" s="9" t="s">
        <v>1144</v>
      </c>
      <c r="O9" s="9" t="s">
        <v>1147</v>
      </c>
      <c r="P9" s="58"/>
    </row>
    <row r="10" hidden="1" spans="1:16">
      <c r="A10" s="107">
        <v>540425201807008</v>
      </c>
      <c r="B10" s="108" t="s">
        <v>20</v>
      </c>
      <c r="C10" s="108">
        <v>2018</v>
      </c>
      <c r="D10" s="58" t="s">
        <v>187</v>
      </c>
      <c r="E10" s="109">
        <v>50</v>
      </c>
      <c r="F10" s="58">
        <f>SUMIF('附件5-2'!$A$4:$A$336,A10,'附件5-2'!$I$4:$I$336)</f>
        <v>1</v>
      </c>
      <c r="G10" s="75">
        <v>50</v>
      </c>
      <c r="H10" s="75">
        <v>38.333333</v>
      </c>
      <c r="I10" s="58" t="s">
        <v>1421</v>
      </c>
      <c r="J10" s="108" t="s">
        <v>1063</v>
      </c>
      <c r="K10" s="9" t="s">
        <v>1427</v>
      </c>
      <c r="L10" s="9" t="s">
        <v>1010</v>
      </c>
      <c r="M10" s="9" t="s">
        <v>1427</v>
      </c>
      <c r="N10" s="9" t="s">
        <v>1428</v>
      </c>
      <c r="O10" s="9" t="s">
        <v>1427</v>
      </c>
      <c r="P10" s="58"/>
    </row>
    <row r="11" s="28" customFormat="1" hidden="1" spans="1:16">
      <c r="A11" s="107">
        <v>540425201807009</v>
      </c>
      <c r="B11" s="108" t="s">
        <v>20</v>
      </c>
      <c r="C11" s="108">
        <v>2018</v>
      </c>
      <c r="D11" s="58" t="s">
        <v>188</v>
      </c>
      <c r="E11" s="109">
        <v>50</v>
      </c>
      <c r="F11" s="58">
        <f>SUMIF('附件5-2'!$A$4:$A$336,A11,'附件5-2'!$I$4:$I$336)</f>
        <v>3</v>
      </c>
      <c r="G11" s="59">
        <v>52.88</v>
      </c>
      <c r="H11" s="59">
        <v>31.976</v>
      </c>
      <c r="I11" s="58" t="s">
        <v>1421</v>
      </c>
      <c r="J11" s="108" t="s">
        <v>1063</v>
      </c>
      <c r="K11" s="26" t="s">
        <v>1429</v>
      </c>
      <c r="L11" s="26" t="s">
        <v>1013</v>
      </c>
      <c r="M11" s="26" t="s">
        <v>1429</v>
      </c>
      <c r="N11" s="26" t="s">
        <v>1430</v>
      </c>
      <c r="O11" s="26" t="s">
        <v>1429</v>
      </c>
      <c r="P11" s="58"/>
    </row>
    <row r="12" hidden="1" spans="1:16">
      <c r="A12" s="107">
        <v>540425201918003</v>
      </c>
      <c r="B12" s="108" t="s">
        <v>20</v>
      </c>
      <c r="C12" s="108">
        <v>2019</v>
      </c>
      <c r="D12" s="58" t="s">
        <v>64</v>
      </c>
      <c r="E12" s="109">
        <v>2326.182556</v>
      </c>
      <c r="F12" s="58">
        <f>SUMIF('附件5-2'!$A$4:$A$336,A12,'附件5-2'!$I$4:$I$336)</f>
        <v>7</v>
      </c>
      <c r="G12" s="75">
        <v>2326.182556</v>
      </c>
      <c r="H12" s="75">
        <v>1949.85</v>
      </c>
      <c r="I12" s="58" t="s">
        <v>1426</v>
      </c>
      <c r="J12" s="108" t="s">
        <v>975</v>
      </c>
      <c r="K12" s="9" t="s">
        <v>121</v>
      </c>
      <c r="L12" s="9" t="s">
        <v>121</v>
      </c>
      <c r="M12" s="9" t="s">
        <v>121</v>
      </c>
      <c r="N12" s="9" t="s">
        <v>1431</v>
      </c>
      <c r="O12" s="9" t="s">
        <v>121</v>
      </c>
      <c r="P12" s="58"/>
    </row>
    <row r="13" hidden="1" spans="1:16">
      <c r="A13" s="107">
        <v>540425201908007</v>
      </c>
      <c r="B13" s="108" t="s">
        <v>20</v>
      </c>
      <c r="C13" s="108">
        <v>2019</v>
      </c>
      <c r="D13" s="58" t="s">
        <v>219</v>
      </c>
      <c r="E13" s="109">
        <v>30</v>
      </c>
      <c r="F13" s="58">
        <f>SUMIF('附件5-2'!$A$4:$A$336,A13,'附件5-2'!$I$4:$I$336)</f>
        <v>296</v>
      </c>
      <c r="G13" s="75">
        <v>30</v>
      </c>
      <c r="H13" s="75">
        <v>20.049333</v>
      </c>
      <c r="I13" s="58" t="s">
        <v>1421</v>
      </c>
      <c r="J13" s="108" t="s">
        <v>1063</v>
      </c>
      <c r="K13" s="9" t="s">
        <v>1427</v>
      </c>
      <c r="L13" s="9" t="s">
        <v>1086</v>
      </c>
      <c r="M13" s="9" t="s">
        <v>1427</v>
      </c>
      <c r="N13" s="9" t="s">
        <v>1428</v>
      </c>
      <c r="O13" s="9" t="s">
        <v>1427</v>
      </c>
      <c r="P13" s="58"/>
    </row>
    <row r="14" hidden="1" spans="1:16">
      <c r="A14" s="107">
        <v>540425202117014</v>
      </c>
      <c r="B14" s="108" t="s">
        <v>20</v>
      </c>
      <c r="C14" s="108">
        <v>2021</v>
      </c>
      <c r="D14" s="58" t="s">
        <v>310</v>
      </c>
      <c r="E14" s="109">
        <v>242.17359</v>
      </c>
      <c r="F14" s="58">
        <f>SUMIF('附件5-2'!$A$4:$A$336,A14,'附件5-2'!$I$4:$I$336)</f>
        <v>1</v>
      </c>
      <c r="G14" s="75">
        <v>242.17359</v>
      </c>
      <c r="H14" s="75">
        <v>215.938118</v>
      </c>
      <c r="I14" s="58" t="s">
        <v>1421</v>
      </c>
      <c r="J14" s="108" t="s">
        <v>1063</v>
      </c>
      <c r="K14" s="9" t="s">
        <v>1422</v>
      </c>
      <c r="L14" s="9" t="s">
        <v>1218</v>
      </c>
      <c r="M14" s="9" t="s">
        <v>1422</v>
      </c>
      <c r="N14" s="9" t="s">
        <v>1423</v>
      </c>
      <c r="O14" s="9" t="s">
        <v>1422</v>
      </c>
      <c r="P14" s="58"/>
    </row>
    <row r="15" hidden="1" spans="1:16">
      <c r="A15" s="107">
        <v>540425202104006</v>
      </c>
      <c r="B15" s="108" t="s">
        <v>20</v>
      </c>
      <c r="C15" s="108">
        <v>2021</v>
      </c>
      <c r="D15" s="58" t="s">
        <v>163</v>
      </c>
      <c r="E15" s="109">
        <v>383.326447</v>
      </c>
      <c r="F15" s="58">
        <f>SUMIF('附件5-2'!$A$4:$A$336,A15,'附件5-2'!$I$4:$I$336)</f>
        <v>118</v>
      </c>
      <c r="G15" s="75">
        <v>383.326447</v>
      </c>
      <c r="H15" s="75">
        <v>218.159048</v>
      </c>
      <c r="I15" s="58" t="s">
        <v>1421</v>
      </c>
      <c r="J15" s="108" t="s">
        <v>1063</v>
      </c>
      <c r="K15" s="9" t="s">
        <v>1432</v>
      </c>
      <c r="L15" s="9" t="s">
        <v>1183</v>
      </c>
      <c r="M15" s="9" t="s">
        <v>1432</v>
      </c>
      <c r="N15" s="9" t="s">
        <v>1433</v>
      </c>
      <c r="O15" s="9" t="s">
        <v>1432</v>
      </c>
      <c r="P15" s="58"/>
    </row>
    <row r="16" hidden="1" spans="1:16">
      <c r="A16" s="107">
        <v>540425202004005</v>
      </c>
      <c r="B16" s="108" t="s">
        <v>20</v>
      </c>
      <c r="C16" s="108">
        <v>2020</v>
      </c>
      <c r="D16" s="58" t="s">
        <v>263</v>
      </c>
      <c r="E16" s="109">
        <v>247.929484</v>
      </c>
      <c r="F16" s="58">
        <f>SUMIF('附件5-2'!$A$4:$A$336,A16,'附件5-2'!$I$4:$I$336)</f>
        <v>94</v>
      </c>
      <c r="G16" s="75">
        <v>247.929484</v>
      </c>
      <c r="H16" s="75">
        <v>110.009612</v>
      </c>
      <c r="I16" s="58" t="s">
        <v>1421</v>
      </c>
      <c r="J16" s="108" t="s">
        <v>1063</v>
      </c>
      <c r="K16" s="9" t="s">
        <v>1434</v>
      </c>
      <c r="L16" s="9" t="s">
        <v>1183</v>
      </c>
      <c r="M16" s="9" t="s">
        <v>1434</v>
      </c>
      <c r="N16" s="9" t="s">
        <v>1434</v>
      </c>
      <c r="O16" s="9" t="s">
        <v>1434</v>
      </c>
      <c r="P16" s="58"/>
    </row>
    <row r="17" hidden="1" spans="1:16">
      <c r="A17" s="107">
        <v>540425201619038</v>
      </c>
      <c r="B17" s="108" t="s">
        <v>20</v>
      </c>
      <c r="C17" s="108">
        <v>2016</v>
      </c>
      <c r="D17" s="58" t="s">
        <v>1435</v>
      </c>
      <c r="E17" s="109">
        <v>30</v>
      </c>
      <c r="F17" s="58">
        <f>SUMIF('附件5-2'!$A$4:$A$336,A17,'附件5-2'!$I$4:$I$336)</f>
        <v>1</v>
      </c>
      <c r="G17" s="75">
        <v>30</v>
      </c>
      <c r="H17" s="75">
        <v>17.875</v>
      </c>
      <c r="I17" s="58" t="s">
        <v>1421</v>
      </c>
      <c r="J17" s="108" t="s">
        <v>1063</v>
      </c>
      <c r="K17" s="9" t="s">
        <v>1436</v>
      </c>
      <c r="L17" s="9"/>
      <c r="M17" s="9" t="s">
        <v>1436</v>
      </c>
      <c r="N17" s="9" t="s">
        <v>1437</v>
      </c>
      <c r="O17" s="9" t="s">
        <v>1436</v>
      </c>
      <c r="P17" s="58"/>
    </row>
    <row r="18" hidden="1" spans="1:16">
      <c r="A18" s="107">
        <v>540425201719011</v>
      </c>
      <c r="B18" s="108" t="s">
        <v>20</v>
      </c>
      <c r="C18" s="108">
        <v>2017</v>
      </c>
      <c r="D18" s="58" t="s">
        <v>449</v>
      </c>
      <c r="E18" s="109">
        <v>36</v>
      </c>
      <c r="F18" s="58">
        <f>SUMIF('附件5-2'!$A$4:$A$336,A18,'附件5-2'!$I$4:$I$336)</f>
        <v>2</v>
      </c>
      <c r="G18" s="75">
        <v>36</v>
      </c>
      <c r="H18" s="75">
        <v>21.958333</v>
      </c>
      <c r="I18" s="58" t="s">
        <v>1421</v>
      </c>
      <c r="J18" s="108" t="s">
        <v>1063</v>
      </c>
      <c r="K18" s="9" t="s">
        <v>1438</v>
      </c>
      <c r="L18" s="9"/>
      <c r="M18" s="9" t="s">
        <v>1438</v>
      </c>
      <c r="N18" s="9" t="s">
        <v>1439</v>
      </c>
      <c r="O18" s="9" t="s">
        <v>1438</v>
      </c>
      <c r="P18" s="58"/>
    </row>
    <row r="19" hidden="1" spans="1:16">
      <c r="A19" s="107">
        <v>540425201805001</v>
      </c>
      <c r="B19" s="108" t="s">
        <v>20</v>
      </c>
      <c r="C19" s="108">
        <v>2018</v>
      </c>
      <c r="D19" s="58" t="s">
        <v>189</v>
      </c>
      <c r="E19" s="109">
        <v>50</v>
      </c>
      <c r="F19" s="58">
        <f>SUMIF('附件5-2'!$A$4:$A$336,A19,'附件5-2'!$I$4:$I$336)</f>
        <v>1</v>
      </c>
      <c r="G19" s="75">
        <v>50</v>
      </c>
      <c r="H19" s="75">
        <v>36.458333</v>
      </c>
      <c r="I19" s="58" t="s">
        <v>1421</v>
      </c>
      <c r="J19" s="108" t="s">
        <v>1063</v>
      </c>
      <c r="K19" s="9" t="s">
        <v>1438</v>
      </c>
      <c r="L19" s="9" t="s">
        <v>1016</v>
      </c>
      <c r="M19" s="9" t="s">
        <v>1438</v>
      </c>
      <c r="N19" s="9" t="s">
        <v>1439</v>
      </c>
      <c r="O19" s="9" t="s">
        <v>1438</v>
      </c>
      <c r="P19" s="58"/>
    </row>
    <row r="20" hidden="1" spans="1:16">
      <c r="A20" s="107">
        <v>540425201819018</v>
      </c>
      <c r="B20" s="108" t="s">
        <v>20</v>
      </c>
      <c r="C20" s="108">
        <v>2018</v>
      </c>
      <c r="D20" s="58" t="s">
        <v>471</v>
      </c>
      <c r="E20" s="109">
        <v>40</v>
      </c>
      <c r="F20" s="58">
        <f>SUMIF('附件5-2'!$A$4:$A$336,A20,'附件5-2'!$I$4:$I$336)</f>
        <v>3</v>
      </c>
      <c r="G20" s="75">
        <v>40</v>
      </c>
      <c r="H20" s="75">
        <v>24.05</v>
      </c>
      <c r="I20" s="58" t="s">
        <v>1421</v>
      </c>
      <c r="J20" s="108" t="s">
        <v>1063</v>
      </c>
      <c r="K20" s="9" t="s">
        <v>1436</v>
      </c>
      <c r="L20" s="9"/>
      <c r="M20" s="9" t="s">
        <v>1436</v>
      </c>
      <c r="N20" s="9" t="s">
        <v>1437</v>
      </c>
      <c r="O20" s="9" t="s">
        <v>1436</v>
      </c>
      <c r="P20" s="58"/>
    </row>
    <row r="21" ht="28" spans="1:16">
      <c r="A21" s="107">
        <v>540425202204008</v>
      </c>
      <c r="B21" s="108" t="s">
        <v>20</v>
      </c>
      <c r="C21" s="108">
        <v>2022</v>
      </c>
      <c r="D21" s="58" t="s">
        <v>168</v>
      </c>
      <c r="E21" s="109">
        <v>945.208976</v>
      </c>
      <c r="F21" s="58">
        <f>SUMIF('附件5-2'!$A$4:$A$336,A21,'附件5-2'!$I$4:$I$336)</f>
        <v>180</v>
      </c>
      <c r="G21" s="75">
        <f>E21</f>
        <v>945.208976</v>
      </c>
      <c r="H21" s="75">
        <v>801.968318</v>
      </c>
      <c r="I21" s="58" t="s">
        <v>1421</v>
      </c>
      <c r="J21" s="108" t="s">
        <v>1063</v>
      </c>
      <c r="K21" s="9" t="s">
        <v>1440</v>
      </c>
      <c r="L21" s="9" t="s">
        <v>1183</v>
      </c>
      <c r="M21" s="9" t="s">
        <v>1440</v>
      </c>
      <c r="N21" s="9" t="s">
        <v>1441</v>
      </c>
      <c r="O21" s="9" t="s">
        <v>1440</v>
      </c>
      <c r="P21" s="58"/>
    </row>
    <row r="22" hidden="1" spans="1:16">
      <c r="A22" s="107">
        <v>540425201718002</v>
      </c>
      <c r="B22" s="108" t="s">
        <v>20</v>
      </c>
      <c r="C22" s="108">
        <v>2017</v>
      </c>
      <c r="D22" s="58" t="s">
        <v>291</v>
      </c>
      <c r="E22" s="109">
        <v>1904.50766838959</v>
      </c>
      <c r="F22" s="58">
        <f>SUMIF('附件5-2'!$A$4:$A$336,A22,'附件5-2'!$I$4:$I$336)</f>
        <v>3</v>
      </c>
      <c r="G22" s="75">
        <v>1904.507668</v>
      </c>
      <c r="H22" s="75">
        <v>1301.413574</v>
      </c>
      <c r="I22" s="58" t="s">
        <v>1426</v>
      </c>
      <c r="J22" s="108" t="s">
        <v>975</v>
      </c>
      <c r="K22" s="9" t="s">
        <v>121</v>
      </c>
      <c r="L22" s="9" t="s">
        <v>121</v>
      </c>
      <c r="M22" s="9" t="s">
        <v>121</v>
      </c>
      <c r="N22" s="9" t="s">
        <v>1431</v>
      </c>
      <c r="O22" s="9" t="s">
        <v>121</v>
      </c>
      <c r="P22" s="58"/>
    </row>
    <row r="23" ht="28" hidden="1" spans="1:16">
      <c r="A23" s="107">
        <v>540425201807007</v>
      </c>
      <c r="B23" s="108" t="s">
        <v>20</v>
      </c>
      <c r="C23" s="108">
        <v>2018</v>
      </c>
      <c r="D23" s="58" t="s">
        <v>185</v>
      </c>
      <c r="E23" s="109">
        <v>76.36</v>
      </c>
      <c r="F23" s="58">
        <f>SUMIF('附件5-2'!$A$4:$A$336,A23,'附件5-2'!$I$4:$I$336)</f>
        <v>232</v>
      </c>
      <c r="G23" s="75">
        <v>50</v>
      </c>
      <c r="H23" s="75">
        <v>19.519793</v>
      </c>
      <c r="I23" s="58" t="s">
        <v>1421</v>
      </c>
      <c r="J23" s="108" t="s">
        <v>1063</v>
      </c>
      <c r="K23" s="9" t="s">
        <v>1442</v>
      </c>
      <c r="L23" s="9" t="s">
        <v>1004</v>
      </c>
      <c r="M23" s="9" t="s">
        <v>1442</v>
      </c>
      <c r="N23" s="9" t="s">
        <v>1443</v>
      </c>
      <c r="O23" s="9" t="s">
        <v>1442</v>
      </c>
      <c r="P23" s="58"/>
    </row>
    <row r="24" hidden="1" spans="1:16">
      <c r="A24" s="107">
        <v>540425201808005</v>
      </c>
      <c r="B24" s="108" t="s">
        <v>20</v>
      </c>
      <c r="C24" s="108">
        <v>2018</v>
      </c>
      <c r="D24" s="58" t="s">
        <v>186</v>
      </c>
      <c r="E24" s="109">
        <v>50</v>
      </c>
      <c r="F24" s="58">
        <f>SUMIF('附件5-2'!$A$4:$A$336,A24,'附件5-2'!$I$4:$I$336)</f>
        <v>1137</v>
      </c>
      <c r="G24" s="75">
        <v>50</v>
      </c>
      <c r="H24" s="75">
        <v>21.583333</v>
      </c>
      <c r="I24" s="58" t="s">
        <v>1421</v>
      </c>
      <c r="J24" s="108" t="s">
        <v>1063</v>
      </c>
      <c r="K24" s="9" t="s">
        <v>1442</v>
      </c>
      <c r="L24" s="9" t="s">
        <v>1006</v>
      </c>
      <c r="M24" s="9" t="s">
        <v>1442</v>
      </c>
      <c r="N24" s="9" t="s">
        <v>1443</v>
      </c>
      <c r="O24" s="9" t="s">
        <v>1442</v>
      </c>
      <c r="P24" s="58"/>
    </row>
    <row r="25" hidden="1" spans="1:16">
      <c r="A25" s="107">
        <v>540425201819017</v>
      </c>
      <c r="B25" s="108" t="s">
        <v>20</v>
      </c>
      <c r="C25" s="108">
        <v>2018</v>
      </c>
      <c r="D25" s="26" t="s">
        <v>470</v>
      </c>
      <c r="E25" s="109">
        <v>30</v>
      </c>
      <c r="F25" s="58">
        <f>SUMIF('附件5-2'!$A$4:$A$336,A25,'附件5-2'!$I$4:$I$336)</f>
        <v>1</v>
      </c>
      <c r="G25" s="75">
        <v>30</v>
      </c>
      <c r="H25" s="75">
        <v>19.5</v>
      </c>
      <c r="I25" s="58" t="s">
        <v>1421</v>
      </c>
      <c r="J25" s="108" t="s">
        <v>1063</v>
      </c>
      <c r="K25" s="9" t="s">
        <v>1442</v>
      </c>
      <c r="L25" s="9" t="s">
        <v>1065</v>
      </c>
      <c r="M25" s="9" t="s">
        <v>1442</v>
      </c>
      <c r="N25" s="9" t="s">
        <v>1443</v>
      </c>
      <c r="O25" s="9" t="s">
        <v>1442</v>
      </c>
      <c r="P25" s="58"/>
    </row>
    <row r="26" hidden="1" spans="1:16">
      <c r="A26" s="107">
        <v>540425201517003</v>
      </c>
      <c r="B26" s="108" t="s">
        <v>20</v>
      </c>
      <c r="C26" s="108">
        <v>2015</v>
      </c>
      <c r="D26" s="26" t="s">
        <v>379</v>
      </c>
      <c r="E26" s="109">
        <v>200</v>
      </c>
      <c r="F26" s="58">
        <f>SUMIF('附件5-2'!$A$4:$A$336,A26,'附件5-2'!$I$4:$I$336)</f>
        <v>1</v>
      </c>
      <c r="G26" s="75">
        <v>200</v>
      </c>
      <c r="H26" s="75">
        <v>109.166667</v>
      </c>
      <c r="I26" s="58" t="s">
        <v>1421</v>
      </c>
      <c r="J26" s="108" t="s">
        <v>1063</v>
      </c>
      <c r="K26" s="26" t="s">
        <v>1444</v>
      </c>
      <c r="L26" s="26" t="s">
        <v>932</v>
      </c>
      <c r="M26" s="9" t="s">
        <v>1444</v>
      </c>
      <c r="N26" s="26" t="s">
        <v>1445</v>
      </c>
      <c r="O26" s="9" t="s">
        <v>1444</v>
      </c>
      <c r="P26" s="58"/>
    </row>
    <row r="27" hidden="1" spans="1:16">
      <c r="A27" s="107">
        <v>540425202117015</v>
      </c>
      <c r="B27" s="108" t="s">
        <v>20</v>
      </c>
      <c r="C27" s="108">
        <v>2021</v>
      </c>
      <c r="D27" s="26" t="s">
        <v>507</v>
      </c>
      <c r="E27" s="109">
        <v>400</v>
      </c>
      <c r="F27" s="58">
        <f>SUMIF('附件5-2'!$A$4:$A$336,A27,'附件5-2'!$I$4:$I$336)</f>
        <v>1</v>
      </c>
      <c r="G27" s="75">
        <v>400</v>
      </c>
      <c r="H27" s="75">
        <v>338.333333</v>
      </c>
      <c r="I27" s="58" t="s">
        <v>1421</v>
      </c>
      <c r="J27" s="108" t="s">
        <v>1063</v>
      </c>
      <c r="K27" s="26" t="s">
        <v>1444</v>
      </c>
      <c r="L27" s="26" t="s">
        <v>1222</v>
      </c>
      <c r="M27" s="9" t="s">
        <v>1444</v>
      </c>
      <c r="N27" s="26" t="s">
        <v>1445</v>
      </c>
      <c r="O27" s="9" t="s">
        <v>1444</v>
      </c>
      <c r="P27" s="58"/>
    </row>
    <row r="28" hidden="1" spans="1:16">
      <c r="A28" s="107">
        <v>540425201304001</v>
      </c>
      <c r="B28" s="108" t="s">
        <v>20</v>
      </c>
      <c r="C28" s="108">
        <v>2013</v>
      </c>
      <c r="D28" s="26" t="s">
        <v>1446</v>
      </c>
      <c r="E28" s="109">
        <v>151</v>
      </c>
      <c r="F28" s="58">
        <f>SUMIF('附件5-2'!$A$4:$A$336,A28,'附件5-2'!$I$4:$I$336)</f>
        <v>3</v>
      </c>
      <c r="G28" s="75">
        <v>151</v>
      </c>
      <c r="H28" s="75">
        <v>67.320833</v>
      </c>
      <c r="I28" s="58" t="s">
        <v>1421</v>
      </c>
      <c r="J28" s="108" t="s">
        <v>1063</v>
      </c>
      <c r="K28" s="26" t="s">
        <v>1444</v>
      </c>
      <c r="L28" s="26"/>
      <c r="M28" s="9" t="s">
        <v>1444</v>
      </c>
      <c r="N28" s="26" t="s">
        <v>1445</v>
      </c>
      <c r="O28" s="9" t="s">
        <v>1444</v>
      </c>
      <c r="P28" s="58"/>
    </row>
    <row r="29" hidden="1" spans="1:16">
      <c r="A29" s="107">
        <v>540425201719012</v>
      </c>
      <c r="B29" s="108" t="s">
        <v>20</v>
      </c>
      <c r="C29" s="108">
        <v>2017</v>
      </c>
      <c r="D29" s="26" t="s">
        <v>453</v>
      </c>
      <c r="E29" s="109">
        <v>20</v>
      </c>
      <c r="F29" s="58">
        <f>SUMIF('附件5-2'!$A$4:$A$336,A29,'附件5-2'!$I$4:$I$336)</f>
        <v>1</v>
      </c>
      <c r="G29" s="75">
        <v>20</v>
      </c>
      <c r="H29" s="75">
        <v>12.916667</v>
      </c>
      <c r="I29" s="58" t="s">
        <v>1421</v>
      </c>
      <c r="J29" s="108" t="s">
        <v>1063</v>
      </c>
      <c r="K29" s="26" t="s">
        <v>1444</v>
      </c>
      <c r="L29" s="26" t="s">
        <v>993</v>
      </c>
      <c r="M29" s="9" t="s">
        <v>1444</v>
      </c>
      <c r="N29" s="26" t="s">
        <v>1445</v>
      </c>
      <c r="O29" s="9" t="s">
        <v>1444</v>
      </c>
      <c r="P29" s="58"/>
    </row>
    <row r="30" hidden="1" spans="1:16">
      <c r="A30" s="107">
        <v>540425201807010</v>
      </c>
      <c r="B30" s="108" t="s">
        <v>20</v>
      </c>
      <c r="C30" s="108">
        <v>2018</v>
      </c>
      <c r="D30" s="58" t="s">
        <v>190</v>
      </c>
      <c r="E30" s="109">
        <v>50</v>
      </c>
      <c r="F30" s="58">
        <f>SUMIF('附件5-2'!$A$4:$A$336,A30,'附件5-2'!$I$4:$I$336)</f>
        <v>67</v>
      </c>
      <c r="G30" s="75">
        <v>50</v>
      </c>
      <c r="H30" s="75">
        <v>20.182334</v>
      </c>
      <c r="I30" s="58" t="s">
        <v>1421</v>
      </c>
      <c r="J30" s="108" t="s">
        <v>1063</v>
      </c>
      <c r="K30" s="9" t="s">
        <v>1447</v>
      </c>
      <c r="L30" s="9" t="s">
        <v>1019</v>
      </c>
      <c r="M30" s="9" t="s">
        <v>1447</v>
      </c>
      <c r="N30" s="9" t="s">
        <v>1448</v>
      </c>
      <c r="O30" s="9" t="s">
        <v>1447</v>
      </c>
      <c r="P30" s="58"/>
    </row>
    <row r="31" hidden="1" spans="1:16">
      <c r="A31" s="107">
        <v>540425202019030</v>
      </c>
      <c r="B31" s="108" t="s">
        <v>20</v>
      </c>
      <c r="C31" s="108">
        <v>2020</v>
      </c>
      <c r="D31" s="58" t="s">
        <v>126</v>
      </c>
      <c r="E31" s="109">
        <v>59.36</v>
      </c>
      <c r="F31" s="58">
        <f>SUMIF('附件5-2'!$A$4:$A$336,A31,'附件5-2'!$I$4:$I$336)</f>
        <v>2</v>
      </c>
      <c r="G31" s="75">
        <v>60</v>
      </c>
      <c r="H31" s="75">
        <v>30</v>
      </c>
      <c r="I31" s="58" t="s">
        <v>1421</v>
      </c>
      <c r="J31" s="108" t="s">
        <v>1063</v>
      </c>
      <c r="K31" s="9" t="s">
        <v>1447</v>
      </c>
      <c r="L31" s="9" t="s">
        <v>981</v>
      </c>
      <c r="M31" s="9" t="s">
        <v>1447</v>
      </c>
      <c r="N31" s="9" t="s">
        <v>1448</v>
      </c>
      <c r="O31" s="9" t="s">
        <v>1447</v>
      </c>
      <c r="P31" s="58"/>
    </row>
    <row r="32" hidden="1" spans="1:16">
      <c r="A32" s="107">
        <v>540425201907012</v>
      </c>
      <c r="B32" s="108" t="s">
        <v>20</v>
      </c>
      <c r="C32" s="108">
        <v>2019</v>
      </c>
      <c r="D32" s="58" t="s">
        <v>214</v>
      </c>
      <c r="E32" s="109">
        <v>50</v>
      </c>
      <c r="F32" s="58">
        <f>SUMIF('附件5-2'!$A$4:$A$336,A32,'附件5-2'!$I$4:$I$336)</f>
        <v>69</v>
      </c>
      <c r="G32" s="75">
        <v>50</v>
      </c>
      <c r="H32" s="75">
        <v>18.342334</v>
      </c>
      <c r="I32" s="58" t="s">
        <v>1421</v>
      </c>
      <c r="J32" s="108" t="s">
        <v>1063</v>
      </c>
      <c r="K32" s="9" t="s">
        <v>1449</v>
      </c>
      <c r="L32" s="9" t="s">
        <v>1076</v>
      </c>
      <c r="M32" s="9" t="s">
        <v>1449</v>
      </c>
      <c r="N32" s="9" t="s">
        <v>1450</v>
      </c>
      <c r="O32" s="9" t="s">
        <v>1449</v>
      </c>
      <c r="P32" s="58"/>
    </row>
    <row r="33" ht="42" hidden="1" spans="1:16">
      <c r="A33" s="107">
        <v>540425202315008</v>
      </c>
      <c r="B33" s="108" t="s">
        <v>20</v>
      </c>
      <c r="C33" s="108">
        <v>2023</v>
      </c>
      <c r="D33" s="58" t="s">
        <v>512</v>
      </c>
      <c r="E33" s="109">
        <v>140</v>
      </c>
      <c r="F33" s="58">
        <f>SUMIF('附件5-2'!$A$4:$A$336,A33,'附件5-2'!$I$4:$I$336)</f>
        <v>1</v>
      </c>
      <c r="G33" s="75">
        <v>140</v>
      </c>
      <c r="H33" s="75">
        <v>0</v>
      </c>
      <c r="I33" s="58" t="s">
        <v>1421</v>
      </c>
      <c r="J33" s="108" t="s">
        <v>1063</v>
      </c>
      <c r="K33" s="9" t="s">
        <v>1451</v>
      </c>
      <c r="L33" s="9" t="s">
        <v>1254</v>
      </c>
      <c r="M33" s="9" t="s">
        <v>1451</v>
      </c>
      <c r="N33" s="9" t="s">
        <v>1452</v>
      </c>
      <c r="O33" s="9" t="s">
        <v>1451</v>
      </c>
      <c r="P33" s="58"/>
    </row>
    <row r="34" hidden="1" spans="1:16">
      <c r="A34" s="107">
        <v>540425202204009</v>
      </c>
      <c r="B34" s="108" t="s">
        <v>20</v>
      </c>
      <c r="C34" s="108">
        <v>2022</v>
      </c>
      <c r="D34" s="58" t="s">
        <v>326</v>
      </c>
      <c r="E34" s="109">
        <v>94.24684</v>
      </c>
      <c r="F34" s="58">
        <f>SUMIF('附件5-2'!$A$4:$A$336,A34,'附件5-2'!$I$4:$I$336)</f>
        <v>1</v>
      </c>
      <c r="G34" s="75">
        <v>94.24684</v>
      </c>
      <c r="H34" s="75">
        <v>86.785632</v>
      </c>
      <c r="I34" s="58" t="s">
        <v>1421</v>
      </c>
      <c r="J34" s="108" t="s">
        <v>1063</v>
      </c>
      <c r="K34" s="9" t="s">
        <v>1444</v>
      </c>
      <c r="L34" s="110"/>
      <c r="M34" s="9" t="s">
        <v>1444</v>
      </c>
      <c r="N34" s="9" t="s">
        <v>1445</v>
      </c>
      <c r="O34" s="9" t="s">
        <v>1444</v>
      </c>
      <c r="P34" s="58"/>
    </row>
    <row r="35" hidden="1" spans="1:16">
      <c r="A35" s="107">
        <v>540425201715001</v>
      </c>
      <c r="B35" s="108" t="s">
        <v>20</v>
      </c>
      <c r="C35" s="108">
        <v>2017</v>
      </c>
      <c r="D35" s="58" t="s">
        <v>287</v>
      </c>
      <c r="E35" s="109">
        <v>132.705999</v>
      </c>
      <c r="F35" s="58">
        <f>SUMIF('附件5-2'!$A$4:$A$336,A35,'附件5-2'!$I$4:$I$336)</f>
        <v>6003</v>
      </c>
      <c r="G35" s="75">
        <v>126.005999</v>
      </c>
      <c r="H35" s="75">
        <v>71.056233</v>
      </c>
      <c r="I35" s="58" t="s">
        <v>1421</v>
      </c>
      <c r="J35" s="108" t="s">
        <v>1063</v>
      </c>
      <c r="K35" s="9" t="s">
        <v>1453</v>
      </c>
      <c r="L35" s="110" t="s">
        <v>981</v>
      </c>
      <c r="M35" s="9" t="s">
        <v>1453</v>
      </c>
      <c r="N35" s="9" t="s">
        <v>1454</v>
      </c>
      <c r="O35" s="9" t="s">
        <v>1453</v>
      </c>
      <c r="P35" s="58"/>
    </row>
    <row r="36" hidden="1" spans="1:16">
      <c r="A36" s="107">
        <v>540425202115006</v>
      </c>
      <c r="B36" s="108" t="s">
        <v>20</v>
      </c>
      <c r="C36" s="108">
        <v>2021</v>
      </c>
      <c r="D36" s="58" t="s">
        <v>503</v>
      </c>
      <c r="E36" s="109">
        <v>229.48</v>
      </c>
      <c r="F36" s="58">
        <f>SUMIF('附件5-2'!$A$4:$A$336,A36,'附件5-2'!$I$4:$I$336)</f>
        <v>100</v>
      </c>
      <c r="G36" s="75">
        <v>229.48</v>
      </c>
      <c r="H36" s="75">
        <v>160.636</v>
      </c>
      <c r="I36" s="58" t="s">
        <v>1421</v>
      </c>
      <c r="J36" s="108" t="s">
        <v>1063</v>
      </c>
      <c r="K36" s="9" t="s">
        <v>1453</v>
      </c>
      <c r="L36" s="110" t="s">
        <v>981</v>
      </c>
      <c r="M36" s="9" t="s">
        <v>1453</v>
      </c>
      <c r="N36" s="9" t="s">
        <v>1454</v>
      </c>
      <c r="O36" s="9" t="s">
        <v>1453</v>
      </c>
      <c r="P36" s="58"/>
    </row>
    <row r="37" hidden="1" spans="1:16">
      <c r="A37" s="107">
        <v>540425202115004</v>
      </c>
      <c r="B37" s="108" t="s">
        <v>20</v>
      </c>
      <c r="C37" s="108">
        <v>2021</v>
      </c>
      <c r="D37" s="58" t="s">
        <v>500</v>
      </c>
      <c r="E37" s="109">
        <v>65.475</v>
      </c>
      <c r="F37" s="58">
        <f>SUMIF('附件5-2'!$A$4:$A$336,A37,'附件5-2'!$I$4:$I$336)</f>
        <v>1</v>
      </c>
      <c r="G37" s="75">
        <v>11.52</v>
      </c>
      <c r="H37" s="75">
        <v>7.872</v>
      </c>
      <c r="I37" s="58" t="s">
        <v>1421</v>
      </c>
      <c r="J37" s="108" t="s">
        <v>1063</v>
      </c>
      <c r="K37" s="9" t="s">
        <v>1453</v>
      </c>
      <c r="L37" s="110"/>
      <c r="M37" s="9" t="s">
        <v>1453</v>
      </c>
      <c r="N37" s="9" t="s">
        <v>1454</v>
      </c>
      <c r="O37" s="9" t="s">
        <v>1453</v>
      </c>
      <c r="P37" s="58"/>
    </row>
    <row r="38" hidden="1" spans="1:16">
      <c r="A38" s="107">
        <v>540425202117013</v>
      </c>
      <c r="B38" s="108" t="s">
        <v>20</v>
      </c>
      <c r="C38" s="108">
        <v>2021</v>
      </c>
      <c r="D38" s="58" t="s">
        <v>272</v>
      </c>
      <c r="E38" s="109">
        <v>45</v>
      </c>
      <c r="F38" s="58">
        <f>SUMIF('附件5-2'!$A$4:$A$336,A38,'附件5-2'!$I$4:$I$336)</f>
        <v>10</v>
      </c>
      <c r="G38" s="75">
        <v>45</v>
      </c>
      <c r="H38" s="75">
        <v>30.749999</v>
      </c>
      <c r="I38" s="58" t="s">
        <v>1421</v>
      </c>
      <c r="J38" s="108" t="s">
        <v>1063</v>
      </c>
      <c r="K38" s="9" t="s">
        <v>1453</v>
      </c>
      <c r="L38" s="110"/>
      <c r="M38" s="9" t="s">
        <v>1453</v>
      </c>
      <c r="N38" s="9" t="s">
        <v>1454</v>
      </c>
      <c r="O38" s="9" t="s">
        <v>1453</v>
      </c>
      <c r="P38" s="58"/>
    </row>
    <row r="39" hidden="1" spans="1:16">
      <c r="A39" s="107">
        <v>540425202212029</v>
      </c>
      <c r="B39" s="108" t="s">
        <v>20</v>
      </c>
      <c r="C39" s="108">
        <v>2022</v>
      </c>
      <c r="D39" s="58" t="s">
        <v>621</v>
      </c>
      <c r="E39" s="109">
        <v>402.644336</v>
      </c>
      <c r="F39" s="58">
        <f>SUMIF('附件5-2'!$A$4:$A$336,A39,'附件5-2'!$I$4:$I$336)</f>
        <v>9</v>
      </c>
      <c r="G39" s="75">
        <v>201.25</v>
      </c>
      <c r="H39" s="75">
        <v>168.739375</v>
      </c>
      <c r="I39" s="58" t="s">
        <v>1421</v>
      </c>
      <c r="J39" s="108" t="s">
        <v>1063</v>
      </c>
      <c r="K39" s="9" t="s">
        <v>1455</v>
      </c>
      <c r="L39" s="110"/>
      <c r="M39" s="9" t="s">
        <v>1455</v>
      </c>
      <c r="N39" s="9" t="s">
        <v>1456</v>
      </c>
      <c r="O39" s="9" t="s">
        <v>1455</v>
      </c>
      <c r="P39" s="58"/>
    </row>
    <row r="40" ht="28" hidden="1" spans="1:16">
      <c r="A40" s="107">
        <v>540425202012020</v>
      </c>
      <c r="B40" s="108" t="s">
        <v>20</v>
      </c>
      <c r="C40" s="108">
        <v>2020</v>
      </c>
      <c r="D40" s="58" t="s">
        <v>566</v>
      </c>
      <c r="E40" s="109">
        <v>176.380201</v>
      </c>
      <c r="F40" s="58">
        <f>SUMIF('附件5-2'!$A$4:$A$336,A40,'附件5-2'!$I$4:$I$336)</f>
        <v>266.46</v>
      </c>
      <c r="G40" s="75">
        <v>40.59</v>
      </c>
      <c r="H40" s="75">
        <v>23.001</v>
      </c>
      <c r="I40" s="58" t="s">
        <v>1421</v>
      </c>
      <c r="J40" s="108" t="s">
        <v>1063</v>
      </c>
      <c r="K40" s="9" t="s">
        <v>1455</v>
      </c>
      <c r="L40" s="110" t="s">
        <v>1180</v>
      </c>
      <c r="M40" s="9" t="s">
        <v>1455</v>
      </c>
      <c r="N40" s="9" t="s">
        <v>1456</v>
      </c>
      <c r="O40" s="9" t="s">
        <v>1455</v>
      </c>
      <c r="P40" s="58"/>
    </row>
    <row r="41" ht="56" hidden="1" spans="1:16">
      <c r="A41" s="107">
        <v>540425201715002</v>
      </c>
      <c r="B41" s="108" t="s">
        <v>20</v>
      </c>
      <c r="C41" s="108">
        <v>2017</v>
      </c>
      <c r="D41" s="58" t="s">
        <v>55</v>
      </c>
      <c r="E41" s="109">
        <v>1484.39</v>
      </c>
      <c r="F41" s="58">
        <f>SUMIF('附件5-2'!$A$4:$A$336,A41,'附件5-2'!$I$4:$I$336)</f>
        <v>966</v>
      </c>
      <c r="G41" s="75">
        <v>0</v>
      </c>
      <c r="H41" s="75">
        <v>0</v>
      </c>
      <c r="I41" s="58" t="s">
        <v>1421</v>
      </c>
      <c r="J41" s="108" t="s">
        <v>1063</v>
      </c>
      <c r="K41" s="9" t="s">
        <v>1457</v>
      </c>
      <c r="L41" s="110" t="s">
        <v>988</v>
      </c>
      <c r="M41" s="9" t="s">
        <v>1457</v>
      </c>
      <c r="N41" s="9" t="s">
        <v>1458</v>
      </c>
      <c r="O41" s="9" t="s">
        <v>1457</v>
      </c>
      <c r="P41" s="58"/>
    </row>
    <row r="42" ht="28" hidden="1" spans="1:16">
      <c r="A42" s="107">
        <v>540425202321003</v>
      </c>
      <c r="B42" s="108" t="s">
        <v>20</v>
      </c>
      <c r="C42" s="108">
        <v>2023</v>
      </c>
      <c r="D42" s="58" t="s">
        <v>622</v>
      </c>
      <c r="E42" s="109">
        <v>759.384732</v>
      </c>
      <c r="F42" s="58">
        <f>SUMIF('附件5-2'!$A$4:$A$336,A42,'附件5-2'!$I$4:$I$336)</f>
        <v>2</v>
      </c>
      <c r="G42" s="75">
        <v>693.896611</v>
      </c>
      <c r="H42" s="75">
        <v>624.883045</v>
      </c>
      <c r="I42" s="58" t="s">
        <v>1421</v>
      </c>
      <c r="J42" s="108" t="s">
        <v>1063</v>
      </c>
      <c r="K42" s="9" t="s">
        <v>1455</v>
      </c>
      <c r="L42" s="110" t="s">
        <v>1180</v>
      </c>
      <c r="M42" s="9" t="s">
        <v>1455</v>
      </c>
      <c r="N42" s="9" t="s">
        <v>1456</v>
      </c>
      <c r="O42" s="9" t="s">
        <v>1455</v>
      </c>
      <c r="P42" s="58"/>
    </row>
    <row r="43" hidden="1" spans="1:16">
      <c r="A43" s="107">
        <v>540425201907013</v>
      </c>
      <c r="B43" s="108" t="s">
        <v>20</v>
      </c>
      <c r="C43" s="108">
        <v>2019</v>
      </c>
      <c r="D43" s="58" t="s">
        <v>215</v>
      </c>
      <c r="E43" s="109">
        <v>30</v>
      </c>
      <c r="F43" s="58">
        <f>SUMIF('附件5-2'!$A$4:$A$336,A43,'附件5-2'!$I$4:$I$336)</f>
        <v>1</v>
      </c>
      <c r="G43" s="75">
        <v>30</v>
      </c>
      <c r="H43" s="75">
        <v>22.5</v>
      </c>
      <c r="I43" s="58" t="s">
        <v>1421</v>
      </c>
      <c r="J43" s="108" t="s">
        <v>1063</v>
      </c>
      <c r="K43" s="9" t="s">
        <v>1459</v>
      </c>
      <c r="L43" s="110" t="s">
        <v>1460</v>
      </c>
      <c r="M43" s="9" t="s">
        <v>1459</v>
      </c>
      <c r="N43" s="9" t="s">
        <v>1461</v>
      </c>
      <c r="O43" s="9" t="s">
        <v>1459</v>
      </c>
      <c r="P43" s="58"/>
    </row>
    <row r="44" hidden="1" spans="1:16">
      <c r="A44" s="107">
        <v>540425202219035</v>
      </c>
      <c r="B44" s="108" t="s">
        <v>20</v>
      </c>
      <c r="C44" s="108">
        <v>2022</v>
      </c>
      <c r="D44" s="58" t="s">
        <v>274</v>
      </c>
      <c r="E44" s="109">
        <v>178.858872</v>
      </c>
      <c r="F44" s="58">
        <f>SUMIF('附件5-2'!$A$4:$A$336,A44,'附件5-2'!$I$4:$I$336)</f>
        <v>4</v>
      </c>
      <c r="G44" s="75">
        <v>111.44</v>
      </c>
      <c r="H44" s="75">
        <v>94.51</v>
      </c>
      <c r="I44" s="58" t="s">
        <v>1421</v>
      </c>
      <c r="J44" s="108" t="s">
        <v>1063</v>
      </c>
      <c r="K44" s="9" t="s">
        <v>1462</v>
      </c>
      <c r="L44" s="110" t="s">
        <v>1235</v>
      </c>
      <c r="M44" s="9" t="s">
        <v>1462</v>
      </c>
      <c r="N44" s="9" t="s">
        <v>1463</v>
      </c>
      <c r="O44" s="9" t="s">
        <v>1462</v>
      </c>
      <c r="P44" s="58"/>
    </row>
    <row r="45" hidden="1" spans="1:16">
      <c r="A45" s="107">
        <v>540425201812006</v>
      </c>
      <c r="B45" s="108" t="s">
        <v>20</v>
      </c>
      <c r="C45" s="108">
        <v>2018</v>
      </c>
      <c r="D45" s="58" t="s">
        <v>454</v>
      </c>
      <c r="E45" s="109">
        <v>2000</v>
      </c>
      <c r="F45" s="58">
        <f>SUMIF('附件5-2'!$A$4:$A$336,A45,'附件5-2'!$I$4:$I$336)</f>
        <v>0</v>
      </c>
      <c r="G45" s="75">
        <v>0</v>
      </c>
      <c r="H45" s="75">
        <v>0</v>
      </c>
      <c r="I45" s="58" t="s">
        <v>1464</v>
      </c>
      <c r="J45" s="108" t="s">
        <v>1460</v>
      </c>
      <c r="K45" s="9" t="s">
        <v>1460</v>
      </c>
      <c r="L45" s="110" t="s">
        <v>1460</v>
      </c>
      <c r="M45" s="9" t="s">
        <v>1460</v>
      </c>
      <c r="N45" s="9" t="s">
        <v>1460</v>
      </c>
      <c r="O45" s="9" t="s">
        <v>1460</v>
      </c>
      <c r="P45" s="58"/>
    </row>
    <row r="46" hidden="1" spans="1:16">
      <c r="A46" s="107">
        <v>540425201907015</v>
      </c>
      <c r="B46" s="108" t="s">
        <v>20</v>
      </c>
      <c r="C46" s="108">
        <v>2019</v>
      </c>
      <c r="D46" s="58" t="s">
        <v>218</v>
      </c>
      <c r="E46" s="109">
        <v>20</v>
      </c>
      <c r="F46" s="58">
        <f>SUMIF('附件5-2'!$A$4:$A$336,A46,'附件5-2'!$I$4:$I$336)</f>
        <v>1</v>
      </c>
      <c r="G46" s="75">
        <v>20</v>
      </c>
      <c r="H46" s="75">
        <v>14.916667</v>
      </c>
      <c r="I46" s="58" t="s">
        <v>1421</v>
      </c>
      <c r="J46" s="108" t="s">
        <v>1063</v>
      </c>
      <c r="K46" s="9" t="s">
        <v>1465</v>
      </c>
      <c r="L46" s="110" t="s">
        <v>1460</v>
      </c>
      <c r="M46" s="9" t="s">
        <v>1465</v>
      </c>
      <c r="N46" s="9" t="s">
        <v>1466</v>
      </c>
      <c r="O46" s="9" t="s">
        <v>1465</v>
      </c>
      <c r="P46" s="58"/>
    </row>
    <row r="47" hidden="1" spans="1:16">
      <c r="A47" s="107">
        <v>540425202115005</v>
      </c>
      <c r="B47" s="108" t="s">
        <v>20</v>
      </c>
      <c r="C47" s="108">
        <v>2021</v>
      </c>
      <c r="D47" s="58" t="s">
        <v>273</v>
      </c>
      <c r="E47" s="109">
        <v>71.78243</v>
      </c>
      <c r="F47" s="58">
        <f>SUMIF('附件5-2'!$A$4:$A$336,A47,'附件5-2'!$I$4:$I$336)</f>
        <v>2</v>
      </c>
      <c r="G47" s="75">
        <v>71.81</v>
      </c>
      <c r="H47" s="75">
        <v>49.668584</v>
      </c>
      <c r="I47" s="58" t="s">
        <v>1421</v>
      </c>
      <c r="J47" s="108" t="s">
        <v>1063</v>
      </c>
      <c r="K47" s="9" t="s">
        <v>1467</v>
      </c>
      <c r="L47" s="110" t="s">
        <v>1460</v>
      </c>
      <c r="M47" s="9" t="s">
        <v>1467</v>
      </c>
      <c r="N47" s="9" t="s">
        <v>1468</v>
      </c>
      <c r="O47" s="9" t="s">
        <v>1467</v>
      </c>
      <c r="P47" s="58"/>
    </row>
    <row r="48" hidden="1" spans="1:16">
      <c r="A48" s="107">
        <v>540425202215007</v>
      </c>
      <c r="B48" s="108" t="s">
        <v>20</v>
      </c>
      <c r="C48" s="108">
        <v>2022</v>
      </c>
      <c r="D48" s="58" t="s">
        <v>601</v>
      </c>
      <c r="E48" s="109">
        <v>454</v>
      </c>
      <c r="F48" s="58">
        <f>SUMIF('附件5-2'!$A$4:$A$336,A48,'附件5-2'!$I$4:$I$336)</f>
        <v>803</v>
      </c>
      <c r="G48" s="75">
        <v>69.08</v>
      </c>
      <c r="H48" s="75">
        <v>55.839666</v>
      </c>
      <c r="I48" s="58" t="s">
        <v>1421</v>
      </c>
      <c r="J48" s="108" t="s">
        <v>1063</v>
      </c>
      <c r="K48" s="9" t="s">
        <v>1469</v>
      </c>
      <c r="L48" s="110" t="s">
        <v>1460</v>
      </c>
      <c r="M48" s="9" t="s">
        <v>1469</v>
      </c>
      <c r="N48" s="9" t="s">
        <v>1470</v>
      </c>
      <c r="O48" s="9" t="s">
        <v>1469</v>
      </c>
      <c r="P48" s="58"/>
    </row>
    <row r="49" hidden="1" spans="1:16">
      <c r="A49" s="107">
        <v>540425202216017</v>
      </c>
      <c r="B49" s="108" t="s">
        <v>20</v>
      </c>
      <c r="C49" s="108">
        <v>2022</v>
      </c>
      <c r="D49" s="58" t="s">
        <v>618</v>
      </c>
      <c r="E49" s="109">
        <v>214.340226</v>
      </c>
      <c r="F49" s="58">
        <f>SUMIF('附件5-2'!$A$4:$A$336,A49,'附件5-2'!$I$4:$I$336)</f>
        <v>14</v>
      </c>
      <c r="G49" s="75">
        <v>118.18</v>
      </c>
      <c r="H49" s="75">
        <v>92.6005</v>
      </c>
      <c r="I49" s="58" t="s">
        <v>1421</v>
      </c>
      <c r="J49" s="108" t="s">
        <v>1063</v>
      </c>
      <c r="K49" s="9" t="s">
        <v>1471</v>
      </c>
      <c r="L49" s="110" t="s">
        <v>1460</v>
      </c>
      <c r="M49" s="9" t="s">
        <v>1471</v>
      </c>
      <c r="N49" s="9" t="s">
        <v>1472</v>
      </c>
      <c r="O49" s="9" t="s">
        <v>1471</v>
      </c>
      <c r="P49" s="58"/>
    </row>
    <row r="50" hidden="1" spans="1:16">
      <c r="A50" s="107">
        <v>540425201907014</v>
      </c>
      <c r="B50" s="108" t="s">
        <v>20</v>
      </c>
      <c r="C50" s="108">
        <v>2019</v>
      </c>
      <c r="D50" s="58" t="s">
        <v>217</v>
      </c>
      <c r="E50" s="109">
        <v>20</v>
      </c>
      <c r="F50" s="58">
        <f>SUMIF('附件5-2'!$A$4:$A$336,A50,'附件5-2'!$I$4:$I$336)</f>
        <v>1</v>
      </c>
      <c r="G50" s="75">
        <v>20</v>
      </c>
      <c r="H50" s="75">
        <v>14.916667</v>
      </c>
      <c r="I50" s="58" t="s">
        <v>1421</v>
      </c>
      <c r="J50" s="108" t="s">
        <v>1063</v>
      </c>
      <c r="K50" s="9" t="s">
        <v>1469</v>
      </c>
      <c r="L50" s="110" t="s">
        <v>1460</v>
      </c>
      <c r="M50" s="9" t="s">
        <v>1469</v>
      </c>
      <c r="N50" s="9" t="s">
        <v>1470</v>
      </c>
      <c r="O50" s="9" t="s">
        <v>1469</v>
      </c>
      <c r="P50" s="58"/>
    </row>
    <row r="51" hidden="1" spans="1:16">
      <c r="A51" s="107">
        <v>540425201903001</v>
      </c>
      <c r="B51" s="108" t="s">
        <v>20</v>
      </c>
      <c r="C51" s="108">
        <v>2019</v>
      </c>
      <c r="D51" s="58" t="s">
        <v>557</v>
      </c>
      <c r="E51" s="109">
        <v>295.333946</v>
      </c>
      <c r="F51" s="58">
        <f>SUMIF('附件5-2'!$A$4:$A$336,A51,'附件5-2'!$I$4:$I$336)</f>
        <v>1</v>
      </c>
      <c r="G51" s="75">
        <v>295.333946</v>
      </c>
      <c r="H51" s="75">
        <v>223.961576</v>
      </c>
      <c r="I51" s="58" t="s">
        <v>1421</v>
      </c>
      <c r="J51" s="108" t="s">
        <v>1063</v>
      </c>
      <c r="K51" s="9" t="s">
        <v>1469</v>
      </c>
      <c r="L51" s="110" t="s">
        <v>1460</v>
      </c>
      <c r="M51" s="9" t="s">
        <v>1469</v>
      </c>
      <c r="N51" s="9" t="s">
        <v>1470</v>
      </c>
      <c r="O51" s="9" t="s">
        <v>1469</v>
      </c>
      <c r="P51" s="58"/>
    </row>
    <row r="52" hidden="1" spans="1:16">
      <c r="A52" s="107">
        <v>540425202016019</v>
      </c>
      <c r="B52" s="108" t="s">
        <v>20</v>
      </c>
      <c r="C52" s="108">
        <v>2020</v>
      </c>
      <c r="D52" s="58" t="s">
        <v>496</v>
      </c>
      <c r="E52" s="109">
        <v>120</v>
      </c>
      <c r="F52" s="58">
        <f>SUMIF('附件5-2'!$A$4:$A$336,A52,'附件5-2'!$I$4:$I$336)</f>
        <v>4</v>
      </c>
      <c r="G52" s="75">
        <v>120</v>
      </c>
      <c r="H52" s="75">
        <v>96</v>
      </c>
      <c r="I52" s="58" t="s">
        <v>1421</v>
      </c>
      <c r="J52" s="108" t="s">
        <v>1063</v>
      </c>
      <c r="K52" s="9" t="s">
        <v>1469</v>
      </c>
      <c r="L52" s="110" t="s">
        <v>1460</v>
      </c>
      <c r="M52" s="9" t="s">
        <v>1469</v>
      </c>
      <c r="N52" s="9" t="s">
        <v>1470</v>
      </c>
      <c r="O52" s="9" t="s">
        <v>1469</v>
      </c>
      <c r="P52" s="58"/>
    </row>
    <row r="53" hidden="1" spans="1:16">
      <c r="A53" s="107">
        <v>540425201916009</v>
      </c>
      <c r="B53" s="108" t="s">
        <v>20</v>
      </c>
      <c r="C53" s="108">
        <v>2019</v>
      </c>
      <c r="D53" s="58" t="s">
        <v>96</v>
      </c>
      <c r="E53" s="109">
        <v>121.212634</v>
      </c>
      <c r="F53" s="58">
        <f>SUMIF('附件5-2'!$A$4:$A$336,A53,'附件5-2'!$I$4:$I$336)</f>
        <v>18</v>
      </c>
      <c r="G53" s="75">
        <v>124.76</v>
      </c>
      <c r="H53" s="75">
        <v>63.419667</v>
      </c>
      <c r="I53" s="58" t="s">
        <v>1421</v>
      </c>
      <c r="J53" s="108" t="s">
        <v>1063</v>
      </c>
      <c r="K53" s="9" t="s">
        <v>1473</v>
      </c>
      <c r="L53" s="110" t="s">
        <v>1460</v>
      </c>
      <c r="M53" s="9" t="s">
        <v>1473</v>
      </c>
      <c r="N53" s="9" t="s">
        <v>1474</v>
      </c>
      <c r="O53" s="9" t="s">
        <v>1473</v>
      </c>
      <c r="P53" s="58"/>
    </row>
    <row r="54" hidden="1" spans="1:16">
      <c r="A54" s="107">
        <v>540425202116018</v>
      </c>
      <c r="B54" s="108" t="s">
        <v>20</v>
      </c>
      <c r="C54" s="108">
        <v>2021</v>
      </c>
      <c r="D54" s="58" t="s">
        <v>331</v>
      </c>
      <c r="E54" s="109">
        <v>26.37</v>
      </c>
      <c r="F54" s="58">
        <f>SUMIF('附件5-2'!$A$4:$A$336,A54,'附件5-2'!$I$4:$I$336)</f>
        <v>11</v>
      </c>
      <c r="G54" s="75">
        <v>24.46</v>
      </c>
      <c r="H54" s="75">
        <v>17.529667</v>
      </c>
      <c r="I54" s="58" t="s">
        <v>1421</v>
      </c>
      <c r="J54" s="108" t="s">
        <v>1063</v>
      </c>
      <c r="K54" s="9" t="s">
        <v>1475</v>
      </c>
      <c r="L54" s="110" t="s">
        <v>1460</v>
      </c>
      <c r="M54" s="9" t="s">
        <v>1475</v>
      </c>
      <c r="N54" s="9" t="s">
        <v>1476</v>
      </c>
      <c r="O54" s="9" t="s">
        <v>1475</v>
      </c>
      <c r="P54" s="58"/>
    </row>
    <row r="55" hidden="1" spans="1:16">
      <c r="A55" s="107">
        <v>540425201912012</v>
      </c>
      <c r="B55" s="108" t="s">
        <v>20</v>
      </c>
      <c r="C55" s="108">
        <v>2019</v>
      </c>
      <c r="D55" s="58" t="s">
        <v>223</v>
      </c>
      <c r="E55" s="109">
        <v>251.863632</v>
      </c>
      <c r="F55" s="58">
        <f>SUMIF('附件5-2'!$A$4:$A$336,A55,'附件5-2'!$I$4:$I$336)</f>
        <v>141.73</v>
      </c>
      <c r="G55" s="75">
        <v>93.222</v>
      </c>
      <c r="H55" s="75">
        <v>47.38785</v>
      </c>
      <c r="I55" s="58" t="s">
        <v>1421</v>
      </c>
      <c r="J55" s="108" t="s">
        <v>1063</v>
      </c>
      <c r="K55" s="9" t="s">
        <v>1477</v>
      </c>
      <c r="L55" s="110" t="s">
        <v>1460</v>
      </c>
      <c r="M55" s="9" t="s">
        <v>1477</v>
      </c>
      <c r="N55" s="9" t="s">
        <v>1478</v>
      </c>
      <c r="O55" s="9" t="s">
        <v>1477</v>
      </c>
      <c r="P55" s="58"/>
    </row>
    <row r="56" hidden="1" spans="1:16">
      <c r="A56" s="107">
        <v>540425201912013</v>
      </c>
      <c r="B56" s="108" t="s">
        <v>20</v>
      </c>
      <c r="C56" s="108">
        <v>2019</v>
      </c>
      <c r="D56" s="58" t="s">
        <v>224</v>
      </c>
      <c r="E56" s="109">
        <v>185.694216</v>
      </c>
      <c r="F56" s="58">
        <f>SUMIF('附件5-2'!$A$4:$A$336,A56,'附件5-2'!$I$4:$I$336)</f>
        <v>110.85</v>
      </c>
      <c r="G56" s="75">
        <v>42.2055</v>
      </c>
      <c r="H56" s="75">
        <v>21.10275</v>
      </c>
      <c r="I56" s="58" t="s">
        <v>1421</v>
      </c>
      <c r="J56" s="108" t="s">
        <v>1063</v>
      </c>
      <c r="K56" s="9" t="s">
        <v>1477</v>
      </c>
      <c r="L56" s="110" t="s">
        <v>1460</v>
      </c>
      <c r="M56" s="9" t="s">
        <v>1477</v>
      </c>
      <c r="N56" s="9" t="s">
        <v>1478</v>
      </c>
      <c r="O56" s="9" t="s">
        <v>1477</v>
      </c>
      <c r="P56" s="58" t="s">
        <v>1479</v>
      </c>
    </row>
    <row r="57" hidden="1" spans="1:16">
      <c r="A57" s="107">
        <v>540425201919023</v>
      </c>
      <c r="B57" s="108" t="s">
        <v>20</v>
      </c>
      <c r="C57" s="108">
        <v>2019</v>
      </c>
      <c r="D57" s="58" t="s">
        <v>69</v>
      </c>
      <c r="E57" s="109">
        <v>239.927031</v>
      </c>
      <c r="F57" s="58">
        <f>SUMIF('附件5-2'!$A$4:$A$336,A57,'附件5-2'!$I$4:$I$336)</f>
        <v>22</v>
      </c>
      <c r="G57" s="75">
        <v>237.7</v>
      </c>
      <c r="H57" s="75">
        <v>125.719583</v>
      </c>
      <c r="I57" s="58" t="s">
        <v>1421</v>
      </c>
      <c r="J57" s="108" t="s">
        <v>1063</v>
      </c>
      <c r="K57" s="9" t="s">
        <v>1460</v>
      </c>
      <c r="L57" s="110" t="s">
        <v>1460</v>
      </c>
      <c r="M57" s="9" t="s">
        <v>1460</v>
      </c>
      <c r="N57" s="9" t="s">
        <v>1460</v>
      </c>
      <c r="O57" s="9" t="s">
        <v>1460</v>
      </c>
      <c r="P57" s="58" t="s">
        <v>1100</v>
      </c>
    </row>
    <row r="58" hidden="1" spans="1:16">
      <c r="A58" s="107">
        <v>540425201719010</v>
      </c>
      <c r="B58" s="108" t="s">
        <v>20</v>
      </c>
      <c r="C58" s="108">
        <v>2017</v>
      </c>
      <c r="D58" s="58" t="s">
        <v>441</v>
      </c>
      <c r="E58" s="109">
        <v>24.62</v>
      </c>
      <c r="F58" s="58">
        <f>SUMIF('附件5-2'!$A$4:$A$336,A58,'附件5-2'!$I$4:$I$336)</f>
        <v>1</v>
      </c>
      <c r="G58" s="75">
        <v>24.62</v>
      </c>
      <c r="H58" s="75">
        <v>0</v>
      </c>
      <c r="I58" s="58" t="s">
        <v>1421</v>
      </c>
      <c r="J58" s="108" t="s">
        <v>1063</v>
      </c>
      <c r="K58" s="9" t="s">
        <v>1480</v>
      </c>
      <c r="L58" s="110" t="s">
        <v>1460</v>
      </c>
      <c r="M58" s="9" t="s">
        <v>1480</v>
      </c>
      <c r="N58" s="9" t="s">
        <v>1481</v>
      </c>
      <c r="O58" s="9" t="s">
        <v>1480</v>
      </c>
      <c r="P58" s="58"/>
    </row>
    <row r="59" hidden="1" spans="1:16">
      <c r="A59" s="107">
        <v>540425201819013</v>
      </c>
      <c r="B59" s="108" t="s">
        <v>20</v>
      </c>
      <c r="C59" s="108">
        <v>2018</v>
      </c>
      <c r="D59" s="58" t="s">
        <v>183</v>
      </c>
      <c r="E59" s="109">
        <v>500000</v>
      </c>
      <c r="F59" s="58">
        <f>SUMIF('附件5-2'!$A$4:$A$336,A59,'附件5-2'!$I$4:$I$336)</f>
        <v>10</v>
      </c>
      <c r="G59" s="75">
        <v>45</v>
      </c>
      <c r="H59" s="75">
        <v>17.625</v>
      </c>
      <c r="I59" s="58" t="s">
        <v>1421</v>
      </c>
      <c r="J59" s="108" t="s">
        <v>1063</v>
      </c>
      <c r="K59" s="9" t="s">
        <v>1480</v>
      </c>
      <c r="L59" s="110" t="s">
        <v>1460</v>
      </c>
      <c r="M59" s="9" t="s">
        <v>1480</v>
      </c>
      <c r="N59" s="9" t="s">
        <v>1481</v>
      </c>
      <c r="O59" s="9" t="s">
        <v>1480</v>
      </c>
      <c r="P59" s="58"/>
    </row>
    <row r="60" hidden="1" spans="1:16">
      <c r="A60" s="107">
        <v>540425202112021</v>
      </c>
      <c r="B60" s="108" t="s">
        <v>20</v>
      </c>
      <c r="C60" s="108">
        <v>2021</v>
      </c>
      <c r="D60" s="58" t="s">
        <v>264</v>
      </c>
      <c r="E60" s="109">
        <v>263.240156</v>
      </c>
      <c r="F60" s="58">
        <f>SUMIF('附件5-2'!$A$4:$A$336,A60,'附件5-2'!$I$4:$I$336)</f>
        <v>1</v>
      </c>
      <c r="G60" s="75">
        <v>261.75</v>
      </c>
      <c r="H60" s="75">
        <v>223.578125</v>
      </c>
      <c r="I60" s="58" t="s">
        <v>1421</v>
      </c>
      <c r="J60" s="108" t="s">
        <v>1063</v>
      </c>
      <c r="K60" s="9" t="s">
        <v>1482</v>
      </c>
      <c r="L60" s="110" t="s">
        <v>1460</v>
      </c>
      <c r="M60" s="9" t="s">
        <v>1482</v>
      </c>
      <c r="N60" s="9" t="s">
        <v>1483</v>
      </c>
      <c r="O60" s="9" t="s">
        <v>1482</v>
      </c>
      <c r="P60" s="58"/>
    </row>
    <row r="61" hidden="1" spans="1:16">
      <c r="A61" s="107">
        <v>540425201919026</v>
      </c>
      <c r="B61" s="108" t="s">
        <v>20</v>
      </c>
      <c r="C61" s="108">
        <v>2019</v>
      </c>
      <c r="D61" s="58" t="s">
        <v>561</v>
      </c>
      <c r="E61" s="109">
        <v>59</v>
      </c>
      <c r="F61" s="58">
        <f>SUMIF('附件5-2'!$A$4:$A$336,A61,'附件5-2'!$I$4:$I$336)</f>
        <v>6068</v>
      </c>
      <c r="G61" s="75">
        <v>40.45</v>
      </c>
      <c r="H61" s="75">
        <v>6.0375</v>
      </c>
      <c r="I61" s="58" t="s">
        <v>1421</v>
      </c>
      <c r="J61" s="108" t="s">
        <v>1063</v>
      </c>
      <c r="K61" s="9" t="s">
        <v>1482</v>
      </c>
      <c r="L61" s="110" t="s">
        <v>1460</v>
      </c>
      <c r="M61" s="9" t="s">
        <v>1482</v>
      </c>
      <c r="N61" s="9" t="s">
        <v>1483</v>
      </c>
      <c r="O61" s="9" t="s">
        <v>1482</v>
      </c>
      <c r="P61" s="58"/>
    </row>
    <row r="62" ht="84" hidden="1" spans="1:16">
      <c r="A62" s="107">
        <v>540425201812008</v>
      </c>
      <c r="B62" s="108" t="s">
        <v>20</v>
      </c>
      <c r="C62" s="108">
        <v>2018</v>
      </c>
      <c r="D62" s="28" t="s">
        <v>438</v>
      </c>
      <c r="E62" s="109">
        <v>435.6</v>
      </c>
      <c r="F62" s="58">
        <f>SUMIF('附件5-2'!$A$4:$A$336,A62,'附件5-2'!$I$4:$I$336)</f>
        <v>332.94</v>
      </c>
      <c r="G62" s="75">
        <v>249.4524</v>
      </c>
      <c r="H62" s="75">
        <v>85.42272</v>
      </c>
      <c r="I62" s="58" t="s">
        <v>1421</v>
      </c>
      <c r="J62" s="108" t="s">
        <v>1063</v>
      </c>
      <c r="K62" s="9" t="s">
        <v>1482</v>
      </c>
      <c r="L62" s="110" t="s">
        <v>1460</v>
      </c>
      <c r="M62" s="9" t="s">
        <v>1482</v>
      </c>
      <c r="N62" s="9" t="s">
        <v>1483</v>
      </c>
      <c r="O62" s="9" t="s">
        <v>1482</v>
      </c>
      <c r="P62" s="26" t="s">
        <v>1484</v>
      </c>
    </row>
    <row r="63" hidden="1" spans="1:16">
      <c r="A63" s="107">
        <v>540425201812003</v>
      </c>
      <c r="B63" s="108" t="s">
        <v>20</v>
      </c>
      <c r="C63" s="108">
        <v>2018</v>
      </c>
      <c r="D63" s="58" t="s">
        <v>192</v>
      </c>
      <c r="E63" s="109">
        <v>283.0602805</v>
      </c>
      <c r="F63" s="58">
        <f>SUMIF('附件5-2'!$A$4:$A$336,A63,'附件5-2'!$I$4:$I$336)</f>
        <v>307.82</v>
      </c>
      <c r="G63" s="75">
        <v>449.28</v>
      </c>
      <c r="H63" s="75">
        <v>180.091334</v>
      </c>
      <c r="I63" s="58" t="s">
        <v>1426</v>
      </c>
      <c r="J63" s="108" t="s">
        <v>975</v>
      </c>
      <c r="K63" s="9" t="s">
        <v>121</v>
      </c>
      <c r="L63" s="110" t="s">
        <v>1460</v>
      </c>
      <c r="M63" s="9" t="s">
        <v>121</v>
      </c>
      <c r="N63" s="9" t="s">
        <v>121</v>
      </c>
      <c r="O63" s="9" t="s">
        <v>121</v>
      </c>
      <c r="P63" s="26"/>
    </row>
    <row r="64" ht="98" hidden="1" spans="1:16">
      <c r="A64" s="107">
        <v>540425202212025</v>
      </c>
      <c r="B64" s="108" t="s">
        <v>20</v>
      </c>
      <c r="C64" s="108">
        <v>2022</v>
      </c>
      <c r="D64" s="58" t="s">
        <v>603</v>
      </c>
      <c r="E64" s="109">
        <v>558.73</v>
      </c>
      <c r="F64" s="58">
        <f>SUMIF('附件5-2'!$A$4:$A$336,A64,'附件5-2'!$I$4:$I$336)</f>
        <v>319</v>
      </c>
      <c r="G64" s="75">
        <v>118.335</v>
      </c>
      <c r="H64" s="75">
        <v>99.598626</v>
      </c>
      <c r="I64" s="58" t="s">
        <v>1421</v>
      </c>
      <c r="J64" s="108" t="s">
        <v>1063</v>
      </c>
      <c r="K64" s="9" t="s">
        <v>1477</v>
      </c>
      <c r="L64" s="110" t="s">
        <v>1460</v>
      </c>
      <c r="M64" s="9" t="s">
        <v>1477</v>
      </c>
      <c r="N64" s="9" t="s">
        <v>1478</v>
      </c>
      <c r="O64" s="9" t="s">
        <v>1477</v>
      </c>
      <c r="P64" s="26" t="s">
        <v>1485</v>
      </c>
    </row>
    <row r="65" ht="56" hidden="1" spans="1:16">
      <c r="A65" s="107">
        <v>540425202012015</v>
      </c>
      <c r="B65" s="108" t="s">
        <v>20</v>
      </c>
      <c r="C65" s="108">
        <v>2020</v>
      </c>
      <c r="D65" s="58" t="s">
        <v>255</v>
      </c>
      <c r="E65" s="109">
        <v>2403.91</v>
      </c>
      <c r="F65" s="58">
        <f>SUMIF('附件5-2'!$A$4:$A$336,A65,'附件5-2'!$I$4:$I$336)</f>
        <v>940.78</v>
      </c>
      <c r="G65" s="109">
        <v>2403.91</v>
      </c>
      <c r="H65" s="75">
        <v>1682.74</v>
      </c>
      <c r="I65" s="58" t="s">
        <v>1421</v>
      </c>
      <c r="J65" s="108" t="s">
        <v>1063</v>
      </c>
      <c r="K65" s="9" t="s">
        <v>1482</v>
      </c>
      <c r="L65" s="110" t="s">
        <v>1460</v>
      </c>
      <c r="M65" s="9" t="s">
        <v>1482</v>
      </c>
      <c r="N65" s="9" t="s">
        <v>1483</v>
      </c>
      <c r="O65" s="9" t="s">
        <v>1482</v>
      </c>
      <c r="P65" s="110" t="s">
        <v>1486</v>
      </c>
    </row>
    <row r="66" hidden="1" spans="1:16">
      <c r="A66" s="107">
        <v>540425202012018</v>
      </c>
      <c r="B66" s="108" t="s">
        <v>20</v>
      </c>
      <c r="C66" s="108">
        <v>2020</v>
      </c>
      <c r="D66" s="58" t="s">
        <v>150</v>
      </c>
      <c r="E66" s="109">
        <v>295.120467</v>
      </c>
      <c r="F66" s="58">
        <f>SUMIF('附件5-2'!$A$4:$A$336,A66,'附件5-2'!$I$4:$I$336)</f>
        <v>0</v>
      </c>
      <c r="G66" s="75">
        <v>0</v>
      </c>
      <c r="H66" s="75">
        <v>0</v>
      </c>
      <c r="I66" s="58" t="s">
        <v>1464</v>
      </c>
      <c r="J66" s="108" t="s">
        <v>1460</v>
      </c>
      <c r="K66" s="9" t="s">
        <v>1460</v>
      </c>
      <c r="L66" s="110" t="s">
        <v>1460</v>
      </c>
      <c r="M66" s="9" t="s">
        <v>1460</v>
      </c>
      <c r="N66" s="9" t="s">
        <v>1460</v>
      </c>
      <c r="O66" s="9" t="s">
        <v>1460</v>
      </c>
      <c r="P66" s="58"/>
    </row>
    <row r="67" hidden="1" spans="1:16">
      <c r="A67" s="107">
        <v>540425201916010</v>
      </c>
      <c r="B67" s="108" t="s">
        <v>20</v>
      </c>
      <c r="C67" s="108">
        <v>2019</v>
      </c>
      <c r="D67" s="58" t="s">
        <v>102</v>
      </c>
      <c r="E67" s="109">
        <v>35.2</v>
      </c>
      <c r="F67" s="58">
        <f>SUMIF('附件5-2'!$A$4:$A$336,A67,'附件5-2'!$I$4:$I$336)</f>
        <v>6</v>
      </c>
      <c r="G67" s="75">
        <v>34.68</v>
      </c>
      <c r="H67" s="75">
        <v>17.34</v>
      </c>
      <c r="I67" s="58" t="s">
        <v>1421</v>
      </c>
      <c r="J67" s="108" t="s">
        <v>1063</v>
      </c>
      <c r="K67" s="9" t="s">
        <v>1487</v>
      </c>
      <c r="L67" s="110" t="s">
        <v>1460</v>
      </c>
      <c r="M67" s="9" t="s">
        <v>1487</v>
      </c>
      <c r="N67" s="9" t="s">
        <v>1488</v>
      </c>
      <c r="O67" s="9" t="s">
        <v>1487</v>
      </c>
      <c r="P67" s="58"/>
    </row>
    <row r="68" hidden="1" spans="1:16">
      <c r="A68" s="107">
        <v>540425201912011</v>
      </c>
      <c r="B68" s="108" t="s">
        <v>20</v>
      </c>
      <c r="C68" s="108">
        <v>2019</v>
      </c>
      <c r="D68" s="58" t="s">
        <v>554</v>
      </c>
      <c r="E68" s="109">
        <v>279.814274</v>
      </c>
      <c r="F68" s="58">
        <f>SUMIF('附件5-2'!$A$4:$A$336,A68,'附件5-2'!$I$4:$I$336)</f>
        <v>3</v>
      </c>
      <c r="G68" s="75">
        <v>137.95</v>
      </c>
      <c r="H68" s="75">
        <v>71.274167</v>
      </c>
      <c r="I68" s="58" t="s">
        <v>1421</v>
      </c>
      <c r="J68" s="108" t="s">
        <v>1063</v>
      </c>
      <c r="K68" s="9" t="s">
        <v>1489</v>
      </c>
      <c r="L68" s="110" t="s">
        <v>1460</v>
      </c>
      <c r="M68" s="9" t="s">
        <v>1489</v>
      </c>
      <c r="N68" s="9" t="s">
        <v>1490</v>
      </c>
      <c r="O68" s="9" t="s">
        <v>1489</v>
      </c>
      <c r="P68" s="58"/>
    </row>
    <row r="69" hidden="1" spans="1:16">
      <c r="A69" s="107">
        <v>540425201712009</v>
      </c>
      <c r="B69" s="108" t="s">
        <v>20</v>
      </c>
      <c r="C69" s="108">
        <v>2018</v>
      </c>
      <c r="D69" s="28" t="s">
        <v>440</v>
      </c>
      <c r="E69" s="109">
        <v>600.7</v>
      </c>
      <c r="F69" s="58">
        <f>SUMIF('附件5-2'!$A$4:$A$336,A69,'附件5-2'!$I$4:$I$336)</f>
        <v>83</v>
      </c>
      <c r="G69" s="109">
        <v>600.7</v>
      </c>
      <c r="H69" s="75">
        <v>180.21</v>
      </c>
      <c r="I69" s="58" t="s">
        <v>1421</v>
      </c>
      <c r="J69" s="108" t="s">
        <v>1063</v>
      </c>
      <c r="K69" s="9" t="s">
        <v>1489</v>
      </c>
      <c r="L69" s="110" t="s">
        <v>1460</v>
      </c>
      <c r="M69" s="9" t="s">
        <v>1489</v>
      </c>
      <c r="N69" s="9" t="s">
        <v>1490</v>
      </c>
      <c r="O69" s="9" t="s">
        <v>1489</v>
      </c>
      <c r="P69" s="58"/>
    </row>
    <row r="70" hidden="1" spans="1:16">
      <c r="A70" s="107">
        <v>540425201619009</v>
      </c>
      <c r="B70" s="108" t="s">
        <v>20</v>
      </c>
      <c r="C70" s="108">
        <v>2016</v>
      </c>
      <c r="D70" s="58" t="s">
        <v>517</v>
      </c>
      <c r="E70" s="109">
        <v>160.38</v>
      </c>
      <c r="F70" s="58">
        <f>SUMIF('附件5-2'!$A$4:$A$336,A70,'附件5-2'!$I$4:$I$336)</f>
        <v>0</v>
      </c>
      <c r="G70" s="75">
        <v>0</v>
      </c>
      <c r="H70" s="75">
        <v>0</v>
      </c>
      <c r="I70" s="58" t="s">
        <v>1464</v>
      </c>
      <c r="J70" s="108" t="s">
        <v>1460</v>
      </c>
      <c r="K70" s="9" t="s">
        <v>1460</v>
      </c>
      <c r="L70" s="110" t="s">
        <v>1460</v>
      </c>
      <c r="M70" s="9" t="s">
        <v>1460</v>
      </c>
      <c r="N70" s="9" t="s">
        <v>1460</v>
      </c>
      <c r="O70" s="9" t="s">
        <v>1460</v>
      </c>
      <c r="P70" s="58"/>
    </row>
    <row r="71" hidden="1" spans="1:16">
      <c r="A71" s="107">
        <v>540425201912014</v>
      </c>
      <c r="B71" s="108" t="s">
        <v>20</v>
      </c>
      <c r="C71" s="108">
        <v>2019</v>
      </c>
      <c r="D71" s="58" t="s">
        <v>119</v>
      </c>
      <c r="E71" s="109">
        <v>240</v>
      </c>
      <c r="F71" s="58">
        <f>SUMIF('附件5-2'!$A$4:$A$336,A71,'附件5-2'!$I$4:$I$336)</f>
        <v>355.63</v>
      </c>
      <c r="G71" s="75">
        <v>181.89</v>
      </c>
      <c r="H71" s="75">
        <v>95.32125</v>
      </c>
      <c r="I71" s="58" t="s">
        <v>1421</v>
      </c>
      <c r="J71" s="108" t="s">
        <v>1063</v>
      </c>
      <c r="K71" s="9" t="s">
        <v>1487</v>
      </c>
      <c r="L71" s="110" t="s">
        <v>1460</v>
      </c>
      <c r="M71" s="9" t="s">
        <v>1487</v>
      </c>
      <c r="N71" s="9" t="s">
        <v>1488</v>
      </c>
      <c r="O71" s="9" t="s">
        <v>1487</v>
      </c>
      <c r="P71" s="26"/>
    </row>
    <row r="72" ht="28" hidden="1" spans="1:16">
      <c r="A72" s="107">
        <v>540425202321004</v>
      </c>
      <c r="B72" s="108" t="s">
        <v>20</v>
      </c>
      <c r="C72" s="108">
        <v>2023</v>
      </c>
      <c r="D72" s="58" t="s">
        <v>623</v>
      </c>
      <c r="E72" s="109">
        <v>703.055879</v>
      </c>
      <c r="F72" s="58">
        <f>SUMIF('附件5-2'!$A$4:$A$336,A72,'附件5-2'!$I$4:$I$336)</f>
        <v>387832</v>
      </c>
      <c r="G72" s="75">
        <v>411.51</v>
      </c>
      <c r="H72" s="75">
        <v>353.21275</v>
      </c>
      <c r="I72" s="58" t="s">
        <v>1421</v>
      </c>
      <c r="J72" s="108" t="s">
        <v>1063</v>
      </c>
      <c r="K72" s="9" t="s">
        <v>1475</v>
      </c>
      <c r="L72" s="110" t="s">
        <v>1460</v>
      </c>
      <c r="M72" s="9" t="s">
        <v>1475</v>
      </c>
      <c r="N72" s="9" t="s">
        <v>1476</v>
      </c>
      <c r="O72" s="9" t="s">
        <v>1475</v>
      </c>
      <c r="P72" s="26" t="s">
        <v>1491</v>
      </c>
    </row>
    <row r="73" hidden="1" spans="1:16">
      <c r="A73" s="107">
        <v>540425202212024</v>
      </c>
      <c r="B73" s="108" t="s">
        <v>20</v>
      </c>
      <c r="C73" s="108">
        <v>2022</v>
      </c>
      <c r="D73" s="58" t="s">
        <v>315</v>
      </c>
      <c r="E73" s="109">
        <v>892.979847</v>
      </c>
      <c r="F73" s="58">
        <f>SUMIF('附件5-2'!$A$4:$A$336,A73,'附件5-2'!$I$4:$I$336)</f>
        <v>487</v>
      </c>
      <c r="G73" s="75">
        <v>845.203136</v>
      </c>
      <c r="H73" s="75">
        <v>760.682822</v>
      </c>
      <c r="I73" s="58" t="s">
        <v>1421</v>
      </c>
      <c r="J73" s="108" t="s">
        <v>1063</v>
      </c>
      <c r="K73" s="9" t="s">
        <v>1492</v>
      </c>
      <c r="L73" s="110" t="s">
        <v>1460</v>
      </c>
      <c r="M73" s="9" t="s">
        <v>1492</v>
      </c>
      <c r="N73" s="9" t="s">
        <v>1493</v>
      </c>
      <c r="O73" s="9" t="s">
        <v>1492</v>
      </c>
      <c r="P73" s="26"/>
    </row>
    <row r="74" hidden="1" spans="1:16">
      <c r="A74" s="107">
        <v>540425202012029</v>
      </c>
      <c r="B74" s="108" t="s">
        <v>20</v>
      </c>
      <c r="C74" s="108">
        <v>2020</v>
      </c>
      <c r="D74" s="58" t="s">
        <v>565</v>
      </c>
      <c r="E74" s="109">
        <v>104.330065</v>
      </c>
      <c r="F74" s="58">
        <f>SUMIF('附件5-2'!$A$4:$A$336,A74,'附件5-2'!$I$4:$I$336)</f>
        <v>0</v>
      </c>
      <c r="G74" s="75">
        <v>0</v>
      </c>
      <c r="H74" s="75">
        <v>0</v>
      </c>
      <c r="I74" s="58" t="s">
        <v>1421</v>
      </c>
      <c r="J74" s="108" t="s">
        <v>1063</v>
      </c>
      <c r="K74" s="9" t="s">
        <v>1494</v>
      </c>
      <c r="L74" s="110" t="s">
        <v>1460</v>
      </c>
      <c r="M74" s="9" t="s">
        <v>1494</v>
      </c>
      <c r="N74" s="9" t="s">
        <v>1495</v>
      </c>
      <c r="O74" s="9" t="s">
        <v>1494</v>
      </c>
      <c r="P74" s="26"/>
    </row>
    <row r="75" ht="42" hidden="1" spans="1:16">
      <c r="A75" s="107">
        <v>540425202119031</v>
      </c>
      <c r="B75" s="108" t="s">
        <v>20</v>
      </c>
      <c r="C75" s="108">
        <v>2021</v>
      </c>
      <c r="D75" s="58" t="s">
        <v>502</v>
      </c>
      <c r="E75" s="109">
        <v>157.4</v>
      </c>
      <c r="F75" s="58">
        <f>SUMIF('附件5-2'!$A$4:$A$336,A75,'附件5-2'!$I$4:$I$336)</f>
        <v>0</v>
      </c>
      <c r="G75" s="75">
        <v>0</v>
      </c>
      <c r="H75" s="75">
        <v>0</v>
      </c>
      <c r="I75" s="58" t="s">
        <v>1421</v>
      </c>
      <c r="J75" s="108" t="s">
        <v>1063</v>
      </c>
      <c r="K75" s="9" t="s">
        <v>1496</v>
      </c>
      <c r="L75" s="110" t="s">
        <v>1460</v>
      </c>
      <c r="M75" s="9" t="s">
        <v>1496</v>
      </c>
      <c r="N75" s="9" t="s">
        <v>1497</v>
      </c>
      <c r="O75" s="9" t="s">
        <v>1496</v>
      </c>
      <c r="P75" s="26"/>
    </row>
    <row r="76" hidden="1" spans="1:16">
      <c r="A76" s="107">
        <v>540425202012017</v>
      </c>
      <c r="B76" s="108" t="s">
        <v>20</v>
      </c>
      <c r="C76" s="108">
        <v>2020</v>
      </c>
      <c r="D76" s="58" t="s">
        <v>259</v>
      </c>
      <c r="E76" s="109">
        <v>562.021472</v>
      </c>
      <c r="F76" s="58">
        <f>SUMIF('附件5-2'!$A$4:$A$336,A76,'附件5-2'!$I$4:$I$336)</f>
        <v>358.04</v>
      </c>
      <c r="G76" s="75">
        <v>324.39</v>
      </c>
      <c r="H76" s="75">
        <v>229.2255</v>
      </c>
      <c r="I76" s="58" t="s">
        <v>1421</v>
      </c>
      <c r="J76" s="108" t="s">
        <v>1063</v>
      </c>
      <c r="K76" s="9" t="s">
        <v>1498</v>
      </c>
      <c r="L76" s="110" t="s">
        <v>1460</v>
      </c>
      <c r="M76" s="9" t="s">
        <v>1498</v>
      </c>
      <c r="N76" s="9" t="s">
        <v>1499</v>
      </c>
      <c r="O76" s="9" t="s">
        <v>1498</v>
      </c>
      <c r="P76" s="58"/>
    </row>
    <row r="77" hidden="1" spans="1:16">
      <c r="A77" s="107">
        <v>540425201320001</v>
      </c>
      <c r="B77" s="108" t="s">
        <v>20</v>
      </c>
      <c r="C77" s="108">
        <v>2013</v>
      </c>
      <c r="D77" s="58" t="s">
        <v>356</v>
      </c>
      <c r="E77" s="109">
        <v>24</v>
      </c>
      <c r="F77" s="58"/>
      <c r="G77" s="109">
        <v>24</v>
      </c>
      <c r="H77" s="75">
        <v>0</v>
      </c>
      <c r="I77" s="58" t="s">
        <v>1421</v>
      </c>
      <c r="J77" s="108" t="s">
        <v>1063</v>
      </c>
      <c r="K77" s="9" t="s">
        <v>1500</v>
      </c>
      <c r="L77" s="110" t="s">
        <v>1460</v>
      </c>
      <c r="M77" s="9" t="s">
        <v>1500</v>
      </c>
      <c r="N77" s="9" t="s">
        <v>1501</v>
      </c>
      <c r="O77" s="9" t="s">
        <v>1500</v>
      </c>
      <c r="P77" s="58"/>
    </row>
    <row r="78" hidden="1" spans="1:16">
      <c r="A78" s="107">
        <v>540425201517002</v>
      </c>
      <c r="B78" s="108" t="s">
        <v>20</v>
      </c>
      <c r="C78" s="108">
        <v>2015</v>
      </c>
      <c r="D78" s="58" t="s">
        <v>369</v>
      </c>
      <c r="E78" s="109">
        <v>500</v>
      </c>
      <c r="F78" s="58">
        <f>SUMIF('附件5-2'!$A$4:$A$336,A78,'附件5-2'!$I$4:$I$336)</f>
        <v>0</v>
      </c>
      <c r="G78" s="75">
        <v>0</v>
      </c>
      <c r="H78" s="75">
        <v>0</v>
      </c>
      <c r="I78" s="58" t="s">
        <v>1421</v>
      </c>
      <c r="J78" s="108" t="s">
        <v>1063</v>
      </c>
      <c r="K78" s="9" t="s">
        <v>1444</v>
      </c>
      <c r="L78" s="110" t="s">
        <v>1460</v>
      </c>
      <c r="M78" s="9" t="s">
        <v>1444</v>
      </c>
      <c r="N78" s="9" t="s">
        <v>1445</v>
      </c>
      <c r="O78" s="9" t="s">
        <v>1444</v>
      </c>
      <c r="P78" s="58"/>
    </row>
    <row r="79" hidden="1" spans="1:16">
      <c r="A79" s="107">
        <v>540425201619002</v>
      </c>
      <c r="B79" s="108" t="s">
        <v>20</v>
      </c>
      <c r="C79" s="108">
        <v>2016</v>
      </c>
      <c r="D79" s="58" t="s">
        <v>389</v>
      </c>
      <c r="E79" s="109">
        <v>60</v>
      </c>
      <c r="F79" s="58">
        <f>SUMIF('附件5-2'!$A$4:$A$336,A79,'附件5-2'!$I$4:$I$336)</f>
        <v>0</v>
      </c>
      <c r="G79" s="75">
        <v>0</v>
      </c>
      <c r="H79" s="75">
        <v>0</v>
      </c>
      <c r="I79" s="58" t="s">
        <v>1421</v>
      </c>
      <c r="J79" s="108" t="s">
        <v>1063</v>
      </c>
      <c r="K79" s="9" t="s">
        <v>1460</v>
      </c>
      <c r="L79" s="110" t="s">
        <v>1460</v>
      </c>
      <c r="M79" s="9" t="s">
        <v>1460</v>
      </c>
      <c r="N79" s="9" t="s">
        <v>1460</v>
      </c>
      <c r="O79" s="9" t="s">
        <v>1460</v>
      </c>
      <c r="P79" s="58"/>
    </row>
    <row r="80" hidden="1" spans="1:16">
      <c r="A80" s="107">
        <v>540425201607001</v>
      </c>
      <c r="B80" s="108" t="s">
        <v>20</v>
      </c>
      <c r="C80" s="108">
        <v>2016</v>
      </c>
      <c r="D80" s="58" t="s">
        <v>1502</v>
      </c>
      <c r="E80" s="109">
        <v>601</v>
      </c>
      <c r="F80" s="58">
        <f>SUMIF('附件5-2'!$A$4:$A$336,A80,'附件5-2'!$I$4:$I$336)</f>
        <v>0</v>
      </c>
      <c r="G80" s="75">
        <v>0</v>
      </c>
      <c r="H80" s="75">
        <v>0</v>
      </c>
      <c r="I80" s="58" t="s">
        <v>1464</v>
      </c>
      <c r="J80" s="108" t="s">
        <v>1460</v>
      </c>
      <c r="K80" s="9" t="s">
        <v>1460</v>
      </c>
      <c r="L80" s="110" t="s">
        <v>1460</v>
      </c>
      <c r="M80" s="9" t="s">
        <v>1460</v>
      </c>
      <c r="N80" s="9" t="s">
        <v>1460</v>
      </c>
      <c r="O80" s="9" t="s">
        <v>1460</v>
      </c>
      <c r="P80" s="58"/>
    </row>
    <row r="81" hidden="1" spans="1:16">
      <c r="A81" s="107">
        <v>540425201608001</v>
      </c>
      <c r="B81" s="108" t="s">
        <v>20</v>
      </c>
      <c r="C81" s="108">
        <v>2016</v>
      </c>
      <c r="D81" s="58" t="s">
        <v>1503</v>
      </c>
      <c r="E81" s="109">
        <v>207</v>
      </c>
      <c r="F81" s="58">
        <f>SUMIF('附件5-2'!$A$4:$A$336,A81,'附件5-2'!$I$4:$I$336)</f>
        <v>0</v>
      </c>
      <c r="G81" s="75">
        <v>0</v>
      </c>
      <c r="H81" s="75">
        <v>0</v>
      </c>
      <c r="I81" s="58" t="s">
        <v>1421</v>
      </c>
      <c r="J81" s="108" t="s">
        <v>1063</v>
      </c>
      <c r="K81" s="9" t="s">
        <v>1460</v>
      </c>
      <c r="L81" s="110" t="s">
        <v>1460</v>
      </c>
      <c r="M81" s="9" t="s">
        <v>1460</v>
      </c>
      <c r="N81" s="9" t="s">
        <v>1460</v>
      </c>
      <c r="O81" s="9" t="s">
        <v>1460</v>
      </c>
      <c r="P81" s="58"/>
    </row>
    <row r="82" hidden="1" spans="1:16">
      <c r="A82" s="107">
        <v>540425201616002</v>
      </c>
      <c r="B82" s="108" t="s">
        <v>20</v>
      </c>
      <c r="C82" s="108">
        <v>2016</v>
      </c>
      <c r="D82" s="58" t="s">
        <v>1504</v>
      </c>
      <c r="E82" s="109">
        <v>470</v>
      </c>
      <c r="F82" s="58">
        <f>SUMIF('附件5-2'!$A$4:$A$336,A82,'附件5-2'!$I$4:$I$336)</f>
        <v>0</v>
      </c>
      <c r="G82" s="75">
        <v>0</v>
      </c>
      <c r="H82" s="75">
        <v>0</v>
      </c>
      <c r="I82" s="58" t="s">
        <v>1421</v>
      </c>
      <c r="J82" s="108" t="s">
        <v>1063</v>
      </c>
      <c r="K82" s="9" t="s">
        <v>1460</v>
      </c>
      <c r="L82" s="110" t="s">
        <v>1460</v>
      </c>
      <c r="M82" s="9" t="s">
        <v>1460</v>
      </c>
      <c r="N82" s="9" t="s">
        <v>1460</v>
      </c>
      <c r="O82" s="9" t="s">
        <v>1460</v>
      </c>
      <c r="P82" s="58"/>
    </row>
    <row r="83" hidden="1" spans="1:16">
      <c r="A83" s="107">
        <v>540425201604002</v>
      </c>
      <c r="B83" s="108" t="s">
        <v>20</v>
      </c>
      <c r="C83" s="108">
        <v>2016</v>
      </c>
      <c r="D83" s="58" t="s">
        <v>397</v>
      </c>
      <c r="E83" s="109">
        <v>577</v>
      </c>
      <c r="F83" s="58">
        <f>SUMIF('附件5-2'!$A$4:$A$336,A83,'附件5-2'!$I$4:$I$336)</f>
        <v>0</v>
      </c>
      <c r="G83" s="75">
        <v>0</v>
      </c>
      <c r="H83" s="75">
        <v>0</v>
      </c>
      <c r="I83" s="58" t="s">
        <v>1464</v>
      </c>
      <c r="J83" s="108" t="s">
        <v>1460</v>
      </c>
      <c r="K83" s="9" t="s">
        <v>1460</v>
      </c>
      <c r="L83" s="110" t="s">
        <v>1460</v>
      </c>
      <c r="M83" s="9" t="s">
        <v>1460</v>
      </c>
      <c r="N83" s="9" t="s">
        <v>1460</v>
      </c>
      <c r="O83" s="9" t="s">
        <v>1460</v>
      </c>
      <c r="P83" s="58"/>
    </row>
    <row r="84" hidden="1" spans="1:16">
      <c r="A84" s="107">
        <v>540425201606001</v>
      </c>
      <c r="B84" s="108" t="s">
        <v>20</v>
      </c>
      <c r="C84" s="108">
        <v>2016</v>
      </c>
      <c r="D84" s="58" t="s">
        <v>398</v>
      </c>
      <c r="E84" s="109">
        <v>30</v>
      </c>
      <c r="F84" s="58">
        <f>SUMIF('附件5-2'!$A$4:$A$336,A84,'附件5-2'!$I$4:$I$336)</f>
        <v>0</v>
      </c>
      <c r="G84" s="75">
        <v>0</v>
      </c>
      <c r="H84" s="75">
        <v>0</v>
      </c>
      <c r="I84" s="58" t="s">
        <v>1464</v>
      </c>
      <c r="J84" s="108" t="s">
        <v>1460</v>
      </c>
      <c r="K84" s="9" t="s">
        <v>1460</v>
      </c>
      <c r="L84" s="110" t="s">
        <v>1460</v>
      </c>
      <c r="M84" s="9" t="s">
        <v>1460</v>
      </c>
      <c r="N84" s="9" t="s">
        <v>1460</v>
      </c>
      <c r="O84" s="9" t="s">
        <v>1460</v>
      </c>
      <c r="P84" s="58"/>
    </row>
    <row r="85" hidden="1" spans="1:16">
      <c r="A85" s="107">
        <v>540425201619003</v>
      </c>
      <c r="B85" s="108" t="s">
        <v>20</v>
      </c>
      <c r="C85" s="108">
        <v>2016</v>
      </c>
      <c r="D85" s="58" t="s">
        <v>399</v>
      </c>
      <c r="E85" s="109">
        <v>27</v>
      </c>
      <c r="F85" s="58">
        <f>SUMIF('附件5-2'!$A$4:$A$336,A85,'附件5-2'!$I$4:$I$336)</f>
        <v>0</v>
      </c>
      <c r="G85" s="75">
        <v>0</v>
      </c>
      <c r="H85" s="75">
        <v>0</v>
      </c>
      <c r="I85" s="58" t="s">
        <v>1464</v>
      </c>
      <c r="J85" s="108" t="s">
        <v>1460</v>
      </c>
      <c r="K85" s="9" t="s">
        <v>1460</v>
      </c>
      <c r="L85" s="110" t="s">
        <v>1460</v>
      </c>
      <c r="M85" s="9" t="s">
        <v>1460</v>
      </c>
      <c r="N85" s="9" t="s">
        <v>1460</v>
      </c>
      <c r="O85" s="9" t="s">
        <v>1460</v>
      </c>
      <c r="P85" s="58"/>
    </row>
    <row r="86" s="28" customFormat="1" hidden="1" spans="1:16">
      <c r="A86" s="107">
        <v>540425201619004</v>
      </c>
      <c r="B86" s="108" t="s">
        <v>20</v>
      </c>
      <c r="C86" s="108">
        <v>2016</v>
      </c>
      <c r="D86" s="58" t="s">
        <v>1505</v>
      </c>
      <c r="E86" s="109">
        <v>73.8</v>
      </c>
      <c r="F86" s="58">
        <f>SUMIF('附件5-2'!$A$4:$A$336,A86,'附件5-2'!$I$4:$I$336)</f>
        <v>0</v>
      </c>
      <c r="G86" s="59">
        <v>0</v>
      </c>
      <c r="H86" s="59">
        <v>0</v>
      </c>
      <c r="I86" s="58" t="s">
        <v>1421</v>
      </c>
      <c r="J86" s="108" t="s">
        <v>1063</v>
      </c>
      <c r="K86" s="26" t="s">
        <v>1070</v>
      </c>
      <c r="L86" s="110" t="s">
        <v>1460</v>
      </c>
      <c r="M86" s="26" t="s">
        <v>1070</v>
      </c>
      <c r="N86" s="26" t="s">
        <v>1506</v>
      </c>
      <c r="O86" s="26" t="s">
        <v>1070</v>
      </c>
      <c r="P86" s="58"/>
    </row>
    <row r="87" hidden="1" spans="1:16">
      <c r="A87" s="107">
        <v>540425201607002</v>
      </c>
      <c r="B87" s="108" t="s">
        <v>20</v>
      </c>
      <c r="C87" s="108">
        <v>2016</v>
      </c>
      <c r="D87" s="58" t="s">
        <v>1507</v>
      </c>
      <c r="E87" s="109">
        <v>10</v>
      </c>
      <c r="F87" s="58">
        <f>SUMIF('附件5-2'!$A$4:$A$336,A87,'附件5-2'!$I$4:$I$336)</f>
        <v>0</v>
      </c>
      <c r="G87" s="75">
        <v>0</v>
      </c>
      <c r="H87" s="75">
        <v>0</v>
      </c>
      <c r="I87" s="58" t="s">
        <v>1421</v>
      </c>
      <c r="J87" s="108" t="s">
        <v>1063</v>
      </c>
      <c r="K87" s="9" t="s">
        <v>1508</v>
      </c>
      <c r="L87" s="110" t="s">
        <v>1460</v>
      </c>
      <c r="M87" s="9" t="s">
        <v>1508</v>
      </c>
      <c r="N87" s="9" t="s">
        <v>1509</v>
      </c>
      <c r="O87" s="9" t="s">
        <v>1508</v>
      </c>
      <c r="P87" s="58"/>
    </row>
    <row r="88" hidden="1" spans="1:16">
      <c r="A88" s="107">
        <v>540425201619005</v>
      </c>
      <c r="B88" s="108" t="s">
        <v>20</v>
      </c>
      <c r="C88" s="108">
        <v>2016</v>
      </c>
      <c r="D88" s="58" t="s">
        <v>1510</v>
      </c>
      <c r="E88" s="109">
        <v>85</v>
      </c>
      <c r="F88" s="58">
        <f>SUMIF('附件5-2'!$A$4:$A$336,A88,'附件5-2'!$I$4:$I$336)</f>
        <v>0</v>
      </c>
      <c r="G88" s="75">
        <v>0</v>
      </c>
      <c r="H88" s="75">
        <v>0</v>
      </c>
      <c r="I88" s="58" t="s">
        <v>1421</v>
      </c>
      <c r="J88" s="108" t="s">
        <v>1063</v>
      </c>
      <c r="K88" s="9" t="s">
        <v>1070</v>
      </c>
      <c r="L88" s="110" t="s">
        <v>1460</v>
      </c>
      <c r="M88" s="9" t="s">
        <v>1070</v>
      </c>
      <c r="N88" s="9" t="s">
        <v>1506</v>
      </c>
      <c r="O88" s="9" t="s">
        <v>1070</v>
      </c>
      <c r="P88" s="58"/>
    </row>
    <row r="89" hidden="1" spans="1:16">
      <c r="A89" s="107">
        <v>540425201607003</v>
      </c>
      <c r="B89" s="108" t="s">
        <v>20</v>
      </c>
      <c r="C89" s="108">
        <v>2016</v>
      </c>
      <c r="D89" s="58" t="s">
        <v>1511</v>
      </c>
      <c r="E89" s="109">
        <v>65</v>
      </c>
      <c r="F89" s="58">
        <f>SUMIF('附件5-2'!$A$4:$A$336,A89,'附件5-2'!$I$4:$I$336)</f>
        <v>0</v>
      </c>
      <c r="G89" s="75">
        <v>0</v>
      </c>
      <c r="H89" s="75">
        <v>0</v>
      </c>
      <c r="I89" s="58" t="s">
        <v>1464</v>
      </c>
      <c r="J89" s="108" t="s">
        <v>1460</v>
      </c>
      <c r="K89" s="26" t="s">
        <v>1460</v>
      </c>
      <c r="L89" s="26" t="s">
        <v>1460</v>
      </c>
      <c r="M89" s="9" t="s">
        <v>1460</v>
      </c>
      <c r="N89" s="9" t="s">
        <v>1460</v>
      </c>
      <c r="O89" s="9" t="s">
        <v>1460</v>
      </c>
      <c r="P89" s="58"/>
    </row>
    <row r="90" hidden="1" spans="1:16">
      <c r="A90" s="107">
        <v>540425201619006</v>
      </c>
      <c r="B90" s="108" t="s">
        <v>20</v>
      </c>
      <c r="C90" s="108">
        <v>2016</v>
      </c>
      <c r="D90" s="58" t="s">
        <v>417</v>
      </c>
      <c r="E90" s="109">
        <v>60</v>
      </c>
      <c r="F90" s="58">
        <f>SUMIF('附件5-2'!$A$4:$A$336,A90,'附件5-2'!$I$4:$I$336)</f>
        <v>0</v>
      </c>
      <c r="G90" s="75">
        <v>0</v>
      </c>
      <c r="H90" s="75">
        <v>0</v>
      </c>
      <c r="I90" s="58" t="s">
        <v>1421</v>
      </c>
      <c r="J90" s="108" t="s">
        <v>1063</v>
      </c>
      <c r="K90" s="9" t="s">
        <v>1460</v>
      </c>
      <c r="L90" s="110" t="s">
        <v>1460</v>
      </c>
      <c r="M90" s="9" t="s">
        <v>1460</v>
      </c>
      <c r="N90" s="9" t="s">
        <v>1460</v>
      </c>
      <c r="O90" s="9" t="s">
        <v>1460</v>
      </c>
      <c r="P90" s="58"/>
    </row>
    <row r="91" hidden="1" spans="1:16">
      <c r="A91" s="107">
        <v>540425201619007</v>
      </c>
      <c r="B91" s="108" t="s">
        <v>20</v>
      </c>
      <c r="C91" s="108">
        <v>2016</v>
      </c>
      <c r="D91" s="58" t="s">
        <v>418</v>
      </c>
      <c r="E91" s="109">
        <v>20</v>
      </c>
      <c r="F91" s="58">
        <f>SUMIF('附件5-2'!$A$4:$A$336,A91,'附件5-2'!$I$4:$I$336)</f>
        <v>0</v>
      </c>
      <c r="G91" s="75">
        <v>0</v>
      </c>
      <c r="H91" s="75">
        <v>0</v>
      </c>
      <c r="I91" s="58" t="s">
        <v>1421</v>
      </c>
      <c r="J91" s="108" t="s">
        <v>1063</v>
      </c>
      <c r="K91" s="9" t="s">
        <v>1512</v>
      </c>
      <c r="L91" s="110" t="s">
        <v>1460</v>
      </c>
      <c r="M91" s="9" t="s">
        <v>1512</v>
      </c>
      <c r="N91" s="9" t="s">
        <v>1513</v>
      </c>
      <c r="O91" s="9" t="s">
        <v>1512</v>
      </c>
      <c r="P91" s="58"/>
    </row>
    <row r="92" hidden="1" spans="1:16">
      <c r="A92" s="107">
        <v>540425201608002</v>
      </c>
      <c r="B92" s="108" t="s">
        <v>20</v>
      </c>
      <c r="C92" s="108">
        <v>2016</v>
      </c>
      <c r="D92" s="58" t="s">
        <v>421</v>
      </c>
      <c r="E92" s="109">
        <v>9.435</v>
      </c>
      <c r="F92" s="58">
        <v>84</v>
      </c>
      <c r="G92" s="75">
        <v>9.435</v>
      </c>
      <c r="H92" s="75">
        <v>0</v>
      </c>
      <c r="I92" s="58" t="s">
        <v>1464</v>
      </c>
      <c r="J92" s="108" t="s">
        <v>1063</v>
      </c>
      <c r="K92" s="9" t="s">
        <v>1460</v>
      </c>
      <c r="L92" s="110" t="s">
        <v>1460</v>
      </c>
      <c r="M92" s="9" t="s">
        <v>1460</v>
      </c>
      <c r="N92" s="9" t="s">
        <v>1460</v>
      </c>
      <c r="O92" s="9" t="s">
        <v>1460</v>
      </c>
      <c r="P92" s="58"/>
    </row>
    <row r="93" hidden="1" spans="1:16">
      <c r="A93" s="107">
        <v>540425201607004</v>
      </c>
      <c r="B93" s="108" t="s">
        <v>20</v>
      </c>
      <c r="C93" s="108">
        <v>2016</v>
      </c>
      <c r="D93" s="58" t="s">
        <v>423</v>
      </c>
      <c r="E93" s="109">
        <v>38.907</v>
      </c>
      <c r="F93" s="58">
        <f>SUMIF('附件5-2'!$A$4:$A$336,A93,'附件5-2'!$I$4:$I$336)</f>
        <v>0</v>
      </c>
      <c r="G93" s="75">
        <v>0</v>
      </c>
      <c r="H93" s="75">
        <v>0</v>
      </c>
      <c r="I93" s="58" t="s">
        <v>1464</v>
      </c>
      <c r="J93" s="108" t="s">
        <v>1460</v>
      </c>
      <c r="K93" s="9" t="s">
        <v>1460</v>
      </c>
      <c r="L93" s="110" t="s">
        <v>1460</v>
      </c>
      <c r="M93" s="9" t="s">
        <v>1460</v>
      </c>
      <c r="N93" s="9" t="s">
        <v>1460</v>
      </c>
      <c r="O93" s="9" t="s">
        <v>1460</v>
      </c>
      <c r="P93" s="58"/>
    </row>
    <row r="94" hidden="1" spans="1:16">
      <c r="A94" s="107">
        <v>540425201616005</v>
      </c>
      <c r="B94" s="108" t="s">
        <v>20</v>
      </c>
      <c r="C94" s="108">
        <v>2016</v>
      </c>
      <c r="D94" s="58" t="s">
        <v>424</v>
      </c>
      <c r="E94" s="109">
        <v>57.19</v>
      </c>
      <c r="F94" s="58">
        <f>SUMIF('附件5-2'!$A$4:$A$336,A94,'附件5-2'!$I$4:$I$336)</f>
        <v>0</v>
      </c>
      <c r="G94" s="75">
        <v>0</v>
      </c>
      <c r="H94" s="75">
        <v>0</v>
      </c>
      <c r="I94" s="58" t="s">
        <v>1421</v>
      </c>
      <c r="J94" s="108" t="s">
        <v>1063</v>
      </c>
      <c r="K94" s="9" t="s">
        <v>1460</v>
      </c>
      <c r="L94" s="110" t="s">
        <v>1460</v>
      </c>
      <c r="M94" s="9" t="s">
        <v>1460</v>
      </c>
      <c r="N94" s="9" t="s">
        <v>1460</v>
      </c>
      <c r="O94" s="9" t="s">
        <v>1460</v>
      </c>
      <c r="P94" s="58"/>
    </row>
    <row r="95" hidden="1" spans="1:16">
      <c r="A95" s="107">
        <v>540425201608003</v>
      </c>
      <c r="B95" s="108" t="s">
        <v>20</v>
      </c>
      <c r="C95" s="108">
        <v>2016</v>
      </c>
      <c r="D95" s="58" t="s">
        <v>426</v>
      </c>
      <c r="E95" s="109">
        <v>12.71</v>
      </c>
      <c r="F95" s="58">
        <f>SUMIF('附件5-2'!$A$4:$A$336,A95,'附件5-2'!$I$4:$I$336)</f>
        <v>0</v>
      </c>
      <c r="G95" s="75">
        <v>0</v>
      </c>
      <c r="H95" s="75">
        <v>0</v>
      </c>
      <c r="I95" s="58" t="s">
        <v>1464</v>
      </c>
      <c r="J95" s="108" t="s">
        <v>1460</v>
      </c>
      <c r="K95" s="9" t="s">
        <v>1460</v>
      </c>
      <c r="L95" s="110" t="s">
        <v>1460</v>
      </c>
      <c r="M95" s="9" t="s">
        <v>1460</v>
      </c>
      <c r="N95" s="9" t="s">
        <v>1460</v>
      </c>
      <c r="O95" s="9" t="s">
        <v>1460</v>
      </c>
      <c r="P95" s="58"/>
    </row>
    <row r="96" hidden="1" spans="1:16">
      <c r="A96" s="107">
        <v>540425201607005</v>
      </c>
      <c r="B96" s="108" t="s">
        <v>20</v>
      </c>
      <c r="C96" s="108">
        <v>2016</v>
      </c>
      <c r="D96" s="58" t="s">
        <v>428</v>
      </c>
      <c r="E96" s="109">
        <v>42.06</v>
      </c>
      <c r="F96" s="58">
        <f>SUMIF('附件5-2'!$A$4:$A$336,A96,'附件5-2'!$I$4:$I$336)</f>
        <v>0</v>
      </c>
      <c r="G96" s="75">
        <v>0</v>
      </c>
      <c r="H96" s="75">
        <v>0</v>
      </c>
      <c r="I96" s="58" t="s">
        <v>1464</v>
      </c>
      <c r="J96" s="108" t="s">
        <v>1460</v>
      </c>
      <c r="K96" s="9" t="s">
        <v>1460</v>
      </c>
      <c r="L96" s="110" t="s">
        <v>1460</v>
      </c>
      <c r="M96" s="9" t="s">
        <v>1460</v>
      </c>
      <c r="N96" s="9" t="s">
        <v>1460</v>
      </c>
      <c r="O96" s="9" t="s">
        <v>1460</v>
      </c>
      <c r="P96" s="58"/>
    </row>
    <row r="97" hidden="1" spans="1:16">
      <c r="A97" s="107">
        <v>540425201607006</v>
      </c>
      <c r="B97" s="108" t="s">
        <v>20</v>
      </c>
      <c r="C97" s="108">
        <v>2016</v>
      </c>
      <c r="D97" s="58" t="s">
        <v>238</v>
      </c>
      <c r="E97" s="109">
        <v>474.2525</v>
      </c>
      <c r="F97" s="58">
        <f>SUMIF('附件5-2'!$A$4:$A$336,A97,'附件5-2'!$I$4:$I$336)</f>
        <v>0</v>
      </c>
      <c r="G97" s="75">
        <v>0</v>
      </c>
      <c r="H97" s="75">
        <v>0</v>
      </c>
      <c r="I97" s="58" t="s">
        <v>1464</v>
      </c>
      <c r="J97" s="108" t="s">
        <v>1460</v>
      </c>
      <c r="K97" s="9" t="s">
        <v>1460</v>
      </c>
      <c r="L97" s="110" t="s">
        <v>1460</v>
      </c>
      <c r="M97" s="9" t="s">
        <v>1460</v>
      </c>
      <c r="N97" s="9" t="s">
        <v>1460</v>
      </c>
      <c r="O97" s="9" t="s">
        <v>1460</v>
      </c>
      <c r="P97" s="58"/>
    </row>
    <row r="98" hidden="1" spans="1:16">
      <c r="A98" s="107">
        <v>540425201608004</v>
      </c>
      <c r="B98" s="108" t="s">
        <v>20</v>
      </c>
      <c r="C98" s="108">
        <v>2016</v>
      </c>
      <c r="D98" s="58" t="s">
        <v>241</v>
      </c>
      <c r="E98" s="109">
        <v>208.605</v>
      </c>
      <c r="F98" s="58">
        <f>SUMIF('附件5-2'!$A$4:$A$336,A98,'附件5-2'!$I$4:$I$336)</f>
        <v>0</v>
      </c>
      <c r="G98" s="75">
        <v>0</v>
      </c>
      <c r="H98" s="75">
        <v>0</v>
      </c>
      <c r="I98" s="58" t="s">
        <v>1464</v>
      </c>
      <c r="J98" s="108" t="s">
        <v>1460</v>
      </c>
      <c r="K98" s="9" t="s">
        <v>1460</v>
      </c>
      <c r="L98" s="110" t="s">
        <v>1460</v>
      </c>
      <c r="M98" s="9" t="s">
        <v>1460</v>
      </c>
      <c r="N98" s="9" t="s">
        <v>1460</v>
      </c>
      <c r="O98" s="9" t="s">
        <v>1460</v>
      </c>
      <c r="P98" s="58"/>
    </row>
    <row r="99" hidden="1" spans="1:16">
      <c r="A99" s="107">
        <v>540425201604003</v>
      </c>
      <c r="B99" s="108" t="s">
        <v>20</v>
      </c>
      <c r="C99" s="108">
        <v>2016</v>
      </c>
      <c r="D99" s="58" t="s">
        <v>1514</v>
      </c>
      <c r="E99" s="109">
        <v>199.95</v>
      </c>
      <c r="F99" s="58">
        <f>SUMIF('附件5-2'!$A$4:$A$336,A99,'附件5-2'!$I$4:$I$336)</f>
        <v>0</v>
      </c>
      <c r="G99" s="75">
        <v>0</v>
      </c>
      <c r="H99" s="75">
        <v>0</v>
      </c>
      <c r="I99" s="58" t="s">
        <v>1421</v>
      </c>
      <c r="J99" s="108" t="s">
        <v>1063</v>
      </c>
      <c r="K99" s="9" t="s">
        <v>1460</v>
      </c>
      <c r="L99" s="110" t="s">
        <v>1460</v>
      </c>
      <c r="M99" s="9" t="s">
        <v>1460</v>
      </c>
      <c r="N99" s="9" t="s">
        <v>1460</v>
      </c>
      <c r="O99" s="9" t="s">
        <v>1460</v>
      </c>
      <c r="P99" s="58"/>
    </row>
    <row r="100" hidden="1" spans="1:16">
      <c r="A100" s="107">
        <v>540425201718001</v>
      </c>
      <c r="B100" s="108" t="s">
        <v>20</v>
      </c>
      <c r="C100" s="108">
        <v>2017</v>
      </c>
      <c r="D100" s="58" t="s">
        <v>52</v>
      </c>
      <c r="E100" s="109">
        <v>1308.152951</v>
      </c>
      <c r="F100" s="58">
        <f>SUMIF('附件5-2'!$A$4:$A$336,A100,'附件5-2'!$I$4:$I$336)</f>
        <v>7</v>
      </c>
      <c r="G100" s="75">
        <v>1308.152951</v>
      </c>
      <c r="H100" s="75">
        <v>942.546439</v>
      </c>
      <c r="I100" s="58" t="s">
        <v>1426</v>
      </c>
      <c r="J100" s="108" t="s">
        <v>1515</v>
      </c>
      <c r="K100" s="26" t="s">
        <v>375</v>
      </c>
      <c r="L100" s="26" t="s">
        <v>1460</v>
      </c>
      <c r="M100" s="9" t="s">
        <v>375</v>
      </c>
      <c r="N100" s="9" t="e">
        <v>#N/A</v>
      </c>
      <c r="O100" s="9" t="s">
        <v>375</v>
      </c>
      <c r="P100" s="58"/>
    </row>
    <row r="101" hidden="1" spans="1:16">
      <c r="A101" s="107">
        <v>540425201811001</v>
      </c>
      <c r="B101" s="108" t="s">
        <v>20</v>
      </c>
      <c r="C101" s="108">
        <v>2018</v>
      </c>
      <c r="D101" s="58" t="s">
        <v>180</v>
      </c>
      <c r="E101" s="109">
        <v>50</v>
      </c>
      <c r="F101" s="58">
        <f>SUMIF('附件5-2'!$A$4:$A$336,A101,'附件5-2'!$I$4:$I$336)</f>
        <v>0</v>
      </c>
      <c r="G101" s="75">
        <v>28</v>
      </c>
      <c r="H101" s="75">
        <v>0</v>
      </c>
      <c r="I101" s="58" t="s">
        <v>1421</v>
      </c>
      <c r="J101" s="108" t="s">
        <v>1063</v>
      </c>
      <c r="K101" s="9" t="s">
        <v>1516</v>
      </c>
      <c r="L101" s="110" t="s">
        <v>1460</v>
      </c>
      <c r="M101" s="9" t="s">
        <v>1516</v>
      </c>
      <c r="N101" s="9" t="s">
        <v>1517</v>
      </c>
      <c r="O101" s="9" t="s">
        <v>1516</v>
      </c>
      <c r="P101" s="58"/>
    </row>
    <row r="102" s="28" customFormat="1" hidden="1" spans="1:16">
      <c r="A102" s="107">
        <v>540425201811002</v>
      </c>
      <c r="B102" s="108" t="s">
        <v>20</v>
      </c>
      <c r="C102" s="108">
        <v>2018</v>
      </c>
      <c r="D102" s="58" t="s">
        <v>181</v>
      </c>
      <c r="E102" s="109">
        <v>64.4</v>
      </c>
      <c r="F102" s="58">
        <f>SUMIF('附件5-2'!$A$4:$A$336,A102,'附件5-2'!$I$4:$I$336)</f>
        <v>0</v>
      </c>
      <c r="G102" s="59">
        <v>0</v>
      </c>
      <c r="H102" s="59">
        <v>0</v>
      </c>
      <c r="I102" s="58" t="s">
        <v>1421</v>
      </c>
      <c r="J102" s="108" t="s">
        <v>1063</v>
      </c>
      <c r="K102" s="26" t="s">
        <v>1064</v>
      </c>
      <c r="L102" s="110" t="s">
        <v>1460</v>
      </c>
      <c r="M102" s="26" t="s">
        <v>1064</v>
      </c>
      <c r="N102" s="26" t="s">
        <v>1518</v>
      </c>
      <c r="O102" s="26" t="s">
        <v>1064</v>
      </c>
      <c r="P102" s="58"/>
    </row>
    <row r="103" hidden="1" spans="1:16">
      <c r="A103" s="107">
        <v>540425201816008</v>
      </c>
      <c r="B103" s="108" t="s">
        <v>20</v>
      </c>
      <c r="C103" s="108">
        <v>2018</v>
      </c>
      <c r="D103" s="58" t="s">
        <v>182</v>
      </c>
      <c r="E103" s="109">
        <v>50</v>
      </c>
      <c r="F103" s="58">
        <f>SUMIF('附件5-2'!$A$4:$A$336,A103,'附件5-2'!$I$4:$I$336)</f>
        <v>0</v>
      </c>
      <c r="G103" s="75">
        <v>0</v>
      </c>
      <c r="H103" s="75">
        <v>0</v>
      </c>
      <c r="I103" s="58" t="s">
        <v>1421</v>
      </c>
      <c r="J103" s="108" t="s">
        <v>1515</v>
      </c>
      <c r="K103" s="9" t="s">
        <v>375</v>
      </c>
      <c r="L103" s="110" t="s">
        <v>1460</v>
      </c>
      <c r="M103" s="9" t="s">
        <v>375</v>
      </c>
      <c r="N103" s="9" t="e">
        <v>#N/A</v>
      </c>
      <c r="O103" s="9" t="s">
        <v>375</v>
      </c>
      <c r="P103" s="58"/>
    </row>
    <row r="104" hidden="1" spans="1:16">
      <c r="A104" s="107">
        <v>540425201807011</v>
      </c>
      <c r="B104" s="108" t="s">
        <v>20</v>
      </c>
      <c r="C104" s="108">
        <v>2018</v>
      </c>
      <c r="D104" s="58" t="s">
        <v>191</v>
      </c>
      <c r="E104" s="109">
        <v>50</v>
      </c>
      <c r="F104" s="58">
        <f>SUMIF('附件5-2'!$A$4:$A$336,A104,'附件5-2'!$I$4:$I$336)</f>
        <v>108</v>
      </c>
      <c r="G104" s="75">
        <v>47.52</v>
      </c>
      <c r="H104" s="75">
        <v>36.225666</v>
      </c>
      <c r="I104" s="58" t="s">
        <v>1421</v>
      </c>
      <c r="J104" s="108" t="s">
        <v>1063</v>
      </c>
      <c r="K104" s="9" t="s">
        <v>1519</v>
      </c>
      <c r="L104" s="26" t="s">
        <v>1460</v>
      </c>
      <c r="M104" s="9" t="s">
        <v>1519</v>
      </c>
      <c r="N104" s="9" t="s">
        <v>1520</v>
      </c>
      <c r="O104" s="9" t="s">
        <v>1519</v>
      </c>
      <c r="P104" s="58" t="s">
        <v>1521</v>
      </c>
    </row>
    <row r="105" hidden="1" spans="1:16">
      <c r="A105" s="107">
        <v>540425201812004</v>
      </c>
      <c r="B105" s="108" t="s">
        <v>20</v>
      </c>
      <c r="C105" s="108">
        <v>2018</v>
      </c>
      <c r="D105" s="58" t="s">
        <v>194</v>
      </c>
      <c r="E105" s="109">
        <v>468.53926</v>
      </c>
      <c r="F105" s="58">
        <f>SUMIF('附件5-2'!$A$4:$A$336,A105,'附件5-2'!$I$4:$I$336)</f>
        <v>0</v>
      </c>
      <c r="G105" s="75">
        <v>0</v>
      </c>
      <c r="H105" s="75">
        <v>0</v>
      </c>
      <c r="I105" s="58" t="s">
        <v>1421</v>
      </c>
      <c r="J105" s="108" t="s">
        <v>1063</v>
      </c>
      <c r="K105" s="9" t="s">
        <v>1522</v>
      </c>
      <c r="L105" s="110" t="s">
        <v>1460</v>
      </c>
      <c r="M105" s="9" t="s">
        <v>1522</v>
      </c>
      <c r="N105" s="9" t="s">
        <v>1523</v>
      </c>
      <c r="O105" s="9" t="s">
        <v>1522</v>
      </c>
      <c r="P105" s="58"/>
    </row>
    <row r="106" s="76" customFormat="1" hidden="1" spans="1:16">
      <c r="A106" s="111">
        <v>540425201819014</v>
      </c>
      <c r="B106" s="112" t="s">
        <v>20</v>
      </c>
      <c r="C106" s="112">
        <v>2018</v>
      </c>
      <c r="D106" s="113" t="s">
        <v>195</v>
      </c>
      <c r="E106" s="114">
        <f>附件3!L43</f>
        <v>361.466225</v>
      </c>
      <c r="F106" s="113">
        <f>SUMIF('附件5-2'!$A$4:$A$336,A106,'附件5-2'!$I$4:$I$336)</f>
        <v>0</v>
      </c>
      <c r="G106" s="115">
        <v>0</v>
      </c>
      <c r="H106" s="115">
        <v>0</v>
      </c>
      <c r="I106" s="113" t="s">
        <v>1426</v>
      </c>
      <c r="J106" s="112" t="s">
        <v>975</v>
      </c>
      <c r="K106" s="116" t="s">
        <v>121</v>
      </c>
      <c r="L106" s="117" t="s">
        <v>1460</v>
      </c>
      <c r="M106" s="116" t="s">
        <v>121</v>
      </c>
      <c r="N106" s="116" t="s">
        <v>1431</v>
      </c>
      <c r="O106" s="116" t="s">
        <v>121</v>
      </c>
      <c r="P106" s="113"/>
    </row>
    <row r="107" hidden="1" spans="1:16">
      <c r="A107" s="107">
        <v>540425201804004</v>
      </c>
      <c r="B107" s="108" t="s">
        <v>20</v>
      </c>
      <c r="C107" s="108">
        <v>2018</v>
      </c>
      <c r="D107" s="58" t="s">
        <v>459</v>
      </c>
      <c r="E107" s="109">
        <v>12.5112</v>
      </c>
      <c r="F107" s="58">
        <f>SUMIF('附件5-2'!$A$4:$A$336,A107,'附件5-2'!$I$4:$I$336)</f>
        <v>0</v>
      </c>
      <c r="G107" s="75">
        <v>0</v>
      </c>
      <c r="H107" s="75">
        <v>0</v>
      </c>
      <c r="I107" s="58" t="s">
        <v>1464</v>
      </c>
      <c r="J107" s="108" t="s">
        <v>1460</v>
      </c>
      <c r="K107" s="9" t="s">
        <v>1460</v>
      </c>
      <c r="L107" s="110" t="s">
        <v>1460</v>
      </c>
      <c r="M107" s="9" t="s">
        <v>1460</v>
      </c>
      <c r="N107" s="9" t="s">
        <v>1460</v>
      </c>
      <c r="O107" s="9" t="s">
        <v>1460</v>
      </c>
      <c r="P107" s="58"/>
    </row>
    <row r="108" hidden="1" spans="1:16">
      <c r="A108" s="107">
        <v>540425201820008</v>
      </c>
      <c r="B108" s="108" t="s">
        <v>20</v>
      </c>
      <c r="C108" s="108">
        <v>2018</v>
      </c>
      <c r="D108" s="58" t="s">
        <v>196</v>
      </c>
      <c r="E108" s="109">
        <v>171.659074</v>
      </c>
      <c r="F108" s="58">
        <f>SUMIF('附件5-2'!$A$4:$A$336,A108,'附件5-2'!$I$4:$I$336)</f>
        <v>0</v>
      </c>
      <c r="G108" s="75">
        <v>0</v>
      </c>
      <c r="H108" s="75">
        <v>0</v>
      </c>
      <c r="I108" s="58" t="s">
        <v>1421</v>
      </c>
      <c r="J108" s="108" t="s">
        <v>1063</v>
      </c>
      <c r="K108" s="9" t="s">
        <v>1455</v>
      </c>
      <c r="L108" s="110" t="s">
        <v>1460</v>
      </c>
      <c r="M108" s="9" t="s">
        <v>1455</v>
      </c>
      <c r="N108" s="9" t="s">
        <v>1456</v>
      </c>
      <c r="O108" s="9" t="s">
        <v>1455</v>
      </c>
      <c r="P108" s="58"/>
    </row>
    <row r="109" hidden="1" spans="1:16">
      <c r="A109" s="107">
        <v>540425201820009</v>
      </c>
      <c r="B109" s="108" t="s">
        <v>20</v>
      </c>
      <c r="C109" s="108">
        <v>2018</v>
      </c>
      <c r="D109" s="58" t="s">
        <v>197</v>
      </c>
      <c r="E109" s="109">
        <v>160.52</v>
      </c>
      <c r="F109" s="58">
        <f>SUMIF('附件5-2'!$A$4:$A$336,A109,'附件5-2'!$I$4:$I$336)</f>
        <v>1663</v>
      </c>
      <c r="G109" s="75">
        <v>88.95</v>
      </c>
      <c r="H109" s="75">
        <v>7.4125</v>
      </c>
      <c r="I109" s="58" t="s">
        <v>1421</v>
      </c>
      <c r="J109" s="108" t="s">
        <v>1063</v>
      </c>
      <c r="K109" s="9" t="s">
        <v>1524</v>
      </c>
      <c r="L109" s="26" t="s">
        <v>1460</v>
      </c>
      <c r="M109" s="9" t="s">
        <v>1524</v>
      </c>
      <c r="N109" s="9" t="s">
        <v>1525</v>
      </c>
      <c r="O109" s="9" t="s">
        <v>1524</v>
      </c>
      <c r="P109" s="58">
        <v>0</v>
      </c>
    </row>
    <row r="110" hidden="1" spans="1:16">
      <c r="A110" s="107">
        <v>540425201820010</v>
      </c>
      <c r="B110" s="108" t="s">
        <v>20</v>
      </c>
      <c r="C110" s="108">
        <v>2018</v>
      </c>
      <c r="D110" s="58" t="s">
        <v>199</v>
      </c>
      <c r="E110" s="109">
        <v>95.284457</v>
      </c>
      <c r="F110" s="58">
        <v>1</v>
      </c>
      <c r="G110" s="75">
        <v>95.28</v>
      </c>
      <c r="H110" s="75">
        <v>38.11</v>
      </c>
      <c r="I110" s="58" t="s">
        <v>1464</v>
      </c>
      <c r="J110" s="108" t="s">
        <v>1460</v>
      </c>
      <c r="K110" s="26" t="s">
        <v>1460</v>
      </c>
      <c r="L110" s="26" t="s">
        <v>1460</v>
      </c>
      <c r="M110" s="9" t="s">
        <v>1460</v>
      </c>
      <c r="N110" s="9" t="s">
        <v>1460</v>
      </c>
      <c r="O110" s="9" t="s">
        <v>1460</v>
      </c>
      <c r="P110" s="58">
        <v>0</v>
      </c>
    </row>
    <row r="111" hidden="1" spans="1:16">
      <c r="A111" s="107">
        <v>540425201820011</v>
      </c>
      <c r="B111" s="108" t="s">
        <v>20</v>
      </c>
      <c r="C111" s="108">
        <v>2018</v>
      </c>
      <c r="D111" s="58" t="s">
        <v>200</v>
      </c>
      <c r="E111" s="109">
        <v>57.611099</v>
      </c>
      <c r="F111" s="58">
        <f>SUMIF('附件5-2'!$A$4:$A$336,A111,'附件5-2'!$I$4:$I$336)</f>
        <v>0</v>
      </c>
      <c r="G111" s="75">
        <v>0</v>
      </c>
      <c r="H111" s="75">
        <v>0</v>
      </c>
      <c r="I111" s="58" t="s">
        <v>1421</v>
      </c>
      <c r="J111" s="108" t="s">
        <v>1063</v>
      </c>
      <c r="K111" s="9" t="s">
        <v>1526</v>
      </c>
      <c r="L111" s="110" t="s">
        <v>1460</v>
      </c>
      <c r="M111" s="9" t="s">
        <v>1526</v>
      </c>
      <c r="N111" s="9" t="s">
        <v>1527</v>
      </c>
      <c r="O111" s="9" t="s">
        <v>1526</v>
      </c>
      <c r="P111" s="58"/>
    </row>
    <row r="112" hidden="1" spans="1:16">
      <c r="A112" s="107">
        <v>540425201820012</v>
      </c>
      <c r="B112" s="108" t="s">
        <v>20</v>
      </c>
      <c r="C112" s="108">
        <v>2018</v>
      </c>
      <c r="D112" s="58" t="s">
        <v>201</v>
      </c>
      <c r="E112" s="109">
        <v>138.449527</v>
      </c>
      <c r="F112" s="58">
        <v>1</v>
      </c>
      <c r="G112" s="109">
        <v>138.449527</v>
      </c>
      <c r="H112" s="75">
        <f>G112-83.07</f>
        <v>55.379527</v>
      </c>
      <c r="I112" s="58" t="s">
        <v>1421</v>
      </c>
      <c r="J112" s="108" t="s">
        <v>1460</v>
      </c>
      <c r="K112" s="26" t="s">
        <v>1460</v>
      </c>
      <c r="L112" s="26" t="s">
        <v>1460</v>
      </c>
      <c r="M112" s="9" t="s">
        <v>1460</v>
      </c>
      <c r="N112" s="9" t="s">
        <v>1460</v>
      </c>
      <c r="O112" s="9" t="s">
        <v>1460</v>
      </c>
      <c r="P112" s="58">
        <v>0</v>
      </c>
    </row>
    <row r="113" hidden="1" spans="1:16">
      <c r="A113" s="107">
        <v>540425201820013</v>
      </c>
      <c r="B113" s="108" t="s">
        <v>20</v>
      </c>
      <c r="C113" s="108">
        <v>2018</v>
      </c>
      <c r="D113" s="58" t="s">
        <v>202</v>
      </c>
      <c r="E113" s="109">
        <v>440.095915</v>
      </c>
      <c r="F113" s="58">
        <f>SUMIF('附件5-2'!$A$4:$A$336,A113,'附件5-2'!$I$4:$I$336)</f>
        <v>2</v>
      </c>
      <c r="G113" s="75">
        <v>440.095915</v>
      </c>
      <c r="H113" s="75">
        <v>0</v>
      </c>
      <c r="I113" s="58" t="s">
        <v>1421</v>
      </c>
      <c r="J113" s="108" t="s">
        <v>1063</v>
      </c>
      <c r="K113" s="9" t="s">
        <v>1528</v>
      </c>
      <c r="L113" s="26" t="s">
        <v>1460</v>
      </c>
      <c r="M113" s="9" t="s">
        <v>1528</v>
      </c>
      <c r="N113" s="9" t="s">
        <v>1529</v>
      </c>
      <c r="O113" s="9" t="s">
        <v>1528</v>
      </c>
      <c r="P113" s="58" t="s">
        <v>1530</v>
      </c>
    </row>
    <row r="114" hidden="1" spans="1:16">
      <c r="A114" s="107">
        <v>540425201819016</v>
      </c>
      <c r="B114" s="108" t="s">
        <v>20</v>
      </c>
      <c r="C114" s="108">
        <v>2018</v>
      </c>
      <c r="D114" s="58" t="s">
        <v>460</v>
      </c>
      <c r="E114" s="109">
        <v>153.1</v>
      </c>
      <c r="F114" s="58">
        <f>SUMIF('附件5-2'!$A$4:$A$336,A114,'附件5-2'!$I$4:$I$336)</f>
        <v>0</v>
      </c>
      <c r="G114" s="75">
        <v>0</v>
      </c>
      <c r="H114" s="75">
        <v>0</v>
      </c>
      <c r="I114" s="58" t="s">
        <v>1464</v>
      </c>
      <c r="J114" s="108" t="s">
        <v>1460</v>
      </c>
      <c r="K114" s="9" t="s">
        <v>1460</v>
      </c>
      <c r="L114" s="110" t="s">
        <v>1460</v>
      </c>
      <c r="M114" s="9" t="s">
        <v>1460</v>
      </c>
      <c r="N114" s="9" t="s">
        <v>1460</v>
      </c>
      <c r="O114" s="9" t="s">
        <v>1460</v>
      </c>
      <c r="P114" s="58"/>
    </row>
    <row r="115" hidden="1" spans="1:16">
      <c r="A115" s="107">
        <v>540425201815003</v>
      </c>
      <c r="B115" s="108" t="s">
        <v>20</v>
      </c>
      <c r="C115" s="108">
        <v>2018</v>
      </c>
      <c r="D115" s="58" t="s">
        <v>203</v>
      </c>
      <c r="E115" s="109">
        <v>474.863231</v>
      </c>
      <c r="F115" s="58">
        <f>SUMIF('附件5-2'!$A$4:$A$336,A115,'附件5-2'!$I$4:$I$336)</f>
        <v>0</v>
      </c>
      <c r="G115" s="109">
        <v>474.863231</v>
      </c>
      <c r="H115" s="75">
        <v>237.43</v>
      </c>
      <c r="I115" s="58" t="s">
        <v>1421</v>
      </c>
      <c r="J115" s="108" t="s">
        <v>1063</v>
      </c>
      <c r="K115" s="9" t="s">
        <v>1522</v>
      </c>
      <c r="L115" s="110" t="s">
        <v>1460</v>
      </c>
      <c r="M115" s="9" t="s">
        <v>1522</v>
      </c>
      <c r="N115" s="9" t="s">
        <v>1523</v>
      </c>
      <c r="O115" s="9" t="s">
        <v>1522</v>
      </c>
      <c r="P115" s="58"/>
    </row>
    <row r="116" hidden="1" spans="1:16">
      <c r="A116" s="107">
        <v>540425201820014</v>
      </c>
      <c r="B116" s="108" t="s">
        <v>20</v>
      </c>
      <c r="C116" s="108">
        <v>2018</v>
      </c>
      <c r="D116" s="58" t="s">
        <v>1531</v>
      </c>
      <c r="E116" s="109">
        <v>199.03</v>
      </c>
      <c r="F116" s="58">
        <f>SUMIF('附件5-2'!$A$4:$A$336,A116,'附件5-2'!$I$4:$I$336)</f>
        <v>0</v>
      </c>
      <c r="G116" s="75">
        <v>0</v>
      </c>
      <c r="H116" s="75">
        <v>0</v>
      </c>
      <c r="I116" s="58" t="s">
        <v>1421</v>
      </c>
      <c r="J116" s="108" t="s">
        <v>1063</v>
      </c>
      <c r="K116" s="9" t="s">
        <v>1532</v>
      </c>
      <c r="L116" s="110" t="s">
        <v>1460</v>
      </c>
      <c r="M116" s="9" t="s">
        <v>1532</v>
      </c>
      <c r="N116" s="9" t="s">
        <v>1533</v>
      </c>
      <c r="O116" s="9" t="s">
        <v>1532</v>
      </c>
      <c r="P116" s="58"/>
    </row>
    <row r="117" hidden="1" spans="1:16">
      <c r="A117" s="107">
        <v>540425201820015</v>
      </c>
      <c r="B117" s="108" t="s">
        <v>20</v>
      </c>
      <c r="C117" s="108">
        <v>2018</v>
      </c>
      <c r="D117" s="58" t="s">
        <v>208</v>
      </c>
      <c r="E117" s="109">
        <v>77.25</v>
      </c>
      <c r="F117" s="58">
        <f>SUMIF('附件5-2'!$A$4:$A$336,A117,'附件5-2'!$I$4:$I$336)</f>
        <v>2606</v>
      </c>
      <c r="G117" s="75">
        <v>43.87</v>
      </c>
      <c r="H117" s="75">
        <v>10.9675</v>
      </c>
      <c r="I117" s="58" t="s">
        <v>1421</v>
      </c>
      <c r="J117" s="108" t="s">
        <v>1063</v>
      </c>
      <c r="K117" s="9" t="s">
        <v>1064</v>
      </c>
      <c r="L117" s="26" t="s">
        <v>1460</v>
      </c>
      <c r="M117" s="9" t="s">
        <v>1064</v>
      </c>
      <c r="N117" s="9" t="s">
        <v>1518</v>
      </c>
      <c r="O117" s="9" t="s">
        <v>1064</v>
      </c>
      <c r="P117" s="58">
        <v>0</v>
      </c>
    </row>
    <row r="118" hidden="1" spans="1:16">
      <c r="A118" s="107">
        <v>540425201820016</v>
      </c>
      <c r="B118" s="108" t="s">
        <v>20</v>
      </c>
      <c r="C118" s="108">
        <v>2018</v>
      </c>
      <c r="D118" s="58" t="s">
        <v>1534</v>
      </c>
      <c r="E118" s="109">
        <v>147.08</v>
      </c>
      <c r="F118" s="58">
        <f>SUMIF('附件5-2'!$A$4:$A$336,A118,'附件5-2'!$I$4:$I$336)</f>
        <v>3622</v>
      </c>
      <c r="G118" s="75">
        <v>90.56</v>
      </c>
      <c r="H118" s="75">
        <v>15.09333</v>
      </c>
      <c r="I118" s="58" t="s">
        <v>1421</v>
      </c>
      <c r="J118" s="108" t="s">
        <v>1063</v>
      </c>
      <c r="K118" s="9" t="s">
        <v>1516</v>
      </c>
      <c r="L118" s="26" t="s">
        <v>1460</v>
      </c>
      <c r="M118" s="9" t="s">
        <v>1516</v>
      </c>
      <c r="N118" s="9" t="s">
        <v>1517</v>
      </c>
      <c r="O118" s="9" t="s">
        <v>1516</v>
      </c>
      <c r="P118" s="58">
        <v>0</v>
      </c>
    </row>
    <row r="119" hidden="1" spans="1:16">
      <c r="A119" s="107">
        <v>540425201820017</v>
      </c>
      <c r="B119" s="108" t="s">
        <v>20</v>
      </c>
      <c r="C119" s="108">
        <v>2018</v>
      </c>
      <c r="D119" s="58" t="s">
        <v>211</v>
      </c>
      <c r="E119" s="109">
        <v>238.36</v>
      </c>
      <c r="F119" s="58">
        <v>1</v>
      </c>
      <c r="G119" s="75">
        <v>238.36</v>
      </c>
      <c r="H119" s="75">
        <v>95.34</v>
      </c>
      <c r="I119" s="58" t="s">
        <v>1421</v>
      </c>
      <c r="J119" s="108" t="s">
        <v>1063</v>
      </c>
      <c r="K119" s="9" t="s">
        <v>1500</v>
      </c>
      <c r="L119" s="110" t="s">
        <v>1460</v>
      </c>
      <c r="M119" s="9" t="s">
        <v>1500</v>
      </c>
      <c r="N119" s="9" t="s">
        <v>1501</v>
      </c>
      <c r="O119" s="9" t="s">
        <v>1500</v>
      </c>
      <c r="P119" s="58"/>
    </row>
    <row r="120" hidden="1" spans="1:16">
      <c r="A120" s="107">
        <v>540425201920018</v>
      </c>
      <c r="B120" s="108" t="s">
        <v>20</v>
      </c>
      <c r="C120" s="108">
        <v>2019</v>
      </c>
      <c r="D120" s="58" t="s">
        <v>66</v>
      </c>
      <c r="E120" s="109">
        <v>50</v>
      </c>
      <c r="F120" s="58">
        <f>SUMIF('附件5-2'!$A$4:$A$336,A120,'附件5-2'!$I$4:$I$336)</f>
        <v>1602</v>
      </c>
      <c r="G120" s="75">
        <v>50</v>
      </c>
      <c r="H120" s="75">
        <v>23.333334</v>
      </c>
      <c r="I120" s="58" t="s">
        <v>1421</v>
      </c>
      <c r="J120" s="108" t="s">
        <v>1063</v>
      </c>
      <c r="K120" s="9" t="s">
        <v>1070</v>
      </c>
      <c r="L120" s="26" t="s">
        <v>1460</v>
      </c>
      <c r="M120" s="9" t="s">
        <v>1070</v>
      </c>
      <c r="N120" s="9" t="s">
        <v>1506</v>
      </c>
      <c r="O120" s="9" t="s">
        <v>1070</v>
      </c>
      <c r="P120" s="58">
        <v>0</v>
      </c>
    </row>
    <row r="121" hidden="1" spans="1:16">
      <c r="A121" s="107">
        <v>540425201907016</v>
      </c>
      <c r="B121" s="108" t="s">
        <v>20</v>
      </c>
      <c r="C121" s="108">
        <v>2019</v>
      </c>
      <c r="D121" s="58" t="s">
        <v>549</v>
      </c>
      <c r="E121" s="109">
        <v>50</v>
      </c>
      <c r="F121" s="58">
        <f>SUMIF('附件5-2'!$A$4:$A$336,A121,'附件5-2'!$I$4:$I$336)</f>
        <v>36</v>
      </c>
      <c r="G121" s="75">
        <v>50</v>
      </c>
      <c r="H121" s="75">
        <v>31.415834</v>
      </c>
      <c r="I121" s="58" t="s">
        <v>1421</v>
      </c>
      <c r="J121" s="108" t="s">
        <v>1063</v>
      </c>
      <c r="K121" s="9" t="s">
        <v>1535</v>
      </c>
      <c r="L121" s="26" t="s">
        <v>1460</v>
      </c>
      <c r="M121" s="9" t="s">
        <v>1535</v>
      </c>
      <c r="N121" s="9" t="s">
        <v>1536</v>
      </c>
      <c r="O121" s="9" t="s">
        <v>1535</v>
      </c>
      <c r="P121" s="58">
        <v>0</v>
      </c>
    </row>
    <row r="122" hidden="1" spans="1:16">
      <c r="A122" s="107">
        <v>540425201907017</v>
      </c>
      <c r="B122" s="108" t="s">
        <v>20</v>
      </c>
      <c r="C122" s="108">
        <v>2019</v>
      </c>
      <c r="D122" s="58" t="s">
        <v>68</v>
      </c>
      <c r="E122" s="109">
        <v>50</v>
      </c>
      <c r="F122" s="58">
        <f>SUMIF('附件5-2'!$A$4:$A$336,A122,'附件5-2'!$I$4:$I$336)</f>
        <v>0</v>
      </c>
      <c r="G122" s="75">
        <v>0</v>
      </c>
      <c r="H122" s="75">
        <v>0</v>
      </c>
      <c r="I122" s="58" t="s">
        <v>1421</v>
      </c>
      <c r="J122" s="108" t="s">
        <v>1063</v>
      </c>
      <c r="K122" s="9" t="s">
        <v>1460</v>
      </c>
      <c r="L122" s="110" t="s">
        <v>1460</v>
      </c>
      <c r="M122" s="9" t="s">
        <v>1460</v>
      </c>
      <c r="N122" s="9" t="s">
        <v>1460</v>
      </c>
      <c r="O122" s="9" t="s">
        <v>1460</v>
      </c>
      <c r="P122" s="58"/>
    </row>
    <row r="123" ht="28" hidden="1" spans="1:16">
      <c r="A123" s="107">
        <v>540425201919019</v>
      </c>
      <c r="B123" s="108" t="s">
        <v>20</v>
      </c>
      <c r="C123" s="108">
        <v>2019</v>
      </c>
      <c r="D123" s="58" t="s">
        <v>550</v>
      </c>
      <c r="E123" s="109">
        <v>50</v>
      </c>
      <c r="F123" s="58">
        <f>SUMIF('附件5-2'!$A$4:$A$336,A123,'附件5-2'!$I$4:$I$336)</f>
        <v>2</v>
      </c>
      <c r="G123" s="75">
        <v>50</v>
      </c>
      <c r="H123" s="75">
        <v>35.145833</v>
      </c>
      <c r="I123" s="58" t="s">
        <v>1421</v>
      </c>
      <c r="J123" s="108" t="s">
        <v>1063</v>
      </c>
      <c r="K123" s="9" t="s">
        <v>1537</v>
      </c>
      <c r="L123" s="26" t="s">
        <v>1460</v>
      </c>
      <c r="M123" s="9" t="s">
        <v>1537</v>
      </c>
      <c r="N123" s="9" t="s">
        <v>1538</v>
      </c>
      <c r="O123" s="9" t="s">
        <v>1537</v>
      </c>
      <c r="P123" s="58">
        <v>0</v>
      </c>
    </row>
    <row r="124" hidden="1" spans="1:16">
      <c r="A124" s="107">
        <v>540425201919020</v>
      </c>
      <c r="B124" s="108" t="s">
        <v>20</v>
      </c>
      <c r="C124" s="108">
        <v>2019</v>
      </c>
      <c r="D124" s="58" t="s">
        <v>551</v>
      </c>
      <c r="E124" s="109">
        <v>50</v>
      </c>
      <c r="F124" s="58">
        <f>SUMIF('附件5-2'!$A$4:$A$336,A124,'附件5-2'!$I$4:$I$336)</f>
        <v>0</v>
      </c>
      <c r="G124" s="75">
        <v>0</v>
      </c>
      <c r="H124" s="75">
        <v>0</v>
      </c>
      <c r="I124" s="58" t="s">
        <v>1421</v>
      </c>
      <c r="J124" s="108" t="s">
        <v>1063</v>
      </c>
      <c r="K124" s="9" t="s">
        <v>1526</v>
      </c>
      <c r="L124" s="110" t="s">
        <v>1460</v>
      </c>
      <c r="M124" s="9" t="s">
        <v>1526</v>
      </c>
      <c r="N124" s="9" t="s">
        <v>1527</v>
      </c>
      <c r="O124" s="9" t="s">
        <v>1526</v>
      </c>
      <c r="P124" s="58"/>
    </row>
    <row r="125" hidden="1" spans="1:16">
      <c r="A125" s="107">
        <v>540425201919021</v>
      </c>
      <c r="B125" s="108" t="s">
        <v>20</v>
      </c>
      <c r="C125" s="108">
        <v>2019</v>
      </c>
      <c r="D125" s="58" t="s">
        <v>220</v>
      </c>
      <c r="E125" s="109">
        <v>150</v>
      </c>
      <c r="F125" s="58">
        <f>SUMIF('附件5-2'!$A$4:$A$346,A125,'附件5-2'!$I$4:$I$346)</f>
        <v>0</v>
      </c>
      <c r="G125" s="75">
        <v>0</v>
      </c>
      <c r="H125" s="75">
        <v>0</v>
      </c>
      <c r="I125" s="58" t="s">
        <v>1421</v>
      </c>
      <c r="J125" s="108" t="s">
        <v>1063</v>
      </c>
      <c r="K125" s="9" t="s">
        <v>1460</v>
      </c>
      <c r="L125" s="110" t="s">
        <v>1460</v>
      </c>
      <c r="M125" s="9" t="s">
        <v>1460</v>
      </c>
      <c r="N125" s="9" t="s">
        <v>1460</v>
      </c>
      <c r="O125" s="9" t="s">
        <v>1460</v>
      </c>
      <c r="P125" s="58"/>
    </row>
    <row r="126" hidden="1" spans="1:16">
      <c r="A126" s="107">
        <v>540425201919022</v>
      </c>
      <c r="B126" s="108" t="s">
        <v>20</v>
      </c>
      <c r="C126" s="108">
        <v>2019</v>
      </c>
      <c r="D126" s="58" t="s">
        <v>222</v>
      </c>
      <c r="E126" s="109">
        <v>50</v>
      </c>
      <c r="F126" s="58">
        <f>SUMIF('附件5-2'!$A$4:$A$346,A126,'附件5-2'!$I$4:$I$346)</f>
        <v>11</v>
      </c>
      <c r="G126" s="75">
        <v>14.87</v>
      </c>
      <c r="H126" s="75">
        <v>6.6915</v>
      </c>
      <c r="I126" s="58" t="s">
        <v>1421</v>
      </c>
      <c r="J126" s="108" t="s">
        <v>1063</v>
      </c>
      <c r="K126" s="9" t="s">
        <v>1070</v>
      </c>
      <c r="L126" s="26" t="s">
        <v>1460</v>
      </c>
      <c r="M126" s="9" t="s">
        <v>1070</v>
      </c>
      <c r="N126" s="9" t="s">
        <v>1506</v>
      </c>
      <c r="O126" s="9" t="s">
        <v>1070</v>
      </c>
      <c r="P126" s="58">
        <v>0</v>
      </c>
    </row>
    <row r="127" hidden="1" spans="1:16">
      <c r="A127" s="107">
        <v>540425201919024</v>
      </c>
      <c r="B127" s="108" t="s">
        <v>20</v>
      </c>
      <c r="C127" s="108">
        <v>2019</v>
      </c>
      <c r="D127" s="58" t="s">
        <v>91</v>
      </c>
      <c r="E127" s="109">
        <v>881.452615</v>
      </c>
      <c r="F127" s="58">
        <f>SUMIF('附件5-2'!$A$4:$A$346,A127,'附件5-2'!$I$4:$I$346)</f>
        <v>2</v>
      </c>
      <c r="G127" s="75">
        <v>859.11</v>
      </c>
      <c r="H127" s="75">
        <v>0</v>
      </c>
      <c r="I127" s="58" t="s">
        <v>1421</v>
      </c>
      <c r="J127" s="108" t="s">
        <v>1063</v>
      </c>
      <c r="K127" s="9" t="s">
        <v>1460</v>
      </c>
      <c r="L127" s="26" t="s">
        <v>1460</v>
      </c>
      <c r="M127" s="9" t="s">
        <v>1460</v>
      </c>
      <c r="N127" s="9" t="s">
        <v>1460</v>
      </c>
      <c r="O127" s="9" t="s">
        <v>1460</v>
      </c>
      <c r="P127" s="58" t="s">
        <v>1530</v>
      </c>
    </row>
    <row r="128" hidden="1" spans="1:16">
      <c r="A128" s="107">
        <v>540425201919025</v>
      </c>
      <c r="B128" s="108" t="s">
        <v>20</v>
      </c>
      <c r="C128" s="108">
        <v>2019</v>
      </c>
      <c r="D128" s="58" t="s">
        <v>93</v>
      </c>
      <c r="E128" s="109">
        <v>45.3</v>
      </c>
      <c r="F128" s="58">
        <f>SUMIF('附件5-2'!$A$4:$A$346,A128,'附件5-2'!$I$4:$I$346)</f>
        <v>0</v>
      </c>
      <c r="G128" s="75">
        <v>0</v>
      </c>
      <c r="H128" s="75">
        <v>0</v>
      </c>
      <c r="I128" s="58" t="s">
        <v>1421</v>
      </c>
      <c r="J128" s="108" t="s">
        <v>1063</v>
      </c>
      <c r="K128" s="9" t="s">
        <v>1460</v>
      </c>
      <c r="L128" s="110" t="s">
        <v>1460</v>
      </c>
      <c r="M128" s="9" t="s">
        <v>1460</v>
      </c>
      <c r="N128" s="9" t="s">
        <v>1460</v>
      </c>
      <c r="O128" s="9" t="s">
        <v>1460</v>
      </c>
      <c r="P128" s="58"/>
    </row>
    <row r="129" ht="42" hidden="1" spans="1:16">
      <c r="A129" s="107">
        <v>540425201916011</v>
      </c>
      <c r="B129" s="108" t="s">
        <v>20</v>
      </c>
      <c r="C129" s="108">
        <v>2019</v>
      </c>
      <c r="D129" s="58" t="s">
        <v>106</v>
      </c>
      <c r="E129" s="109">
        <v>58.4</v>
      </c>
      <c r="F129" s="58">
        <f>SUMIF('附件5-2'!$A$4:$A$346,A129,'附件5-2'!$I$4:$I$346)</f>
        <v>0</v>
      </c>
      <c r="G129" s="75">
        <v>0</v>
      </c>
      <c r="H129" s="75">
        <v>0</v>
      </c>
      <c r="I129" s="58" t="s">
        <v>1421</v>
      </c>
      <c r="J129" s="108" t="s">
        <v>1063</v>
      </c>
      <c r="K129" s="9" t="s">
        <v>1539</v>
      </c>
      <c r="L129" s="110" t="s">
        <v>1460</v>
      </c>
      <c r="M129" s="9" t="s">
        <v>1539</v>
      </c>
      <c r="N129" s="9" t="s">
        <v>1540</v>
      </c>
      <c r="O129" s="9" t="s">
        <v>1539</v>
      </c>
      <c r="P129" s="58"/>
    </row>
    <row r="130" hidden="1" spans="1:16">
      <c r="A130" s="107">
        <v>540425201917009</v>
      </c>
      <c r="B130" s="108" t="s">
        <v>20</v>
      </c>
      <c r="C130" s="108">
        <v>2019</v>
      </c>
      <c r="D130" s="58" t="s">
        <v>225</v>
      </c>
      <c r="E130" s="109">
        <v>80.818207</v>
      </c>
      <c r="F130" s="58">
        <f>SUMIF('附件5-2'!$A$4:$A$346,A130,'附件5-2'!$I$4:$I$346)</f>
        <v>17</v>
      </c>
      <c r="G130" s="75">
        <v>78.248207</v>
      </c>
      <c r="H130" s="75">
        <v>57.220064</v>
      </c>
      <c r="I130" s="58" t="s">
        <v>1421</v>
      </c>
      <c r="J130" s="108" t="s">
        <v>1063</v>
      </c>
      <c r="K130" s="9" t="s">
        <v>1064</v>
      </c>
      <c r="L130" s="26" t="s">
        <v>1460</v>
      </c>
      <c r="M130" s="9" t="s">
        <v>1064</v>
      </c>
      <c r="N130" s="9" t="s">
        <v>1518</v>
      </c>
      <c r="O130" s="9" t="s">
        <v>1064</v>
      </c>
      <c r="P130" s="58">
        <v>0</v>
      </c>
    </row>
    <row r="131" hidden="1" spans="1:16">
      <c r="A131" s="107">
        <v>540425201917010</v>
      </c>
      <c r="B131" s="108" t="s">
        <v>20</v>
      </c>
      <c r="C131" s="108">
        <v>2019</v>
      </c>
      <c r="D131" s="58" t="s">
        <v>558</v>
      </c>
      <c r="E131" s="109">
        <v>10</v>
      </c>
      <c r="F131" s="58">
        <f>SUMIF('附件5-2'!$A$4:$A$346,A131,'附件5-2'!$I$4:$I$346)</f>
        <v>0</v>
      </c>
      <c r="G131" s="75">
        <v>0</v>
      </c>
      <c r="H131" s="75">
        <v>0</v>
      </c>
      <c r="I131" s="58" t="s">
        <v>1421</v>
      </c>
      <c r="J131" s="108" t="s">
        <v>1063</v>
      </c>
      <c r="K131" s="9" t="s">
        <v>1541</v>
      </c>
      <c r="L131" s="110" t="s">
        <v>1460</v>
      </c>
      <c r="M131" s="9" t="s">
        <v>1541</v>
      </c>
      <c r="N131" s="9" t="s">
        <v>1542</v>
      </c>
      <c r="O131" s="9" t="s">
        <v>1541</v>
      </c>
      <c r="P131" s="58"/>
    </row>
    <row r="132" hidden="1" spans="1:16">
      <c r="A132" s="107">
        <v>540425201920020</v>
      </c>
      <c r="B132" s="108" t="s">
        <v>20</v>
      </c>
      <c r="C132" s="108">
        <v>2019</v>
      </c>
      <c r="D132" s="58" t="s">
        <v>226</v>
      </c>
      <c r="E132" s="109">
        <v>55.241853</v>
      </c>
      <c r="F132" s="58">
        <f>SUMIF('附件5-2'!$A$4:$A$346,A132,'附件5-2'!$I$4:$I$346)</f>
        <v>1652</v>
      </c>
      <c r="G132" s="75">
        <v>55.241853</v>
      </c>
      <c r="H132" s="75">
        <v>22.462269</v>
      </c>
      <c r="I132" s="58" t="s">
        <v>1421</v>
      </c>
      <c r="J132" s="108" t="s">
        <v>1063</v>
      </c>
      <c r="K132" s="9" t="s">
        <v>1532</v>
      </c>
      <c r="L132" s="26" t="s">
        <v>1460</v>
      </c>
      <c r="M132" s="9" t="s">
        <v>1532</v>
      </c>
      <c r="N132" s="9" t="s">
        <v>1533</v>
      </c>
      <c r="O132" s="9" t="s">
        <v>1532</v>
      </c>
      <c r="P132" s="58">
        <v>0</v>
      </c>
    </row>
    <row r="133" hidden="1" spans="1:16">
      <c r="A133" s="107">
        <v>540425201917011</v>
      </c>
      <c r="B133" s="108" t="s">
        <v>20</v>
      </c>
      <c r="C133" s="108">
        <v>2019</v>
      </c>
      <c r="D133" s="58" t="s">
        <v>559</v>
      </c>
      <c r="E133" s="109">
        <f>附件3!L88</f>
        <v>805.88</v>
      </c>
      <c r="F133" s="58">
        <f>SUMIF('附件5-2'!$A$4:$A$346,A133,'附件5-2'!$I$4:$I$346)</f>
        <v>0</v>
      </c>
      <c r="G133" s="75">
        <v>0</v>
      </c>
      <c r="H133" s="75">
        <v>0</v>
      </c>
      <c r="I133" s="58" t="s">
        <v>1421</v>
      </c>
      <c r="J133" s="108" t="s">
        <v>1063</v>
      </c>
      <c r="K133" s="9" t="s">
        <v>1543</v>
      </c>
      <c r="L133" s="110" t="s">
        <v>1460</v>
      </c>
      <c r="M133" s="9" t="s">
        <v>1543</v>
      </c>
      <c r="N133" s="9" t="s">
        <v>1544</v>
      </c>
      <c r="O133" s="9" t="s">
        <v>1543</v>
      </c>
      <c r="P133" s="58"/>
    </row>
    <row r="134" ht="28" hidden="1" spans="1:16">
      <c r="A134" s="107">
        <v>540425202019027</v>
      </c>
      <c r="B134" s="108" t="s">
        <v>20</v>
      </c>
      <c r="C134" s="108">
        <v>2020</v>
      </c>
      <c r="D134" s="58" t="s">
        <v>227</v>
      </c>
      <c r="E134" s="109">
        <v>141.610593</v>
      </c>
      <c r="F134" s="58">
        <f>SUMIF('附件5-2'!$A$4:$A$346,A134,'附件5-2'!$I$4:$I$346)</f>
        <v>0</v>
      </c>
      <c r="G134" s="75">
        <v>0</v>
      </c>
      <c r="H134" s="75">
        <v>0</v>
      </c>
      <c r="I134" s="58" t="s">
        <v>1421</v>
      </c>
      <c r="J134" s="108" t="s">
        <v>1063</v>
      </c>
      <c r="K134" s="9" t="s">
        <v>1545</v>
      </c>
      <c r="L134" s="110" t="s">
        <v>1460</v>
      </c>
      <c r="M134" s="9" t="s">
        <v>1545</v>
      </c>
      <c r="N134" s="9" t="s">
        <v>1546</v>
      </c>
      <c r="O134" s="9" t="s">
        <v>1545</v>
      </c>
      <c r="P134" s="58"/>
    </row>
    <row r="135" hidden="1" spans="1:16">
      <c r="A135" s="107">
        <v>540425202020021</v>
      </c>
      <c r="B135" s="108" t="s">
        <v>20</v>
      </c>
      <c r="C135" s="108">
        <v>2020</v>
      </c>
      <c r="D135" s="58" t="s">
        <v>228</v>
      </c>
      <c r="E135" s="109">
        <v>43</v>
      </c>
      <c r="F135" s="58">
        <f>SUMIF('附件5-2'!$A$4:$A$346,A135,'附件5-2'!$I$4:$I$346)</f>
        <v>873</v>
      </c>
      <c r="G135" s="75">
        <v>21.7</v>
      </c>
      <c r="H135" s="75">
        <v>8.7758</v>
      </c>
      <c r="I135" s="58" t="s">
        <v>1421</v>
      </c>
      <c r="J135" s="108" t="s">
        <v>1063</v>
      </c>
      <c r="K135" s="9" t="s">
        <v>1547</v>
      </c>
      <c r="L135" s="26" t="s">
        <v>1460</v>
      </c>
      <c r="M135" s="9" t="s">
        <v>1547</v>
      </c>
      <c r="N135" s="9" t="s">
        <v>1548</v>
      </c>
      <c r="O135" s="9" t="s">
        <v>1547</v>
      </c>
      <c r="P135" s="58">
        <v>0</v>
      </c>
    </row>
    <row r="136" hidden="1" spans="1:16">
      <c r="A136" s="107">
        <v>540425202020022</v>
      </c>
      <c r="B136" s="108" t="s">
        <v>20</v>
      </c>
      <c r="C136" s="108">
        <v>2020</v>
      </c>
      <c r="D136" s="58" t="s">
        <v>229</v>
      </c>
      <c r="E136" s="109">
        <v>163</v>
      </c>
      <c r="F136" s="58">
        <f>SUMIF('附件5-2'!$A$4:$A$346,A136,'附件5-2'!$I$4:$I$346)</f>
        <v>3881</v>
      </c>
      <c r="G136" s="75">
        <v>63.9</v>
      </c>
      <c r="H136" s="75">
        <v>21.087</v>
      </c>
      <c r="I136" s="58" t="s">
        <v>1421</v>
      </c>
      <c r="J136" s="108" t="s">
        <v>1063</v>
      </c>
      <c r="K136" s="9" t="s">
        <v>1549</v>
      </c>
      <c r="L136" s="26" t="s">
        <v>1460</v>
      </c>
      <c r="M136" s="9" t="s">
        <v>1549</v>
      </c>
      <c r="N136" s="9" t="s">
        <v>1550</v>
      </c>
      <c r="O136" s="9" t="s">
        <v>1549</v>
      </c>
      <c r="P136" s="58">
        <v>0</v>
      </c>
    </row>
    <row r="137" hidden="1" spans="1:16">
      <c r="A137" s="107">
        <v>540425202020023</v>
      </c>
      <c r="B137" s="108" t="s">
        <v>20</v>
      </c>
      <c r="C137" s="108">
        <v>2020</v>
      </c>
      <c r="D137" s="58" t="s">
        <v>231</v>
      </c>
      <c r="E137" s="109">
        <v>312</v>
      </c>
      <c r="F137" s="58">
        <f>SUMIF('附件5-2'!$A$4:$A$346,A137,'附件5-2'!$I$4:$I$346)</f>
        <v>4970</v>
      </c>
      <c r="G137" s="75">
        <v>159.85</v>
      </c>
      <c r="H137" s="75">
        <v>45.99254</v>
      </c>
      <c r="I137" s="58" t="s">
        <v>1421</v>
      </c>
      <c r="J137" s="108" t="s">
        <v>1063</v>
      </c>
      <c r="K137" s="9" t="s">
        <v>1516</v>
      </c>
      <c r="L137" s="26" t="s">
        <v>1460</v>
      </c>
      <c r="M137" s="9" t="s">
        <v>1516</v>
      </c>
      <c r="N137" s="9" t="s">
        <v>1517</v>
      </c>
      <c r="O137" s="9" t="s">
        <v>1516</v>
      </c>
      <c r="P137" s="58">
        <v>0</v>
      </c>
    </row>
    <row r="138" hidden="1" spans="1:16">
      <c r="A138" s="107">
        <v>540425202020024</v>
      </c>
      <c r="B138" s="108" t="s">
        <v>20</v>
      </c>
      <c r="C138" s="108">
        <v>2020</v>
      </c>
      <c r="D138" s="58" t="s">
        <v>122</v>
      </c>
      <c r="E138" s="109">
        <v>133.6574</v>
      </c>
      <c r="F138" s="58">
        <f>SUMIF('附件5-2'!$A$4:$A$346,A138,'附件5-2'!$I$4:$I$346)</f>
        <v>2493</v>
      </c>
      <c r="G138" s="75">
        <v>133.6574</v>
      </c>
      <c r="H138" s="75">
        <v>57.0178082542785</v>
      </c>
      <c r="I138" s="58" t="s">
        <v>1421</v>
      </c>
      <c r="J138" s="108" t="s">
        <v>1063</v>
      </c>
      <c r="K138" s="9" t="s">
        <v>1508</v>
      </c>
      <c r="L138" s="26" t="s">
        <v>1460</v>
      </c>
      <c r="M138" s="9" t="s">
        <v>1508</v>
      </c>
      <c r="N138" s="9" t="s">
        <v>1509</v>
      </c>
      <c r="O138" s="9" t="s">
        <v>1508</v>
      </c>
      <c r="P138" s="58" t="s">
        <v>1551</v>
      </c>
    </row>
    <row r="139" hidden="1" spans="1:16">
      <c r="A139" s="107">
        <v>540425202012016</v>
      </c>
      <c r="B139" s="108" t="s">
        <v>20</v>
      </c>
      <c r="C139" s="108">
        <v>2020</v>
      </c>
      <c r="D139" s="58" t="s">
        <v>257</v>
      </c>
      <c r="E139" s="109">
        <v>1431</v>
      </c>
      <c r="F139" s="58">
        <f>SUMIF('附件5-2'!$A$4:$A$346,A139,'附件5-2'!$I$4:$I$346)</f>
        <v>0</v>
      </c>
      <c r="G139" s="75">
        <v>0</v>
      </c>
      <c r="H139" s="75">
        <v>0</v>
      </c>
      <c r="I139" s="58" t="s">
        <v>1421</v>
      </c>
      <c r="J139" s="108" t="s">
        <v>1063</v>
      </c>
      <c r="K139" s="9" t="s">
        <v>1522</v>
      </c>
      <c r="L139" s="110" t="s">
        <v>1460</v>
      </c>
      <c r="M139" s="9" t="s">
        <v>1522</v>
      </c>
      <c r="N139" s="9" t="s">
        <v>1523</v>
      </c>
      <c r="O139" s="9" t="s">
        <v>1522</v>
      </c>
      <c r="P139" s="58"/>
    </row>
    <row r="140" hidden="1" spans="1:16">
      <c r="A140" s="107">
        <v>540425202021002</v>
      </c>
      <c r="B140" s="108" t="s">
        <v>20</v>
      </c>
      <c r="C140" s="108">
        <v>2020</v>
      </c>
      <c r="D140" s="58" t="s">
        <v>123</v>
      </c>
      <c r="E140" s="109">
        <v>50</v>
      </c>
      <c r="F140" s="58">
        <f>SUMIF('附件5-2'!$A$4:$A$346,A140,'附件5-2'!$I$4:$I$346)</f>
        <v>0</v>
      </c>
      <c r="G140" s="75">
        <v>0</v>
      </c>
      <c r="H140" s="75">
        <v>0</v>
      </c>
      <c r="I140" s="58" t="s">
        <v>1421</v>
      </c>
      <c r="J140" s="108" t="s">
        <v>1063</v>
      </c>
      <c r="K140" s="9" t="s">
        <v>1516</v>
      </c>
      <c r="L140" s="110" t="s">
        <v>1460</v>
      </c>
      <c r="M140" s="9" t="s">
        <v>1516</v>
      </c>
      <c r="N140" s="9" t="s">
        <v>1517</v>
      </c>
      <c r="O140" s="9" t="s">
        <v>1516</v>
      </c>
      <c r="P140" s="58"/>
    </row>
    <row r="141" hidden="1" spans="1:16">
      <c r="A141" s="107">
        <v>540425202019029</v>
      </c>
      <c r="B141" s="108" t="s">
        <v>20</v>
      </c>
      <c r="C141" s="108">
        <v>2020</v>
      </c>
      <c r="D141" s="58" t="s">
        <v>125</v>
      </c>
      <c r="E141" s="109">
        <v>50</v>
      </c>
      <c r="F141" s="58">
        <f>SUMIF('附件5-2'!$A$4:$A$346,A141,'附件5-2'!$I$4:$I$346)</f>
        <v>16</v>
      </c>
      <c r="G141" s="75">
        <v>100</v>
      </c>
      <c r="H141" s="75">
        <v>0</v>
      </c>
      <c r="I141" s="58" t="s">
        <v>1421</v>
      </c>
      <c r="J141" s="108" t="s">
        <v>1063</v>
      </c>
      <c r="K141" s="9" t="s">
        <v>1516</v>
      </c>
      <c r="L141" s="110" t="s">
        <v>1460</v>
      </c>
      <c r="M141" s="9" t="s">
        <v>1516</v>
      </c>
      <c r="N141" s="9" t="s">
        <v>1517</v>
      </c>
      <c r="O141" s="9" t="s">
        <v>1516</v>
      </c>
      <c r="P141" s="58"/>
    </row>
    <row r="142" hidden="1" spans="1:16">
      <c r="A142" s="107">
        <v>540425202020025</v>
      </c>
      <c r="B142" s="108" t="s">
        <v>20</v>
      </c>
      <c r="C142" s="108">
        <v>2020</v>
      </c>
      <c r="D142" s="58" t="s">
        <v>562</v>
      </c>
      <c r="E142" s="109">
        <v>316.99</v>
      </c>
      <c r="F142" s="58">
        <f>SUMIF('附件5-2'!$A$4:$A$346,A142,'附件5-2'!$I$4:$I$346)</f>
        <v>0</v>
      </c>
      <c r="G142" s="75">
        <v>0</v>
      </c>
      <c r="H142" s="75">
        <v>0</v>
      </c>
      <c r="I142" s="58" t="s">
        <v>1421</v>
      </c>
      <c r="J142" s="108" t="s">
        <v>1063</v>
      </c>
      <c r="K142" s="9" t="s">
        <v>1549</v>
      </c>
      <c r="L142" s="110" t="s">
        <v>1460</v>
      </c>
      <c r="M142" s="9" t="s">
        <v>1549</v>
      </c>
      <c r="N142" s="9" t="s">
        <v>1550</v>
      </c>
      <c r="O142" s="9" t="s">
        <v>1549</v>
      </c>
      <c r="P142" s="58"/>
    </row>
    <row r="143" hidden="1" spans="1:16">
      <c r="A143" s="107">
        <v>540425202020026</v>
      </c>
      <c r="B143" s="108" t="s">
        <v>20</v>
      </c>
      <c r="C143" s="108">
        <v>2020</v>
      </c>
      <c r="D143" s="58" t="s">
        <v>128</v>
      </c>
      <c r="E143" s="109">
        <v>166</v>
      </c>
      <c r="F143" s="58">
        <f>SUMIF('附件5-2'!$A$4:$A$346,A143,'附件5-2'!$I$4:$I$346)</f>
        <v>0</v>
      </c>
      <c r="G143" s="75">
        <v>0</v>
      </c>
      <c r="H143" s="75">
        <v>0</v>
      </c>
      <c r="I143" s="58" t="s">
        <v>1421</v>
      </c>
      <c r="J143" s="108" t="s">
        <v>1063</v>
      </c>
      <c r="K143" s="9" t="s">
        <v>1552</v>
      </c>
      <c r="L143" s="110" t="s">
        <v>1460</v>
      </c>
      <c r="M143" s="9" t="s">
        <v>1552</v>
      </c>
      <c r="N143" s="9" t="s">
        <v>1553</v>
      </c>
      <c r="O143" s="9" t="s">
        <v>1552</v>
      </c>
      <c r="P143" s="58"/>
    </row>
    <row r="144" hidden="1" spans="1:16">
      <c r="A144" s="107">
        <v>540425202020027</v>
      </c>
      <c r="B144" s="108" t="s">
        <v>20</v>
      </c>
      <c r="C144" s="108">
        <v>2020</v>
      </c>
      <c r="D144" s="58" t="s">
        <v>129</v>
      </c>
      <c r="E144" s="109">
        <v>391.07</v>
      </c>
      <c r="F144" s="58">
        <f>SUMIF('附件5-2'!$A$4:$A$346,A144,'附件5-2'!$I$4:$I$346)</f>
        <v>6668</v>
      </c>
      <c r="G144" s="75">
        <v>364.54</v>
      </c>
      <c r="H144" s="75">
        <v>110.377651</v>
      </c>
      <c r="I144" s="58" t="s">
        <v>1421</v>
      </c>
      <c r="J144" s="108" t="s">
        <v>1063</v>
      </c>
      <c r="K144" s="9" t="s">
        <v>1554</v>
      </c>
      <c r="L144" s="26" t="s">
        <v>1460</v>
      </c>
      <c r="M144" s="9" t="s">
        <v>1554</v>
      </c>
      <c r="N144" s="9" t="s">
        <v>1555</v>
      </c>
      <c r="O144" s="9" t="s">
        <v>1554</v>
      </c>
      <c r="P144" s="58">
        <v>0</v>
      </c>
    </row>
    <row r="145" hidden="1" spans="1:16">
      <c r="A145" s="107">
        <v>540425202020028</v>
      </c>
      <c r="B145" s="108" t="s">
        <v>20</v>
      </c>
      <c r="C145" s="108">
        <v>2020</v>
      </c>
      <c r="D145" s="58" t="s">
        <v>132</v>
      </c>
      <c r="E145" s="109">
        <v>173.64</v>
      </c>
      <c r="F145" s="58">
        <f>SUMIF('附件5-2'!$A$4:$A$346,A145,'附件5-2'!$I$4:$I$346)</f>
        <v>0</v>
      </c>
      <c r="G145" s="75">
        <v>0</v>
      </c>
      <c r="H145" s="75">
        <v>0</v>
      </c>
      <c r="I145" s="58" t="s">
        <v>1421</v>
      </c>
      <c r="J145" s="108" t="s">
        <v>1063</v>
      </c>
      <c r="K145" s="9" t="s">
        <v>1500</v>
      </c>
      <c r="L145" s="110" t="s">
        <v>1460</v>
      </c>
      <c r="M145" s="9" t="s">
        <v>1500</v>
      </c>
      <c r="N145" s="9" t="s">
        <v>1501</v>
      </c>
      <c r="O145" s="9" t="s">
        <v>1500</v>
      </c>
      <c r="P145" s="58"/>
    </row>
    <row r="146" hidden="1" spans="1:16">
      <c r="A146" s="107">
        <v>540425202017012</v>
      </c>
      <c r="B146" s="108" t="s">
        <v>20</v>
      </c>
      <c r="C146" s="108">
        <v>2020</v>
      </c>
      <c r="D146" s="58" t="s">
        <v>564</v>
      </c>
      <c r="E146" s="109">
        <v>491.996635</v>
      </c>
      <c r="F146" s="58">
        <f>SUMIF('附件5-2'!$A$4:$A$346,A146,'附件5-2'!$I$4:$I$346)</f>
        <v>6</v>
      </c>
      <c r="G146" s="75">
        <v>491.996635</v>
      </c>
      <c r="H146" s="75">
        <v>327.348586</v>
      </c>
      <c r="I146" s="58" t="s">
        <v>1421</v>
      </c>
      <c r="J146" s="108" t="s">
        <v>1063</v>
      </c>
      <c r="K146" s="9" t="s">
        <v>1556</v>
      </c>
      <c r="L146" s="26" t="s">
        <v>1460</v>
      </c>
      <c r="M146" s="9" t="s">
        <v>1556</v>
      </c>
      <c r="N146" s="9" t="s">
        <v>1557</v>
      </c>
      <c r="O146" s="9" t="s">
        <v>1556</v>
      </c>
      <c r="P146" s="58">
        <v>0</v>
      </c>
    </row>
    <row r="147" hidden="1" spans="1:16">
      <c r="A147" s="107">
        <v>540425202020029</v>
      </c>
      <c r="B147" s="108" t="s">
        <v>20</v>
      </c>
      <c r="C147" s="108">
        <v>2020</v>
      </c>
      <c r="D147" s="58" t="s">
        <v>152</v>
      </c>
      <c r="E147" s="109">
        <v>125.370018</v>
      </c>
      <c r="F147" s="58">
        <f>SUMIF('附件5-2'!$A$4:$A$346,A147,'附件5-2'!$I$4:$I$346)</f>
        <v>0</v>
      </c>
      <c r="G147" s="75">
        <v>0</v>
      </c>
      <c r="H147" s="75">
        <v>0</v>
      </c>
      <c r="I147" s="58" t="s">
        <v>1421</v>
      </c>
      <c r="J147" s="108" t="s">
        <v>1063</v>
      </c>
      <c r="K147" s="9" t="s">
        <v>1535</v>
      </c>
      <c r="L147" s="110" t="s">
        <v>1460</v>
      </c>
      <c r="M147" s="9" t="s">
        <v>1535</v>
      </c>
      <c r="N147" s="9" t="s">
        <v>1536</v>
      </c>
      <c r="O147" s="9" t="s">
        <v>1535</v>
      </c>
      <c r="P147" s="58"/>
    </row>
    <row r="148" hidden="1" spans="1:16">
      <c r="A148" s="107">
        <v>540425202112022</v>
      </c>
      <c r="B148" s="108" t="s">
        <v>20</v>
      </c>
      <c r="C148" s="108">
        <v>2021</v>
      </c>
      <c r="D148" s="58" t="s">
        <v>265</v>
      </c>
      <c r="E148" s="109">
        <v>289.795688</v>
      </c>
      <c r="F148" s="58">
        <f>SUMIF('附件5-2'!$A$4:$A$346,A148,'附件5-2'!$I$4:$I$346)</f>
        <v>0</v>
      </c>
      <c r="G148" s="75">
        <v>0</v>
      </c>
      <c r="H148" s="75">
        <v>0</v>
      </c>
      <c r="I148" s="58" t="s">
        <v>1421</v>
      </c>
      <c r="J148" s="108" t="s">
        <v>1063</v>
      </c>
      <c r="K148" s="9" t="s">
        <v>1522</v>
      </c>
      <c r="L148" s="110" t="s">
        <v>1460</v>
      </c>
      <c r="M148" s="9" t="s">
        <v>1522</v>
      </c>
      <c r="N148" s="9" t="s">
        <v>1523</v>
      </c>
      <c r="O148" s="9" t="s">
        <v>1522</v>
      </c>
      <c r="P148" s="58"/>
    </row>
    <row r="149" hidden="1" spans="1:16">
      <c r="A149" s="107">
        <v>540425202120030</v>
      </c>
      <c r="B149" s="108" t="s">
        <v>20</v>
      </c>
      <c r="C149" s="108">
        <v>2021</v>
      </c>
      <c r="D149" s="58" t="s">
        <v>266</v>
      </c>
      <c r="E149" s="109">
        <v>333.259224</v>
      </c>
      <c r="F149" s="58">
        <f>SUMIF('附件5-2'!$A$4:$A$346,A149,'附件5-2'!$I$4:$I$346)</f>
        <v>8771</v>
      </c>
      <c r="G149" s="75">
        <v>333.259224</v>
      </c>
      <c r="H149" s="75">
        <v>166.268181</v>
      </c>
      <c r="I149" s="58" t="s">
        <v>1421</v>
      </c>
      <c r="J149" s="108" t="s">
        <v>1063</v>
      </c>
      <c r="K149" s="26" t="s">
        <v>1508</v>
      </c>
      <c r="L149" s="26" t="s">
        <v>1460</v>
      </c>
      <c r="M149" s="9" t="s">
        <v>1508</v>
      </c>
      <c r="N149" s="9" t="s">
        <v>1509</v>
      </c>
      <c r="O149" s="9" t="s">
        <v>1508</v>
      </c>
      <c r="P149" s="58">
        <v>0</v>
      </c>
    </row>
    <row r="150" hidden="1" spans="1:16">
      <c r="A150" s="107">
        <v>540425202112023</v>
      </c>
      <c r="B150" s="108" t="s">
        <v>20</v>
      </c>
      <c r="C150" s="108">
        <v>2021</v>
      </c>
      <c r="D150" s="58" t="s">
        <v>234</v>
      </c>
      <c r="E150" s="109">
        <v>2591.14</v>
      </c>
      <c r="F150" s="58">
        <v>1</v>
      </c>
      <c r="G150" s="75">
        <v>2591.14</v>
      </c>
      <c r="H150" s="75">
        <v>2202.469</v>
      </c>
      <c r="I150" s="58" t="s">
        <v>1426</v>
      </c>
      <c r="J150" s="108" t="s">
        <v>1515</v>
      </c>
      <c r="K150" s="9" t="s">
        <v>1558</v>
      </c>
      <c r="L150" s="110" t="s">
        <v>1460</v>
      </c>
      <c r="M150" s="9" t="s">
        <v>1558</v>
      </c>
      <c r="N150" s="9" t="e">
        <v>#N/A</v>
      </c>
      <c r="O150" s="9" t="s">
        <v>1558</v>
      </c>
      <c r="P150" s="58"/>
    </row>
    <row r="151" ht="28" hidden="1" spans="1:16">
      <c r="A151" s="107">
        <v>540425202120031</v>
      </c>
      <c r="B151" s="108" t="s">
        <v>20</v>
      </c>
      <c r="C151" s="108">
        <v>2021</v>
      </c>
      <c r="D151" s="58" t="s">
        <v>267</v>
      </c>
      <c r="E151" s="109">
        <v>102.675876</v>
      </c>
      <c r="F151" s="58">
        <f>SUMIF('附件5-2'!$A$4:$A$346,A151,'附件5-2'!$I$4:$I$346)</f>
        <v>0</v>
      </c>
      <c r="G151" s="75">
        <v>0</v>
      </c>
      <c r="H151" s="75">
        <v>0</v>
      </c>
      <c r="I151" s="58" t="s">
        <v>1421</v>
      </c>
      <c r="J151" s="108" t="s">
        <v>1063</v>
      </c>
      <c r="K151" s="9" t="s">
        <v>1559</v>
      </c>
      <c r="L151" s="110" t="s">
        <v>1460</v>
      </c>
      <c r="M151" s="9" t="s">
        <v>1559</v>
      </c>
      <c r="N151" s="9" t="s">
        <v>1560</v>
      </c>
      <c r="O151" s="9" t="s">
        <v>1559</v>
      </c>
      <c r="P151" s="58"/>
    </row>
    <row r="152" hidden="1" spans="1:16">
      <c r="A152" s="107">
        <v>540425202120032</v>
      </c>
      <c r="B152" s="108" t="s">
        <v>20</v>
      </c>
      <c r="C152" s="108">
        <v>2021</v>
      </c>
      <c r="D152" s="58" t="s">
        <v>268</v>
      </c>
      <c r="E152" s="109">
        <v>108.951623</v>
      </c>
      <c r="F152" s="58">
        <f>SUMIF('附件5-2'!$A$4:$A$346,A152,'附件5-2'!$I$4:$I$346)</f>
        <v>1386</v>
      </c>
      <c r="G152" s="75">
        <v>108.951624</v>
      </c>
      <c r="H152" s="75">
        <v>59.18412</v>
      </c>
      <c r="I152" s="58" t="s">
        <v>1421</v>
      </c>
      <c r="J152" s="108" t="s">
        <v>1063</v>
      </c>
      <c r="K152" s="26" t="s">
        <v>1070</v>
      </c>
      <c r="L152" s="26" t="s">
        <v>1460</v>
      </c>
      <c r="M152" s="9" t="s">
        <v>1070</v>
      </c>
      <c r="N152" s="9" t="s">
        <v>1506</v>
      </c>
      <c r="O152" s="9" t="s">
        <v>1070</v>
      </c>
      <c r="P152" s="58">
        <v>0</v>
      </c>
    </row>
    <row r="153" hidden="1" spans="1:16">
      <c r="A153" s="107">
        <v>540425202120033</v>
      </c>
      <c r="B153" s="108" t="s">
        <v>20</v>
      </c>
      <c r="C153" s="108">
        <v>2021</v>
      </c>
      <c r="D153" s="58" t="s">
        <v>269</v>
      </c>
      <c r="E153" s="109">
        <v>44.98</v>
      </c>
      <c r="F153" s="58">
        <f>SUMIF('附件5-2'!$A$4:$A$346,A153,'附件5-2'!$I$4:$I$346)</f>
        <v>705</v>
      </c>
      <c r="G153" s="75">
        <v>44.15</v>
      </c>
      <c r="H153" s="75">
        <v>20.080023</v>
      </c>
      <c r="I153" s="58" t="s">
        <v>1421</v>
      </c>
      <c r="J153" s="108" t="s">
        <v>1063</v>
      </c>
      <c r="K153" s="26" t="s">
        <v>1561</v>
      </c>
      <c r="L153" s="26" t="s">
        <v>1460</v>
      </c>
      <c r="M153" s="9" t="s">
        <v>1561</v>
      </c>
      <c r="N153" s="9" t="s">
        <v>1562</v>
      </c>
      <c r="O153" s="9" t="s">
        <v>1561</v>
      </c>
      <c r="P153" s="58" t="s">
        <v>1551</v>
      </c>
    </row>
    <row r="154" hidden="1" spans="1:16">
      <c r="A154" s="107">
        <v>540425202116014</v>
      </c>
      <c r="B154" s="108" t="s">
        <v>20</v>
      </c>
      <c r="C154" s="108">
        <v>2021</v>
      </c>
      <c r="D154" s="58" t="s">
        <v>271</v>
      </c>
      <c r="E154" s="109">
        <v>205.462561</v>
      </c>
      <c r="F154" s="58">
        <f>SUMIF('附件5-2'!$A$4:$A$346,A154,'附件5-2'!$I$4:$I$346)</f>
        <v>0</v>
      </c>
      <c r="G154" s="75">
        <v>0</v>
      </c>
      <c r="H154" s="75">
        <v>0</v>
      </c>
      <c r="I154" s="58" t="s">
        <v>1421</v>
      </c>
      <c r="J154" s="108" t="s">
        <v>1063</v>
      </c>
      <c r="K154" s="9" t="s">
        <v>1460</v>
      </c>
      <c r="L154" s="110" t="s">
        <v>1460</v>
      </c>
      <c r="M154" s="9" t="s">
        <v>1460</v>
      </c>
      <c r="N154" s="9" t="s">
        <v>1460</v>
      </c>
      <c r="O154" s="9" t="s">
        <v>1460</v>
      </c>
      <c r="P154" s="58"/>
    </row>
    <row r="155" hidden="1" spans="1:16">
      <c r="A155" s="107">
        <v>540425202120034</v>
      </c>
      <c r="B155" s="108" t="s">
        <v>20</v>
      </c>
      <c r="C155" s="108">
        <v>2021</v>
      </c>
      <c r="D155" s="58" t="s">
        <v>155</v>
      </c>
      <c r="E155" s="109">
        <v>201</v>
      </c>
      <c r="F155" s="58">
        <f>SUMIF('附件5-2'!$A$4:$A$346,A155,'附件5-2'!$I$4:$I$346)</f>
        <v>1966</v>
      </c>
      <c r="G155" s="75">
        <v>88.06</v>
      </c>
      <c r="H155" s="75">
        <v>53.77017</v>
      </c>
      <c r="I155" s="58" t="s">
        <v>1421</v>
      </c>
      <c r="J155" s="108" t="s">
        <v>1063</v>
      </c>
      <c r="K155" s="26" t="s">
        <v>1535</v>
      </c>
      <c r="L155" s="26" t="s">
        <v>1460</v>
      </c>
      <c r="M155" s="9" t="s">
        <v>1535</v>
      </c>
      <c r="N155" s="9" t="s">
        <v>1536</v>
      </c>
      <c r="O155" s="9" t="s">
        <v>1535</v>
      </c>
      <c r="P155" s="58" t="s">
        <v>1563</v>
      </c>
    </row>
    <row r="156" hidden="1" spans="1:16">
      <c r="A156" s="107">
        <v>540425202120035</v>
      </c>
      <c r="B156" s="108" t="s">
        <v>20</v>
      </c>
      <c r="C156" s="108">
        <v>2021</v>
      </c>
      <c r="D156" s="58" t="s">
        <v>158</v>
      </c>
      <c r="E156" s="109">
        <v>129.932827</v>
      </c>
      <c r="F156" s="58">
        <f>SUMIF('附件5-2'!$A$4:$A$346,A156,'附件5-2'!$I$4:$I$346)</f>
        <v>0</v>
      </c>
      <c r="G156" s="75">
        <v>0</v>
      </c>
      <c r="H156" s="75">
        <v>0</v>
      </c>
      <c r="I156" s="58" t="s">
        <v>1421</v>
      </c>
      <c r="J156" s="108" t="s">
        <v>1063</v>
      </c>
      <c r="K156" s="26" t="s">
        <v>1549</v>
      </c>
      <c r="L156" s="26" t="s">
        <v>1460</v>
      </c>
      <c r="M156" s="9" t="s">
        <v>1549</v>
      </c>
      <c r="N156" s="9" t="s">
        <v>1550</v>
      </c>
      <c r="O156" s="9" t="s">
        <v>1549</v>
      </c>
      <c r="P156" s="58" t="s">
        <v>1563</v>
      </c>
    </row>
    <row r="157" hidden="1" spans="1:16">
      <c r="A157" s="107">
        <v>540425202120036</v>
      </c>
      <c r="B157" s="108" t="s">
        <v>20</v>
      </c>
      <c r="C157" s="108">
        <v>2021</v>
      </c>
      <c r="D157" s="58" t="s">
        <v>570</v>
      </c>
      <c r="E157" s="109">
        <v>185.29849</v>
      </c>
      <c r="F157" s="58">
        <f>SUMIF('附件5-2'!$A$4:$A$346,A157,'附件5-2'!$I$4:$I$346)</f>
        <v>2240</v>
      </c>
      <c r="G157" s="75">
        <v>129.932827</v>
      </c>
      <c r="H157" s="75">
        <v>70.478153</v>
      </c>
      <c r="I157" s="58" t="s">
        <v>1421</v>
      </c>
      <c r="J157" s="108" t="s">
        <v>1063</v>
      </c>
      <c r="K157" s="26" t="s">
        <v>1556</v>
      </c>
      <c r="L157" s="110" t="s">
        <v>1460</v>
      </c>
      <c r="M157" s="9" t="s">
        <v>1556</v>
      </c>
      <c r="N157" s="9" t="s">
        <v>1557</v>
      </c>
      <c r="O157" s="9" t="s">
        <v>1556</v>
      </c>
      <c r="P157" s="58"/>
    </row>
    <row r="158" hidden="1" spans="1:16">
      <c r="A158" s="107">
        <v>540425202120037</v>
      </c>
      <c r="B158" s="108" t="s">
        <v>20</v>
      </c>
      <c r="C158" s="108">
        <v>2021</v>
      </c>
      <c r="D158" s="58" t="s">
        <v>576</v>
      </c>
      <c r="E158" s="109">
        <v>233.977156</v>
      </c>
      <c r="F158" s="58">
        <f>SUMIF('附件5-2'!$A$4:$A$346,A158,'附件5-2'!$I$4:$I$346)</f>
        <v>3768</v>
      </c>
      <c r="G158" s="75">
        <v>233.977156</v>
      </c>
      <c r="H158" s="75">
        <v>106.481452</v>
      </c>
      <c r="I158" s="58" t="s">
        <v>1421</v>
      </c>
      <c r="J158" s="108" t="s">
        <v>1063</v>
      </c>
      <c r="K158" s="26" t="s">
        <v>1226</v>
      </c>
      <c r="L158" s="26" t="s">
        <v>1460</v>
      </c>
      <c r="M158" s="9" t="s">
        <v>1226</v>
      </c>
      <c r="N158" s="9" t="s">
        <v>1564</v>
      </c>
      <c r="O158" s="9" t="s">
        <v>1226</v>
      </c>
      <c r="P158" s="58">
        <v>0</v>
      </c>
    </row>
    <row r="159" hidden="1" spans="1:16">
      <c r="A159" s="107">
        <v>540425202217016</v>
      </c>
      <c r="B159" s="108" t="s">
        <v>20</v>
      </c>
      <c r="C159" s="108">
        <v>2022</v>
      </c>
      <c r="D159" s="58" t="s">
        <v>580</v>
      </c>
      <c r="E159" s="109">
        <v>2450</v>
      </c>
      <c r="F159" s="58">
        <f>SUMIF('附件5-2'!$A$4:$A$346,A159,'附件5-2'!$I$4:$I$346)</f>
        <v>0</v>
      </c>
      <c r="G159" s="75">
        <v>0</v>
      </c>
      <c r="H159" s="75">
        <v>0</v>
      </c>
      <c r="I159" s="58" t="s">
        <v>1426</v>
      </c>
      <c r="J159" s="108" t="s">
        <v>975</v>
      </c>
      <c r="K159" s="9" t="s">
        <v>121</v>
      </c>
      <c r="L159" s="110" t="s">
        <v>1460</v>
      </c>
      <c r="M159" s="9" t="s">
        <v>121</v>
      </c>
      <c r="N159" s="9" t="s">
        <v>1431</v>
      </c>
      <c r="O159" s="9" t="s">
        <v>121</v>
      </c>
      <c r="P159" s="58"/>
    </row>
    <row r="160" hidden="1" spans="1:16">
      <c r="A160" s="107">
        <v>540425202219032</v>
      </c>
      <c r="B160" s="108" t="s">
        <v>20</v>
      </c>
      <c r="C160" s="108">
        <v>2022</v>
      </c>
      <c r="D160" s="58" t="s">
        <v>582</v>
      </c>
      <c r="E160" s="109">
        <v>2300</v>
      </c>
      <c r="F160" s="58">
        <f>SUMIF('附件5-2'!$A$4:$A$346,A160,'附件5-2'!$I$4:$I$346)</f>
        <v>0</v>
      </c>
      <c r="G160" s="109">
        <v>2300</v>
      </c>
      <c r="H160" s="75">
        <v>0</v>
      </c>
      <c r="I160" s="58" t="s">
        <v>1426</v>
      </c>
      <c r="J160" s="108" t="s">
        <v>1515</v>
      </c>
      <c r="K160" s="9" t="s">
        <v>1460</v>
      </c>
      <c r="L160" s="110" t="s">
        <v>1460</v>
      </c>
      <c r="M160" s="9" t="s">
        <v>1460</v>
      </c>
      <c r="N160" s="9" t="s">
        <v>1460</v>
      </c>
      <c r="O160" s="9" t="s">
        <v>1460</v>
      </c>
      <c r="P160" s="58" t="s">
        <v>1565</v>
      </c>
    </row>
    <row r="161" hidden="1" spans="1:16">
      <c r="A161" s="107">
        <v>540425202219033</v>
      </c>
      <c r="B161" s="108" t="s">
        <v>20</v>
      </c>
      <c r="C161" s="108">
        <v>2022</v>
      </c>
      <c r="D161" s="58" t="s">
        <v>313</v>
      </c>
      <c r="E161" s="109">
        <f>附件3!L136</f>
        <v>1154.024321</v>
      </c>
      <c r="F161" s="58">
        <f>SUMIF('附件5-2'!$A$4:$A$346,A161,'附件5-2'!$I$4:$I$346)</f>
        <v>8</v>
      </c>
      <c r="G161" s="109">
        <f>7846400/10000</f>
        <v>784.64</v>
      </c>
      <c r="H161" s="75">
        <v>701.23</v>
      </c>
      <c r="I161" s="58" t="s">
        <v>1426</v>
      </c>
      <c r="J161" s="108"/>
      <c r="K161" s="9" t="s">
        <v>1460</v>
      </c>
      <c r="L161" s="110" t="s">
        <v>1460</v>
      </c>
      <c r="M161" s="9" t="s">
        <v>1460</v>
      </c>
      <c r="N161" s="9" t="s">
        <v>1460</v>
      </c>
      <c r="O161" s="9" t="s">
        <v>1460</v>
      </c>
      <c r="P161" s="58"/>
    </row>
    <row r="162" hidden="1" spans="1:16">
      <c r="A162" s="107">
        <v>540425202204007</v>
      </c>
      <c r="B162" s="108" t="s">
        <v>20</v>
      </c>
      <c r="C162" s="108">
        <v>2022</v>
      </c>
      <c r="D162" s="58" t="s">
        <v>508</v>
      </c>
      <c r="E162" s="109">
        <v>105</v>
      </c>
      <c r="F162" s="58">
        <f>SUMIF('附件5-2'!$A$4:$A$346,A162,'附件5-2'!$I$4:$I$346)</f>
        <v>0</v>
      </c>
      <c r="G162" s="75">
        <v>0</v>
      </c>
      <c r="H162" s="75">
        <v>0</v>
      </c>
      <c r="I162" s="58" t="s">
        <v>1421</v>
      </c>
      <c r="J162" s="108" t="s">
        <v>1063</v>
      </c>
      <c r="K162" s="9" t="s">
        <v>1460</v>
      </c>
      <c r="L162" s="110" t="s">
        <v>1460</v>
      </c>
      <c r="M162" s="9" t="s">
        <v>1460</v>
      </c>
      <c r="N162" s="9" t="s">
        <v>1460</v>
      </c>
      <c r="O162" s="9" t="s">
        <v>1460</v>
      </c>
      <c r="P162" s="58"/>
    </row>
    <row r="163" hidden="1" spans="1:16">
      <c r="A163" s="107">
        <v>540425202316016</v>
      </c>
      <c r="B163" s="108" t="s">
        <v>20</v>
      </c>
      <c r="C163" s="108">
        <v>2023</v>
      </c>
      <c r="D163" s="58" t="s">
        <v>344</v>
      </c>
      <c r="E163" s="109">
        <v>4700</v>
      </c>
      <c r="F163" s="58">
        <f>SUMIF('附件5-2'!$A$4:$A$346,A163,'附件5-2'!$I$4:$I$346)</f>
        <v>0</v>
      </c>
      <c r="G163" s="75">
        <v>0</v>
      </c>
      <c r="H163" s="75">
        <v>0</v>
      </c>
      <c r="I163" s="58" t="s">
        <v>1421</v>
      </c>
      <c r="J163" s="108" t="s">
        <v>1063</v>
      </c>
      <c r="K163" s="9" t="s">
        <v>1460</v>
      </c>
      <c r="L163" s="110" t="s">
        <v>1460</v>
      </c>
      <c r="M163" s="9" t="s">
        <v>1460</v>
      </c>
      <c r="N163" s="9" t="s">
        <v>1460</v>
      </c>
      <c r="O163" s="9" t="s">
        <v>1460</v>
      </c>
      <c r="P163" s="58"/>
    </row>
    <row r="164" hidden="1" spans="1:16">
      <c r="A164" s="107">
        <v>540425201919037</v>
      </c>
      <c r="B164" s="108" t="s">
        <v>20</v>
      </c>
      <c r="C164" s="108">
        <v>2019</v>
      </c>
      <c r="D164" s="58" t="s">
        <v>489</v>
      </c>
      <c r="E164" s="109">
        <v>1530</v>
      </c>
      <c r="F164" s="58">
        <f>SUMIF('附件5-2'!$A$4:$A$346,A164,'附件5-2'!$I$4:$I$346)</f>
        <v>0</v>
      </c>
      <c r="G164" s="109">
        <v>1530</v>
      </c>
      <c r="H164" s="75">
        <v>0</v>
      </c>
      <c r="I164" s="58" t="s">
        <v>1421</v>
      </c>
      <c r="J164" s="108" t="s">
        <v>1063</v>
      </c>
      <c r="K164" s="9" t="s">
        <v>1460</v>
      </c>
      <c r="L164" s="110" t="s">
        <v>1460</v>
      </c>
      <c r="M164" s="9" t="s">
        <v>1460</v>
      </c>
      <c r="N164" s="9" t="s">
        <v>1460</v>
      </c>
      <c r="O164" s="9" t="s">
        <v>1460</v>
      </c>
      <c r="P164" s="58"/>
    </row>
    <row r="165" hidden="1" spans="1:16">
      <c r="A165" s="107">
        <v>540425202007021</v>
      </c>
      <c r="B165" s="108" t="s">
        <v>20</v>
      </c>
      <c r="C165" s="108">
        <v>2020</v>
      </c>
      <c r="D165" s="58" t="s">
        <v>494</v>
      </c>
      <c r="E165" s="109">
        <v>380</v>
      </c>
      <c r="F165" s="58">
        <f>SUMIF('附件5-2'!$A$4:$A$346,A165,'附件5-2'!$I$4:$I$346)</f>
        <v>0</v>
      </c>
      <c r="G165" s="75">
        <v>0</v>
      </c>
      <c r="H165" s="75">
        <v>0</v>
      </c>
      <c r="I165" s="58" t="s">
        <v>1464</v>
      </c>
      <c r="J165" s="108" t="s">
        <v>1460</v>
      </c>
      <c r="K165" s="9" t="s">
        <v>1460</v>
      </c>
      <c r="L165" s="110" t="s">
        <v>1460</v>
      </c>
      <c r="M165" s="9" t="s">
        <v>1460</v>
      </c>
      <c r="N165" s="9" t="s">
        <v>1460</v>
      </c>
      <c r="O165" s="9" t="s">
        <v>1460</v>
      </c>
      <c r="P165" s="58"/>
    </row>
    <row r="166" hidden="1" spans="1:16">
      <c r="A166" s="107">
        <v>540425201917017</v>
      </c>
      <c r="B166" s="108" t="s">
        <v>20</v>
      </c>
      <c r="C166" s="108">
        <v>2019</v>
      </c>
      <c r="D166" s="28" t="s">
        <v>498</v>
      </c>
      <c r="E166" s="109">
        <v>60</v>
      </c>
      <c r="F166" s="58">
        <f>SUMIF('附件5-2'!$A$4:$A$346,A166,'附件5-2'!$I$4:$I$346)</f>
        <v>1</v>
      </c>
      <c r="G166" s="75">
        <v>60</v>
      </c>
      <c r="H166" s="75">
        <v>32.75</v>
      </c>
      <c r="I166" s="58" t="s">
        <v>1421</v>
      </c>
      <c r="J166" s="108" t="s">
        <v>1063</v>
      </c>
      <c r="K166" s="26" t="s">
        <v>1566</v>
      </c>
      <c r="L166" s="26"/>
      <c r="M166" s="9" t="s">
        <v>1566</v>
      </c>
      <c r="N166" s="9" t="s">
        <v>1567</v>
      </c>
      <c r="O166" s="9" t="s">
        <v>1566</v>
      </c>
      <c r="P166" s="58">
        <v>0</v>
      </c>
    </row>
    <row r="167" hidden="1" spans="1:16">
      <c r="A167" s="107">
        <v>540425202012030</v>
      </c>
      <c r="B167" s="108" t="s">
        <v>20</v>
      </c>
      <c r="C167" s="108">
        <v>2020</v>
      </c>
      <c r="D167" s="58" t="s">
        <v>640</v>
      </c>
      <c r="E167" s="109">
        <v>395.818111</v>
      </c>
      <c r="F167" s="58">
        <f>SUMIF('附件5-2'!$A$4:$A$346,A167,'附件5-2'!$I$4:$I$346)</f>
        <v>0</v>
      </c>
      <c r="G167" s="75">
        <v>0</v>
      </c>
      <c r="H167" s="75">
        <v>0</v>
      </c>
      <c r="I167" s="58" t="s">
        <v>1421</v>
      </c>
      <c r="J167" s="108" t="s">
        <v>1063</v>
      </c>
      <c r="K167" s="9" t="s">
        <v>1522</v>
      </c>
      <c r="L167" s="110"/>
      <c r="M167" s="9" t="s">
        <v>1522</v>
      </c>
      <c r="N167" s="9" t="s">
        <v>1523</v>
      </c>
      <c r="O167" s="9" t="s">
        <v>1522</v>
      </c>
      <c r="P167" s="58"/>
    </row>
    <row r="168" s="28" customFormat="1" hidden="1" spans="1:16">
      <c r="A168" s="118">
        <v>540425202219045</v>
      </c>
      <c r="B168" s="108" t="s">
        <v>20</v>
      </c>
      <c r="C168" s="108">
        <v>2017</v>
      </c>
      <c r="D168" s="119" t="s">
        <v>726</v>
      </c>
      <c r="E168" s="109">
        <v>7800</v>
      </c>
      <c r="F168" s="58">
        <f>SUMIF('附件5-2'!$A$4:$A$346,A168,'附件5-2'!$I$4:$I$346)</f>
        <v>1</v>
      </c>
      <c r="G168" s="109">
        <v>7800</v>
      </c>
      <c r="H168" s="109">
        <v>5005</v>
      </c>
      <c r="I168" s="58" t="s">
        <v>1426</v>
      </c>
      <c r="J168" s="58" t="s">
        <v>975</v>
      </c>
      <c r="K168" s="26" t="s">
        <v>121</v>
      </c>
      <c r="L168" s="26" t="s">
        <v>121</v>
      </c>
      <c r="M168" s="26" t="s">
        <v>121</v>
      </c>
      <c r="N168" s="26" t="s">
        <v>1431</v>
      </c>
      <c r="O168" s="26" t="s">
        <v>121</v>
      </c>
      <c r="P168" s="58"/>
    </row>
    <row r="169" s="28" customFormat="1" hidden="1" spans="1:16">
      <c r="A169" s="118">
        <v>540425202219055</v>
      </c>
      <c r="B169" s="108" t="s">
        <v>20</v>
      </c>
      <c r="C169" s="108">
        <v>2016</v>
      </c>
      <c r="D169" s="119" t="s">
        <v>722</v>
      </c>
      <c r="E169" s="58">
        <v>755.21</v>
      </c>
      <c r="F169" s="58">
        <f>SUMIF('附件5-2'!$A$4:$A$346,A169,'附件5-2'!$I$4:$I$346)</f>
        <v>1</v>
      </c>
      <c r="G169" s="58">
        <v>755.21</v>
      </c>
      <c r="H169" s="58">
        <v>468.86</v>
      </c>
      <c r="I169" s="58" t="s">
        <v>1426</v>
      </c>
      <c r="J169" s="58" t="s">
        <v>975</v>
      </c>
      <c r="K169" s="26" t="s">
        <v>121</v>
      </c>
      <c r="L169" s="26" t="s">
        <v>121</v>
      </c>
      <c r="M169" s="26" t="s">
        <v>121</v>
      </c>
      <c r="N169" s="26" t="s">
        <v>1431</v>
      </c>
      <c r="O169" s="26" t="s">
        <v>121</v>
      </c>
      <c r="P169" s="58"/>
    </row>
    <row r="170" hidden="1" spans="1:16">
      <c r="A170" s="118">
        <v>540425201912010</v>
      </c>
      <c r="B170" s="108" t="s">
        <v>20</v>
      </c>
      <c r="C170" s="120">
        <v>2019</v>
      </c>
      <c r="D170" s="58" t="s">
        <v>727</v>
      </c>
      <c r="E170" s="59">
        <v>220.820373</v>
      </c>
      <c r="F170" s="58">
        <v>1</v>
      </c>
      <c r="G170" s="59">
        <v>220.820373</v>
      </c>
      <c r="H170" s="59">
        <v>110.4101865</v>
      </c>
      <c r="I170" s="58" t="s">
        <v>1421</v>
      </c>
      <c r="J170" s="108" t="s">
        <v>1063</v>
      </c>
      <c r="K170" s="9" t="s">
        <v>1498</v>
      </c>
      <c r="L170" s="9" t="s">
        <v>1498</v>
      </c>
      <c r="M170" s="9" t="s">
        <v>1498</v>
      </c>
      <c r="N170" s="9" t="s">
        <v>1498</v>
      </c>
      <c r="O170" s="9" t="s">
        <v>1498</v>
      </c>
      <c r="P170" s="60"/>
    </row>
    <row r="171" hidden="1" spans="1:16">
      <c r="A171" s="118">
        <v>540425201812030</v>
      </c>
      <c r="B171" s="108" t="s">
        <v>20</v>
      </c>
      <c r="C171" s="120">
        <v>2018</v>
      </c>
      <c r="D171" s="58" t="s">
        <v>1568</v>
      </c>
      <c r="E171" s="59">
        <v>481</v>
      </c>
      <c r="F171" s="58">
        <v>1</v>
      </c>
      <c r="G171" s="59">
        <v>481</v>
      </c>
      <c r="H171" s="59">
        <v>240.5</v>
      </c>
      <c r="I171" s="58" t="s">
        <v>1421</v>
      </c>
      <c r="J171" s="108" t="s">
        <v>1063</v>
      </c>
      <c r="K171" s="9" t="s">
        <v>1487</v>
      </c>
      <c r="L171" s="9" t="s">
        <v>1487</v>
      </c>
      <c r="M171" s="9" t="s">
        <v>1487</v>
      </c>
      <c r="N171" s="9" t="s">
        <v>1487</v>
      </c>
      <c r="O171" s="9" t="s">
        <v>1487</v>
      </c>
      <c r="P171" s="60"/>
    </row>
    <row r="172" hidden="1" spans="1:16">
      <c r="A172" s="118">
        <v>540425201812031</v>
      </c>
      <c r="B172" s="108" t="s">
        <v>20</v>
      </c>
      <c r="C172" s="120">
        <v>2020</v>
      </c>
      <c r="D172" s="58" t="s">
        <v>728</v>
      </c>
      <c r="E172" s="59">
        <v>813.381396</v>
      </c>
      <c r="F172" s="58">
        <v>1</v>
      </c>
      <c r="G172" s="59">
        <v>813.381396</v>
      </c>
      <c r="H172" s="59">
        <v>406.690698</v>
      </c>
      <c r="I172" s="58" t="s">
        <v>1421</v>
      </c>
      <c r="J172" s="108" t="s">
        <v>1063</v>
      </c>
      <c r="K172" s="9" t="s">
        <v>1471</v>
      </c>
      <c r="L172" s="9" t="s">
        <v>1471</v>
      </c>
      <c r="M172" s="9" t="s">
        <v>1471</v>
      </c>
      <c r="N172" s="9" t="s">
        <v>1471</v>
      </c>
      <c r="O172" s="9" t="s">
        <v>1471</v>
      </c>
      <c r="P172" s="60"/>
    </row>
    <row r="173" hidden="1" spans="1:16">
      <c r="A173" s="118">
        <v>540425201812037</v>
      </c>
      <c r="B173" s="108" t="s">
        <v>20</v>
      </c>
      <c r="C173" s="120">
        <v>2020</v>
      </c>
      <c r="D173" s="58" t="s">
        <v>734</v>
      </c>
      <c r="E173" s="59">
        <v>210.95</v>
      </c>
      <c r="F173" s="58">
        <v>1</v>
      </c>
      <c r="G173" s="59">
        <v>210.95</v>
      </c>
      <c r="H173" s="59">
        <v>105.475</v>
      </c>
      <c r="I173" s="58" t="s">
        <v>1421</v>
      </c>
      <c r="J173" s="108" t="s">
        <v>1063</v>
      </c>
      <c r="K173" s="9" t="s">
        <v>1569</v>
      </c>
      <c r="L173" s="9" t="s">
        <v>1569</v>
      </c>
      <c r="M173" s="9" t="s">
        <v>1569</v>
      </c>
      <c r="N173" s="9" t="s">
        <v>1569</v>
      </c>
      <c r="O173" s="9" t="s">
        <v>1569</v>
      </c>
      <c r="P173" s="60"/>
    </row>
    <row r="174" ht="28" hidden="1" spans="1:16">
      <c r="A174" s="118">
        <v>540425201812039</v>
      </c>
      <c r="B174" s="108" t="s">
        <v>20</v>
      </c>
      <c r="C174" s="120">
        <v>2020</v>
      </c>
      <c r="D174" s="58" t="s">
        <v>736</v>
      </c>
      <c r="E174" s="59">
        <v>1389.229304</v>
      </c>
      <c r="F174" s="58">
        <v>1</v>
      </c>
      <c r="G174" s="59">
        <v>1389.229304</v>
      </c>
      <c r="H174" s="59">
        <v>694.614652</v>
      </c>
      <c r="I174" s="58" t="s">
        <v>1421</v>
      </c>
      <c r="J174" s="108" t="s">
        <v>1063</v>
      </c>
      <c r="K174" s="9" t="s">
        <v>1545</v>
      </c>
      <c r="L174" s="9" t="s">
        <v>1545</v>
      </c>
      <c r="M174" s="9" t="s">
        <v>1545</v>
      </c>
      <c r="N174" s="9" t="s">
        <v>1545</v>
      </c>
      <c r="O174" s="9" t="s">
        <v>1545</v>
      </c>
      <c r="P174" s="60"/>
    </row>
    <row r="175" hidden="1" spans="1:16">
      <c r="A175" s="118">
        <v>540425201812040</v>
      </c>
      <c r="B175" s="108" t="s">
        <v>20</v>
      </c>
      <c r="C175" s="120">
        <v>2022</v>
      </c>
      <c r="D175" s="58" t="s">
        <v>738</v>
      </c>
      <c r="E175" s="59">
        <v>774.19</v>
      </c>
      <c r="F175" s="58">
        <v>1</v>
      </c>
      <c r="G175" s="59">
        <v>774.19</v>
      </c>
      <c r="H175" s="59">
        <v>387.095</v>
      </c>
      <c r="I175" s="58" t="s">
        <v>1421</v>
      </c>
      <c r="J175" s="108" t="s">
        <v>1063</v>
      </c>
      <c r="K175" s="9" t="s">
        <v>1570</v>
      </c>
      <c r="L175" s="9" t="s">
        <v>1570</v>
      </c>
      <c r="M175" s="9" t="s">
        <v>1570</v>
      </c>
      <c r="N175" s="9" t="s">
        <v>1570</v>
      </c>
      <c r="O175" s="9" t="s">
        <v>1570</v>
      </c>
      <c r="P175" s="60"/>
    </row>
    <row r="176" hidden="1" spans="1:16">
      <c r="A176" s="118">
        <v>540425201812043</v>
      </c>
      <c r="B176" s="108" t="s">
        <v>20</v>
      </c>
      <c r="C176" s="120">
        <v>2019</v>
      </c>
      <c r="D176" s="58" t="s">
        <v>739</v>
      </c>
      <c r="E176" s="59">
        <v>284.038024</v>
      </c>
      <c r="F176" s="58">
        <v>1</v>
      </c>
      <c r="G176" s="59">
        <v>284.038024</v>
      </c>
      <c r="H176" s="59">
        <v>142.019012</v>
      </c>
      <c r="I176" s="58" t="s">
        <v>1421</v>
      </c>
      <c r="J176" s="108" t="s">
        <v>1063</v>
      </c>
      <c r="K176" s="9" t="s">
        <v>1571</v>
      </c>
      <c r="L176" s="9" t="s">
        <v>1571</v>
      </c>
      <c r="M176" s="9" t="s">
        <v>1571</v>
      </c>
      <c r="N176" s="9" t="s">
        <v>1571</v>
      </c>
      <c r="O176" s="9" t="s">
        <v>1571</v>
      </c>
      <c r="P176" s="60"/>
    </row>
    <row r="177" hidden="1" spans="1:16">
      <c r="A177" s="118">
        <v>540425201812044</v>
      </c>
      <c r="B177" s="108" t="s">
        <v>20</v>
      </c>
      <c r="C177" s="120">
        <v>2019</v>
      </c>
      <c r="D177" s="58" t="s">
        <v>740</v>
      </c>
      <c r="E177" s="59">
        <v>653.718776</v>
      </c>
      <c r="F177" s="58">
        <v>1</v>
      </c>
      <c r="G177" s="59">
        <v>653.718776</v>
      </c>
      <c r="H177" s="59">
        <v>326.859388</v>
      </c>
      <c r="I177" s="58" t="s">
        <v>1421</v>
      </c>
      <c r="J177" s="108" t="s">
        <v>1063</v>
      </c>
      <c r="K177" s="9" t="s">
        <v>1571</v>
      </c>
      <c r="L177" s="9" t="s">
        <v>1571</v>
      </c>
      <c r="M177" s="9" t="s">
        <v>1571</v>
      </c>
      <c r="N177" s="9" t="s">
        <v>1571</v>
      </c>
      <c r="O177" s="9" t="s">
        <v>1571</v>
      </c>
      <c r="P177" s="60"/>
    </row>
    <row r="178" ht="28" hidden="1" spans="1:16">
      <c r="A178" s="118">
        <v>540425201812045</v>
      </c>
      <c r="B178" s="108" t="s">
        <v>20</v>
      </c>
      <c r="C178" s="120">
        <v>2022</v>
      </c>
      <c r="D178" s="58" t="s">
        <v>741</v>
      </c>
      <c r="E178" s="59">
        <v>368.65</v>
      </c>
      <c r="F178" s="58">
        <v>1</v>
      </c>
      <c r="G178" s="59">
        <v>368.65</v>
      </c>
      <c r="H178" s="59">
        <v>184.325</v>
      </c>
      <c r="I178" s="58" t="s">
        <v>1421</v>
      </c>
      <c r="J178" s="108" t="s">
        <v>1063</v>
      </c>
      <c r="K178" s="9" t="s">
        <v>1572</v>
      </c>
      <c r="L178" s="9" t="s">
        <v>1572</v>
      </c>
      <c r="M178" s="9" t="s">
        <v>1572</v>
      </c>
      <c r="N178" s="9" t="s">
        <v>1572</v>
      </c>
      <c r="O178" s="9" t="s">
        <v>1572</v>
      </c>
      <c r="P178" s="60"/>
    </row>
    <row r="179" hidden="1" spans="1:16">
      <c r="A179" s="118">
        <v>540425201812046</v>
      </c>
      <c r="B179" s="108" t="s">
        <v>20</v>
      </c>
      <c r="C179" s="120">
        <v>2019</v>
      </c>
      <c r="D179" s="58" t="s">
        <v>745</v>
      </c>
      <c r="E179" s="59">
        <v>1866</v>
      </c>
      <c r="F179" s="58">
        <v>1</v>
      </c>
      <c r="G179" s="59">
        <v>1866</v>
      </c>
      <c r="H179" s="59">
        <v>933</v>
      </c>
      <c r="I179" s="58" t="s">
        <v>1421</v>
      </c>
      <c r="J179" s="108" t="s">
        <v>1063</v>
      </c>
      <c r="K179" s="9" t="s">
        <v>1480</v>
      </c>
      <c r="L179" s="9" t="s">
        <v>1480</v>
      </c>
      <c r="M179" s="9" t="s">
        <v>1480</v>
      </c>
      <c r="N179" s="9" t="s">
        <v>1480</v>
      </c>
      <c r="O179" s="9" t="s">
        <v>1480</v>
      </c>
      <c r="P179" s="60"/>
    </row>
    <row r="180" hidden="1" spans="1:16">
      <c r="A180" s="118">
        <v>540425201812047</v>
      </c>
      <c r="B180" s="108" t="s">
        <v>20</v>
      </c>
      <c r="C180" s="120">
        <v>2021</v>
      </c>
      <c r="D180" s="58" t="s">
        <v>747</v>
      </c>
      <c r="E180" s="59">
        <v>259.737267</v>
      </c>
      <c r="F180" s="58">
        <v>1</v>
      </c>
      <c r="G180" s="59">
        <v>259.737267</v>
      </c>
      <c r="H180" s="59">
        <v>194.81</v>
      </c>
      <c r="I180" s="58" t="s">
        <v>1421</v>
      </c>
      <c r="J180" s="108" t="s">
        <v>1063</v>
      </c>
      <c r="K180" s="9" t="s">
        <v>1571</v>
      </c>
      <c r="L180" s="9" t="s">
        <v>1571</v>
      </c>
      <c r="M180" s="9" t="s">
        <v>1571</v>
      </c>
      <c r="N180" s="9" t="s">
        <v>1571</v>
      </c>
      <c r="O180" s="9" t="s">
        <v>1571</v>
      </c>
      <c r="P180" s="60"/>
    </row>
    <row r="181" hidden="1" spans="1:16">
      <c r="A181" s="118">
        <v>540425201812048</v>
      </c>
      <c r="B181" s="108" t="s">
        <v>20</v>
      </c>
      <c r="C181" s="120">
        <v>2019</v>
      </c>
      <c r="D181" s="58" t="s">
        <v>748</v>
      </c>
      <c r="E181" s="59">
        <v>234.747448</v>
      </c>
      <c r="F181" s="58">
        <v>1</v>
      </c>
      <c r="G181" s="59">
        <v>234.747448</v>
      </c>
      <c r="H181" s="59">
        <v>117.373724</v>
      </c>
      <c r="I181" s="58" t="s">
        <v>1421</v>
      </c>
      <c r="J181" s="108" t="s">
        <v>1063</v>
      </c>
      <c r="K181" s="9" t="s">
        <v>1494</v>
      </c>
      <c r="L181" s="9" t="s">
        <v>1494</v>
      </c>
      <c r="M181" s="9" t="s">
        <v>1494</v>
      </c>
      <c r="N181" s="9" t="s">
        <v>1494</v>
      </c>
      <c r="O181" s="9" t="s">
        <v>1494</v>
      </c>
      <c r="P181" s="60"/>
    </row>
    <row r="182" s="29" customFormat="1" hidden="1" spans="1:16">
      <c r="A182" s="121">
        <v>540425201812049</v>
      </c>
      <c r="B182" s="122" t="s">
        <v>20</v>
      </c>
      <c r="C182" s="123">
        <v>2019</v>
      </c>
      <c r="D182" s="63" t="s">
        <v>750</v>
      </c>
      <c r="E182" s="124">
        <v>921.038566</v>
      </c>
      <c r="F182" s="63">
        <v>1</v>
      </c>
      <c r="G182" s="124">
        <v>921.038566</v>
      </c>
      <c r="H182" s="124">
        <v>460.519283</v>
      </c>
      <c r="I182" s="63" t="s">
        <v>1421</v>
      </c>
      <c r="J182" s="122" t="s">
        <v>1063</v>
      </c>
      <c r="K182" s="125" t="s">
        <v>1573</v>
      </c>
      <c r="L182" s="125" t="s">
        <v>1573</v>
      </c>
      <c r="M182" s="125" t="s">
        <v>1573</v>
      </c>
      <c r="N182" s="125" t="s">
        <v>1573</v>
      </c>
      <c r="O182" s="125" t="s">
        <v>1573</v>
      </c>
      <c r="P182" s="63"/>
    </row>
    <row r="183" hidden="1" spans="1:16">
      <c r="A183" s="118">
        <v>540425201812050</v>
      </c>
      <c r="B183" s="108" t="s">
        <v>20</v>
      </c>
      <c r="C183" s="120">
        <v>2020</v>
      </c>
      <c r="D183" s="58" t="s">
        <v>751</v>
      </c>
      <c r="E183" s="59">
        <v>788.362197</v>
      </c>
      <c r="F183" s="58">
        <v>1</v>
      </c>
      <c r="G183" s="59">
        <v>788.362197</v>
      </c>
      <c r="H183" s="59">
        <v>394.1810985</v>
      </c>
      <c r="I183" s="58" t="s">
        <v>1421</v>
      </c>
      <c r="J183" s="108" t="s">
        <v>1515</v>
      </c>
      <c r="K183" s="9" t="s">
        <v>1558</v>
      </c>
      <c r="L183" s="9" t="s">
        <v>1558</v>
      </c>
      <c r="M183" s="9" t="s">
        <v>1558</v>
      </c>
      <c r="N183" s="9" t="s">
        <v>1558</v>
      </c>
      <c r="O183" s="9" t="s">
        <v>1558</v>
      </c>
      <c r="P183" s="60"/>
    </row>
    <row r="184" hidden="1" spans="1:16">
      <c r="A184" s="118">
        <v>540425201812051</v>
      </c>
      <c r="B184" s="108" t="s">
        <v>20</v>
      </c>
      <c r="C184" s="120">
        <v>2021</v>
      </c>
      <c r="D184" s="58" t="s">
        <v>752</v>
      </c>
      <c r="E184" s="59">
        <v>280.297741</v>
      </c>
      <c r="F184" s="58">
        <v>1</v>
      </c>
      <c r="G184" s="59">
        <v>280.297741</v>
      </c>
      <c r="H184" s="59">
        <f>2102233.0575/10000</f>
        <v>210.22330575</v>
      </c>
      <c r="I184" s="58" t="s">
        <v>1421</v>
      </c>
      <c r="J184" s="108" t="s">
        <v>1063</v>
      </c>
      <c r="K184" s="9" t="s">
        <v>1574</v>
      </c>
      <c r="L184" s="9" t="s">
        <v>1574</v>
      </c>
      <c r="M184" s="9" t="s">
        <v>1574</v>
      </c>
      <c r="N184" s="9" t="s">
        <v>1574</v>
      </c>
      <c r="O184" s="9" t="s">
        <v>1574</v>
      </c>
      <c r="P184" s="60"/>
    </row>
    <row r="185" hidden="1" spans="1:16">
      <c r="A185" s="118">
        <v>540425201812052</v>
      </c>
      <c r="B185" s="108" t="s">
        <v>20</v>
      </c>
      <c r="C185" s="120">
        <v>2018</v>
      </c>
      <c r="D185" s="58" t="s">
        <v>753</v>
      </c>
      <c r="E185" s="59">
        <v>160.764874</v>
      </c>
      <c r="F185" s="58">
        <v>1</v>
      </c>
      <c r="G185" s="59">
        <v>160.764874</v>
      </c>
      <c r="H185" s="59">
        <v>80.382437</v>
      </c>
      <c r="I185" s="58" t="s">
        <v>1421</v>
      </c>
      <c r="J185" s="108" t="s">
        <v>1063</v>
      </c>
      <c r="K185" s="9" t="s">
        <v>1471</v>
      </c>
      <c r="L185" s="9" t="s">
        <v>1471</v>
      </c>
      <c r="M185" s="9" t="s">
        <v>1471</v>
      </c>
      <c r="N185" s="9" t="s">
        <v>1471</v>
      </c>
      <c r="O185" s="9" t="s">
        <v>1471</v>
      </c>
      <c r="P185" s="60"/>
    </row>
    <row r="186" hidden="1" spans="1:16">
      <c r="A186" s="118">
        <v>540425201812053</v>
      </c>
      <c r="B186" s="108" t="s">
        <v>20</v>
      </c>
      <c r="C186" s="120">
        <v>2018</v>
      </c>
      <c r="D186" s="58" t="s">
        <v>754</v>
      </c>
      <c r="E186" s="59">
        <v>254.671851</v>
      </c>
      <c r="F186" s="58">
        <v>1</v>
      </c>
      <c r="G186" s="59">
        <v>254.671851</v>
      </c>
      <c r="H186" s="59">
        <v>127.3359255</v>
      </c>
      <c r="I186" s="58" t="s">
        <v>1421</v>
      </c>
      <c r="J186" s="108" t="s">
        <v>1063</v>
      </c>
      <c r="K186" s="9" t="s">
        <v>1494</v>
      </c>
      <c r="L186" s="9" t="s">
        <v>1494</v>
      </c>
      <c r="M186" s="9" t="s">
        <v>1494</v>
      </c>
      <c r="N186" s="9" t="s">
        <v>1494</v>
      </c>
      <c r="O186" s="9" t="s">
        <v>1494</v>
      </c>
      <c r="P186" s="60"/>
    </row>
    <row r="187" hidden="1" spans="1:16">
      <c r="A187" s="118">
        <v>540425201812054</v>
      </c>
      <c r="B187" s="108" t="s">
        <v>20</v>
      </c>
      <c r="C187" s="120">
        <v>2022</v>
      </c>
      <c r="D187" s="58" t="s">
        <v>756</v>
      </c>
      <c r="E187" s="59">
        <v>300</v>
      </c>
      <c r="F187" s="58">
        <v>1</v>
      </c>
      <c r="G187" s="59">
        <v>300</v>
      </c>
      <c r="H187" s="59">
        <f>2250000/10000</f>
        <v>225</v>
      </c>
      <c r="I187" s="58" t="s">
        <v>1421</v>
      </c>
      <c r="J187" s="108" t="s">
        <v>1063</v>
      </c>
      <c r="K187" s="9" t="s">
        <v>1449</v>
      </c>
      <c r="L187" s="9" t="s">
        <v>1449</v>
      </c>
      <c r="M187" s="9" t="s">
        <v>1449</v>
      </c>
      <c r="N187" s="9" t="s">
        <v>1449</v>
      </c>
      <c r="O187" s="9" t="s">
        <v>1449</v>
      </c>
      <c r="P187" s="60"/>
    </row>
    <row r="188" hidden="1" spans="1:16">
      <c r="A188" s="118">
        <v>540425201812057</v>
      </c>
      <c r="B188" s="108" t="s">
        <v>20</v>
      </c>
      <c r="C188" s="120">
        <v>2019</v>
      </c>
      <c r="D188" s="58" t="s">
        <v>757</v>
      </c>
      <c r="E188" s="59">
        <v>518.348114</v>
      </c>
      <c r="F188" s="58">
        <v>1</v>
      </c>
      <c r="G188" s="59">
        <v>518.348114</v>
      </c>
      <c r="H188" s="59">
        <v>259.174057</v>
      </c>
      <c r="I188" s="58" t="s">
        <v>1421</v>
      </c>
      <c r="J188" s="108" t="s">
        <v>1063</v>
      </c>
      <c r="K188" s="9" t="s">
        <v>1471</v>
      </c>
      <c r="L188" s="9" t="s">
        <v>1471</v>
      </c>
      <c r="M188" s="9" t="s">
        <v>1471</v>
      </c>
      <c r="N188" s="9" t="s">
        <v>1471</v>
      </c>
      <c r="O188" s="9" t="s">
        <v>1471</v>
      </c>
      <c r="P188" s="60"/>
    </row>
    <row r="189" hidden="1" spans="1:16">
      <c r="A189" s="118">
        <v>540425201812058</v>
      </c>
      <c r="B189" s="108" t="s">
        <v>20</v>
      </c>
      <c r="C189" s="120">
        <v>2019</v>
      </c>
      <c r="D189" s="58" t="s">
        <v>759</v>
      </c>
      <c r="E189" s="59">
        <v>758.566162</v>
      </c>
      <c r="F189" s="58">
        <v>1</v>
      </c>
      <c r="G189" s="59">
        <v>758.566162</v>
      </c>
      <c r="H189" s="59">
        <v>379.283081</v>
      </c>
      <c r="I189" s="58" t="s">
        <v>1421</v>
      </c>
      <c r="J189" s="108" t="s">
        <v>1063</v>
      </c>
      <c r="K189" s="9" t="s">
        <v>1471</v>
      </c>
      <c r="L189" s="9" t="s">
        <v>1471</v>
      </c>
      <c r="M189" s="9" t="s">
        <v>1471</v>
      </c>
      <c r="N189" s="9" t="s">
        <v>1471</v>
      </c>
      <c r="O189" s="9" t="s">
        <v>1471</v>
      </c>
      <c r="P189" s="60"/>
    </row>
    <row r="190" ht="42" hidden="1" spans="1:16">
      <c r="A190" s="118">
        <v>540425201812059</v>
      </c>
      <c r="B190" s="108" t="s">
        <v>20</v>
      </c>
      <c r="C190" s="120">
        <v>2017</v>
      </c>
      <c r="D190" s="58" t="s">
        <v>772</v>
      </c>
      <c r="E190" s="59">
        <v>637</v>
      </c>
      <c r="F190" s="58">
        <v>1</v>
      </c>
      <c r="G190" s="59">
        <v>637</v>
      </c>
      <c r="H190" s="59">
        <v>318.5</v>
      </c>
      <c r="I190" s="58" t="s">
        <v>1421</v>
      </c>
      <c r="J190" s="108" t="s">
        <v>1063</v>
      </c>
      <c r="K190" s="9" t="s">
        <v>1575</v>
      </c>
      <c r="L190" s="9" t="s">
        <v>1575</v>
      </c>
      <c r="M190" s="9" t="s">
        <v>1575</v>
      </c>
      <c r="N190" s="9" t="s">
        <v>1575</v>
      </c>
      <c r="O190" s="9" t="s">
        <v>1575</v>
      </c>
      <c r="P190" s="60"/>
    </row>
    <row r="191" hidden="1" spans="1:16">
      <c r="A191" s="118">
        <v>540425201812060</v>
      </c>
      <c r="B191" s="108" t="s">
        <v>20</v>
      </c>
      <c r="C191" s="120">
        <v>2019</v>
      </c>
      <c r="D191" s="58" t="s">
        <v>773</v>
      </c>
      <c r="E191" s="59">
        <v>683.4</v>
      </c>
      <c r="F191" s="58">
        <v>1</v>
      </c>
      <c r="G191" s="59">
        <v>683.4</v>
      </c>
      <c r="H191" s="59">
        <v>341.7</v>
      </c>
      <c r="I191" s="58" t="s">
        <v>1421</v>
      </c>
      <c r="J191" s="108" t="s">
        <v>1063</v>
      </c>
      <c r="K191" s="9" t="s">
        <v>1576</v>
      </c>
      <c r="L191" s="9" t="s">
        <v>1576</v>
      </c>
      <c r="M191" s="9" t="s">
        <v>1576</v>
      </c>
      <c r="N191" s="9" t="s">
        <v>1576</v>
      </c>
      <c r="O191" s="9" t="s">
        <v>1576</v>
      </c>
      <c r="P191" s="60"/>
    </row>
    <row r="192" hidden="1" spans="1:16">
      <c r="A192" s="118">
        <v>540425201812061</v>
      </c>
      <c r="B192" s="108" t="s">
        <v>20</v>
      </c>
      <c r="C192" s="120">
        <v>2019</v>
      </c>
      <c r="D192" s="58" t="s">
        <v>775</v>
      </c>
      <c r="E192" s="59">
        <v>769.79</v>
      </c>
      <c r="F192" s="58">
        <v>1</v>
      </c>
      <c r="G192" s="59">
        <v>769.79</v>
      </c>
      <c r="H192" s="59">
        <v>384.895</v>
      </c>
      <c r="I192" s="58" t="s">
        <v>1421</v>
      </c>
      <c r="J192" s="108" t="s">
        <v>1063</v>
      </c>
      <c r="K192" s="9" t="s">
        <v>1459</v>
      </c>
      <c r="L192" s="9" t="s">
        <v>1459</v>
      </c>
      <c r="M192" s="9" t="s">
        <v>1459</v>
      </c>
      <c r="N192" s="9" t="s">
        <v>1459</v>
      </c>
      <c r="O192" s="9" t="s">
        <v>1459</v>
      </c>
      <c r="P192" s="60"/>
    </row>
    <row r="193" hidden="1" spans="1:16">
      <c r="A193" s="118">
        <v>540425201812062</v>
      </c>
      <c r="B193" s="108" t="s">
        <v>20</v>
      </c>
      <c r="C193" s="120">
        <v>2019</v>
      </c>
      <c r="D193" s="58" t="s">
        <v>776</v>
      </c>
      <c r="E193" s="59">
        <v>1398.14</v>
      </c>
      <c r="F193" s="58">
        <v>1</v>
      </c>
      <c r="G193" s="59">
        <v>1398.14</v>
      </c>
      <c r="H193" s="59">
        <v>699.07</v>
      </c>
      <c r="I193" s="58" t="s">
        <v>1421</v>
      </c>
      <c r="J193" s="108" t="s">
        <v>1063</v>
      </c>
      <c r="K193" s="9" t="s">
        <v>1577</v>
      </c>
      <c r="L193" s="9" t="s">
        <v>1577</v>
      </c>
      <c r="M193" s="9" t="s">
        <v>1577</v>
      </c>
      <c r="N193" s="9" t="s">
        <v>1577</v>
      </c>
      <c r="O193" s="9" t="s">
        <v>1577</v>
      </c>
      <c r="P193" s="60"/>
    </row>
    <row r="194" hidden="1" spans="1:16">
      <c r="A194" s="118">
        <v>540425201812063</v>
      </c>
      <c r="B194" s="108" t="s">
        <v>20</v>
      </c>
      <c r="C194" s="120">
        <v>2019</v>
      </c>
      <c r="D194" s="58" t="s">
        <v>777</v>
      </c>
      <c r="E194" s="59">
        <v>777.03</v>
      </c>
      <c r="F194" s="58">
        <v>1</v>
      </c>
      <c r="G194" s="59">
        <v>777.03</v>
      </c>
      <c r="H194" s="59">
        <v>388.515</v>
      </c>
      <c r="I194" s="58" t="s">
        <v>1421</v>
      </c>
      <c r="J194" s="108" t="s">
        <v>1063</v>
      </c>
      <c r="K194" s="9" t="s">
        <v>1465</v>
      </c>
      <c r="L194" s="9" t="s">
        <v>1465</v>
      </c>
      <c r="M194" s="9" t="s">
        <v>1465</v>
      </c>
      <c r="N194" s="9" t="s">
        <v>1465</v>
      </c>
      <c r="O194" s="9" t="s">
        <v>1465</v>
      </c>
      <c r="P194" s="60"/>
    </row>
    <row r="195" hidden="1" spans="1:16">
      <c r="A195" s="118">
        <v>540425201812064</v>
      </c>
      <c r="B195" s="108" t="s">
        <v>20</v>
      </c>
      <c r="C195" s="120">
        <v>2019</v>
      </c>
      <c r="D195" s="58" t="s">
        <v>778</v>
      </c>
      <c r="E195" s="59">
        <v>854.46</v>
      </c>
      <c r="F195" s="58">
        <v>1</v>
      </c>
      <c r="G195" s="59">
        <v>854.46</v>
      </c>
      <c r="H195" s="59">
        <v>427.23</v>
      </c>
      <c r="I195" s="58" t="s">
        <v>1421</v>
      </c>
      <c r="J195" s="108" t="s">
        <v>1063</v>
      </c>
      <c r="K195" s="9" t="s">
        <v>1574</v>
      </c>
      <c r="L195" s="9" t="s">
        <v>1574</v>
      </c>
      <c r="M195" s="9" t="s">
        <v>1574</v>
      </c>
      <c r="N195" s="9" t="s">
        <v>1574</v>
      </c>
      <c r="O195" s="9" t="s">
        <v>1574</v>
      </c>
      <c r="P195" s="60"/>
    </row>
    <row r="196" hidden="1" spans="1:16">
      <c r="A196" s="118">
        <v>540425201812065</v>
      </c>
      <c r="B196" s="108" t="s">
        <v>20</v>
      </c>
      <c r="C196" s="120">
        <v>2019</v>
      </c>
      <c r="D196" s="58" t="s">
        <v>779</v>
      </c>
      <c r="E196" s="59">
        <v>3238.2</v>
      </c>
      <c r="F196" s="58">
        <v>1</v>
      </c>
      <c r="G196" s="59">
        <v>3238.2</v>
      </c>
      <c r="H196" s="59">
        <v>1619.1</v>
      </c>
      <c r="I196" s="58" t="s">
        <v>1421</v>
      </c>
      <c r="J196" s="108" t="s">
        <v>1063</v>
      </c>
      <c r="K196" s="9" t="s">
        <v>1449</v>
      </c>
      <c r="L196" s="9" t="s">
        <v>1449</v>
      </c>
      <c r="M196" s="9" t="s">
        <v>1449</v>
      </c>
      <c r="N196" s="9" t="s">
        <v>1449</v>
      </c>
      <c r="O196" s="9" t="s">
        <v>1449</v>
      </c>
      <c r="P196" s="60"/>
    </row>
    <row r="197" hidden="1" spans="1:16">
      <c r="A197" s="118">
        <v>540425201812066</v>
      </c>
      <c r="B197" s="108" t="s">
        <v>20</v>
      </c>
      <c r="C197" s="120">
        <v>2019</v>
      </c>
      <c r="D197" s="58" t="s">
        <v>780</v>
      </c>
      <c r="E197" s="59">
        <v>513.44</v>
      </c>
      <c r="F197" s="58">
        <v>1</v>
      </c>
      <c r="G197" s="59">
        <v>513.44</v>
      </c>
      <c r="H197" s="59">
        <v>256.72</v>
      </c>
      <c r="I197" s="58" t="s">
        <v>1421</v>
      </c>
      <c r="J197" s="108" t="s">
        <v>1063</v>
      </c>
      <c r="K197" s="9" t="s">
        <v>1462</v>
      </c>
      <c r="L197" s="9" t="s">
        <v>1462</v>
      </c>
      <c r="M197" s="9" t="s">
        <v>1462</v>
      </c>
      <c r="N197" s="9" t="s">
        <v>1462</v>
      </c>
      <c r="O197" s="9" t="s">
        <v>1462</v>
      </c>
      <c r="P197" s="60"/>
    </row>
    <row r="198" hidden="1" spans="1:16">
      <c r="A198" s="118">
        <v>540425201812067</v>
      </c>
      <c r="B198" s="108" t="s">
        <v>20</v>
      </c>
      <c r="C198" s="120">
        <v>2019</v>
      </c>
      <c r="D198" s="58" t="s">
        <v>781</v>
      </c>
      <c r="E198" s="59">
        <v>839.74</v>
      </c>
      <c r="F198" s="58">
        <v>1</v>
      </c>
      <c r="G198" s="59">
        <v>839.74</v>
      </c>
      <c r="H198" s="59">
        <v>419.87</v>
      </c>
      <c r="I198" s="58" t="s">
        <v>1421</v>
      </c>
      <c r="J198" s="108" t="s">
        <v>1063</v>
      </c>
      <c r="K198" s="9" t="s">
        <v>1578</v>
      </c>
      <c r="L198" s="9" t="s">
        <v>1578</v>
      </c>
      <c r="M198" s="9" t="s">
        <v>1578</v>
      </c>
      <c r="N198" s="9" t="s">
        <v>1578</v>
      </c>
      <c r="O198" s="9" t="s">
        <v>1578</v>
      </c>
      <c r="P198" s="60"/>
    </row>
    <row r="199" ht="28" hidden="1" spans="1:16">
      <c r="A199" s="118">
        <v>540425201812068</v>
      </c>
      <c r="B199" s="108" t="s">
        <v>20</v>
      </c>
      <c r="C199" s="120">
        <v>2019</v>
      </c>
      <c r="D199" s="58" t="s">
        <v>783</v>
      </c>
      <c r="E199" s="59">
        <v>791.20116</v>
      </c>
      <c r="F199" s="58">
        <v>1</v>
      </c>
      <c r="G199" s="59">
        <v>791.20116</v>
      </c>
      <c r="H199" s="59">
        <v>395.60058</v>
      </c>
      <c r="I199" s="58" t="s">
        <v>1421</v>
      </c>
      <c r="J199" s="108" t="s">
        <v>1063</v>
      </c>
      <c r="K199" s="9" t="s">
        <v>1579</v>
      </c>
      <c r="L199" s="9" t="s">
        <v>1579</v>
      </c>
      <c r="M199" s="9" t="s">
        <v>1579</v>
      </c>
      <c r="N199" s="9" t="s">
        <v>1579</v>
      </c>
      <c r="O199" s="9" t="s">
        <v>1579</v>
      </c>
      <c r="P199" s="60"/>
    </row>
    <row r="200" hidden="1" spans="1:16">
      <c r="A200" s="118">
        <v>540425201812069</v>
      </c>
      <c r="B200" s="108" t="s">
        <v>20</v>
      </c>
      <c r="C200" s="120">
        <v>2019</v>
      </c>
      <c r="D200" s="58" t="s">
        <v>784</v>
      </c>
      <c r="E200" s="59">
        <v>624.029439</v>
      </c>
      <c r="F200" s="58">
        <v>1</v>
      </c>
      <c r="G200" s="59">
        <v>624.029439</v>
      </c>
      <c r="H200" s="59">
        <v>312.0147195</v>
      </c>
      <c r="I200" s="58" t="s">
        <v>1421</v>
      </c>
      <c r="J200" s="108" t="s">
        <v>1063</v>
      </c>
      <c r="K200" s="9" t="s">
        <v>1580</v>
      </c>
      <c r="L200" s="9" t="s">
        <v>1580</v>
      </c>
      <c r="M200" s="9" t="s">
        <v>1580</v>
      </c>
      <c r="N200" s="9" t="s">
        <v>1580</v>
      </c>
      <c r="O200" s="9" t="s">
        <v>1580</v>
      </c>
      <c r="P200" s="60"/>
    </row>
    <row r="201" hidden="1" spans="1:16">
      <c r="A201" s="118">
        <v>540425201812070</v>
      </c>
      <c r="B201" s="108" t="s">
        <v>20</v>
      </c>
      <c r="C201" s="120">
        <v>2019</v>
      </c>
      <c r="D201" s="58" t="s">
        <v>785</v>
      </c>
      <c r="E201" s="59">
        <v>301.64</v>
      </c>
      <c r="F201" s="58">
        <v>1</v>
      </c>
      <c r="G201" s="59">
        <v>301.64</v>
      </c>
      <c r="H201" s="59">
        <v>150.82</v>
      </c>
      <c r="I201" s="58" t="s">
        <v>1421</v>
      </c>
      <c r="J201" s="108" t="s">
        <v>1063</v>
      </c>
      <c r="K201" s="9" t="s">
        <v>1569</v>
      </c>
      <c r="L201" s="9" t="s">
        <v>1569</v>
      </c>
      <c r="M201" s="9" t="s">
        <v>1569</v>
      </c>
      <c r="N201" s="9" t="s">
        <v>1569</v>
      </c>
      <c r="O201" s="9" t="s">
        <v>1569</v>
      </c>
      <c r="P201" s="60"/>
    </row>
    <row r="202" hidden="1" spans="1:16">
      <c r="A202" s="118">
        <v>540425201812071</v>
      </c>
      <c r="B202" s="108" t="s">
        <v>20</v>
      </c>
      <c r="C202" s="120">
        <v>2022</v>
      </c>
      <c r="D202" s="58" t="s">
        <v>786</v>
      </c>
      <c r="E202" s="59">
        <v>400</v>
      </c>
      <c r="F202" s="58">
        <v>1</v>
      </c>
      <c r="G202" s="59">
        <v>400</v>
      </c>
      <c r="H202" s="59">
        <v>200</v>
      </c>
      <c r="I202" s="58" t="s">
        <v>1421</v>
      </c>
      <c r="J202" s="108" t="s">
        <v>1063</v>
      </c>
      <c r="K202" s="9" t="s">
        <v>1571</v>
      </c>
      <c r="L202" s="9" t="s">
        <v>1571</v>
      </c>
      <c r="M202" s="9" t="s">
        <v>1571</v>
      </c>
      <c r="N202" s="9" t="s">
        <v>1571</v>
      </c>
      <c r="O202" s="9" t="s">
        <v>1571</v>
      </c>
      <c r="P202" s="60"/>
    </row>
    <row r="203" s="77" customFormat="1" hidden="1" spans="1:16">
      <c r="A203" s="126">
        <v>540425201307022</v>
      </c>
      <c r="B203" s="127" t="s">
        <v>20</v>
      </c>
      <c r="C203" s="127">
        <v>2013</v>
      </c>
      <c r="D203" s="128" t="s">
        <v>795</v>
      </c>
      <c r="E203" s="129">
        <v>46</v>
      </c>
      <c r="F203" s="130">
        <v>1</v>
      </c>
      <c r="G203" s="131">
        <v>46</v>
      </c>
      <c r="H203" s="132">
        <f>'附件5-2'!L381/10000</f>
        <v>18.96409</v>
      </c>
      <c r="I203" s="130" t="s">
        <v>1421</v>
      </c>
      <c r="J203" s="127" t="s">
        <v>1063</v>
      </c>
      <c r="K203" s="133" t="s">
        <v>1581</v>
      </c>
      <c r="L203" s="133" t="s">
        <v>1581</v>
      </c>
      <c r="M203" s="133" t="s">
        <v>1581</v>
      </c>
      <c r="N203" s="133" t="s">
        <v>1581</v>
      </c>
      <c r="O203" s="133" t="s">
        <v>1581</v>
      </c>
      <c r="P203" s="130"/>
    </row>
    <row r="204" s="78" customFormat="1" hidden="1" spans="1:16">
      <c r="A204" s="126">
        <v>540425201319053</v>
      </c>
      <c r="B204" s="134" t="s">
        <v>20</v>
      </c>
      <c r="C204" s="134">
        <v>2013</v>
      </c>
      <c r="D204" s="128" t="s">
        <v>1582</v>
      </c>
      <c r="E204" s="129">
        <v>40</v>
      </c>
      <c r="F204" s="135">
        <v>1</v>
      </c>
      <c r="G204" s="131">
        <v>40</v>
      </c>
      <c r="H204" s="136">
        <v>0</v>
      </c>
      <c r="I204" s="130" t="s">
        <v>1421</v>
      </c>
      <c r="J204" s="127" t="s">
        <v>1063</v>
      </c>
      <c r="K204" s="137" t="s">
        <v>1554</v>
      </c>
      <c r="L204" s="137" t="s">
        <v>1554</v>
      </c>
      <c r="M204" s="137" t="s">
        <v>1554</v>
      </c>
      <c r="N204" s="137" t="s">
        <v>1554</v>
      </c>
      <c r="O204" s="137" t="s">
        <v>1554</v>
      </c>
      <c r="P204" s="135"/>
    </row>
    <row r="205" s="79" customFormat="1" hidden="1" spans="1:16">
      <c r="A205" s="138">
        <v>540425201319054</v>
      </c>
      <c r="B205" s="139" t="s">
        <v>20</v>
      </c>
      <c r="C205" s="139">
        <v>2013</v>
      </c>
      <c r="D205" s="140" t="s">
        <v>803</v>
      </c>
      <c r="E205" s="141">
        <v>45</v>
      </c>
      <c r="F205" s="142">
        <v>1</v>
      </c>
      <c r="G205" s="143">
        <v>45</v>
      </c>
      <c r="H205" s="144">
        <v>0</v>
      </c>
      <c r="I205" s="145" t="s">
        <v>1421</v>
      </c>
      <c r="J205" s="146" t="s">
        <v>1063</v>
      </c>
      <c r="K205" s="147" t="s">
        <v>1583</v>
      </c>
      <c r="L205" s="147" t="s">
        <v>1583</v>
      </c>
      <c r="M205" s="147" t="s">
        <v>1583</v>
      </c>
      <c r="N205" s="147" t="s">
        <v>1583</v>
      </c>
      <c r="O205" s="147" t="s">
        <v>1583</v>
      </c>
      <c r="P205" s="142"/>
    </row>
    <row r="206" s="79" customFormat="1" hidden="1" spans="1:16">
      <c r="A206" s="138">
        <v>540425201419014</v>
      </c>
      <c r="B206" s="139" t="s">
        <v>20</v>
      </c>
      <c r="C206" s="139">
        <v>2014</v>
      </c>
      <c r="D206" s="140" t="s">
        <v>1584</v>
      </c>
      <c r="E206" s="141">
        <v>50</v>
      </c>
      <c r="F206" s="142">
        <v>1</v>
      </c>
      <c r="G206" s="143">
        <v>50</v>
      </c>
      <c r="H206" s="144">
        <v>0</v>
      </c>
      <c r="I206" s="145" t="s">
        <v>1421</v>
      </c>
      <c r="J206" s="146" t="s">
        <v>1063</v>
      </c>
      <c r="K206" s="147" t="s">
        <v>1585</v>
      </c>
      <c r="L206" s="147" t="s">
        <v>1585</v>
      </c>
      <c r="M206" s="147" t="s">
        <v>1585</v>
      </c>
      <c r="N206" s="147" t="s">
        <v>1585</v>
      </c>
      <c r="O206" s="147" t="s">
        <v>1585</v>
      </c>
      <c r="P206" s="142"/>
    </row>
    <row r="207" s="79" customFormat="1" hidden="1" spans="1:16">
      <c r="A207" s="138">
        <v>540425201419055</v>
      </c>
      <c r="B207" s="139" t="s">
        <v>20</v>
      </c>
      <c r="C207" s="139">
        <v>2014</v>
      </c>
      <c r="D207" s="140" t="s">
        <v>812</v>
      </c>
      <c r="E207" s="141">
        <v>60</v>
      </c>
      <c r="F207" s="142">
        <v>1</v>
      </c>
      <c r="G207" s="143">
        <v>60</v>
      </c>
      <c r="H207" s="144">
        <v>0</v>
      </c>
      <c r="I207" s="145" t="s">
        <v>1421</v>
      </c>
      <c r="J207" s="146" t="s">
        <v>1063</v>
      </c>
      <c r="K207" s="147" t="s">
        <v>1453</v>
      </c>
      <c r="L207" s="147" t="s">
        <v>1453</v>
      </c>
      <c r="M207" s="147" t="s">
        <v>1453</v>
      </c>
      <c r="N207" s="147" t="s">
        <v>1453</v>
      </c>
      <c r="O207" s="147" t="s">
        <v>1453</v>
      </c>
      <c r="P207" s="142"/>
    </row>
    <row r="208" s="79" customFormat="1" hidden="1" spans="1:16">
      <c r="A208" s="138">
        <v>540425201307023</v>
      </c>
      <c r="B208" s="139" t="s">
        <v>20</v>
      </c>
      <c r="C208" s="139">
        <v>2013</v>
      </c>
      <c r="D208" s="140" t="s">
        <v>1586</v>
      </c>
      <c r="E208" s="148">
        <v>60</v>
      </c>
      <c r="F208" s="142">
        <v>1</v>
      </c>
      <c r="G208" s="149">
        <v>60</v>
      </c>
      <c r="H208" s="144">
        <v>0</v>
      </c>
      <c r="I208" s="145" t="s">
        <v>1421</v>
      </c>
      <c r="J208" s="146" t="s">
        <v>1063</v>
      </c>
      <c r="K208" s="147" t="s">
        <v>1449</v>
      </c>
      <c r="L208" s="147" t="s">
        <v>1449</v>
      </c>
      <c r="M208" s="147" t="s">
        <v>1449</v>
      </c>
      <c r="N208" s="147" t="s">
        <v>1449</v>
      </c>
      <c r="O208" s="147" t="s">
        <v>1449</v>
      </c>
      <c r="P208" s="142"/>
    </row>
  </sheetData>
  <sheetProtection formatCells="0" formatColumns="0" formatRows="0" insertRows="0" insertColumns="0" insertHyperlinks="0" deleteColumns="0" deleteRows="0" sort="0" autoFilter="0" pivotTables="0"/>
  <autoFilter xmlns:etc="http://www.wps.cn/officeDocument/2017/etCustomData" ref="A5:P208" etc:filterBottomFollowUsedRange="0">
    <filterColumn colId="3">
      <customFilters>
        <customFilter operator="equal" val="察隅县古玉乡巴依、玉和村犏牛养殖项目"/>
      </customFilters>
    </filterColumn>
    <extLst/>
  </autoFilter>
  <mergeCells count="17">
    <mergeCell ref="A1:P1"/>
    <mergeCell ref="J2:O2"/>
    <mergeCell ref="J3:K3"/>
    <mergeCell ref="A2:A4"/>
    <mergeCell ref="B2:B4"/>
    <mergeCell ref="C2:C4"/>
    <mergeCell ref="D2:D4"/>
    <mergeCell ref="E2:E4"/>
    <mergeCell ref="F2:F4"/>
    <mergeCell ref="G2:G4"/>
    <mergeCell ref="H2:H4"/>
    <mergeCell ref="I2:I4"/>
    <mergeCell ref="L3:L4"/>
    <mergeCell ref="M3:M4"/>
    <mergeCell ref="N3:N4"/>
    <mergeCell ref="O3:O4"/>
    <mergeCell ref="P2:P4"/>
  </mergeCells>
  <pageMargins left="0.751388888888889" right="0.751388888888889" top="1" bottom="1" header="0.5" footer="0.5"/>
  <pageSetup paperSize="9" scale="31" fitToHeight="0"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5">
    <pageSetUpPr fitToPage="1"/>
  </sheetPr>
  <dimension ref="A1:V399"/>
  <sheetViews>
    <sheetView workbookViewId="0">
      <pane ySplit="3" topLeftCell="A4" activePane="bottomLeft" state="frozen"/>
      <selection/>
      <selection pane="bottomLeft" activeCell="M3" sqref="M3"/>
    </sheetView>
  </sheetViews>
  <sheetFormatPr defaultColWidth="9.02727272727273" defaultRowHeight="14"/>
  <cols>
    <col min="1" max="1" width="16.6272727272727" style="30" customWidth="1"/>
    <col min="2" max="2" width="9.02727272727273" style="31"/>
    <col min="3" max="3" width="25.6090909090909" customWidth="1"/>
    <col min="4" max="4" width="32.8727272727273" customWidth="1"/>
    <col min="5" max="5" width="12.3727272727273" customWidth="1"/>
    <col min="6" max="6" width="21.2545454545455" customWidth="1"/>
    <col min="7" max="7" width="8.23636363636364" customWidth="1"/>
    <col min="8" max="8" width="15.3090909090909" style="32" customWidth="1"/>
    <col min="9" max="9" width="9.5" customWidth="1"/>
    <col min="10" max="10" width="16.1" customWidth="1"/>
    <col min="11" max="11" width="23.1181818181818" customWidth="1"/>
    <col min="12" max="12" width="16.5545454545455" customWidth="1"/>
    <col min="13" max="13" width="14.9909090909091" customWidth="1"/>
    <col min="14" max="14" width="22.5" customWidth="1"/>
    <col min="15" max="15" width="12.3636363636364" customWidth="1"/>
    <col min="16" max="17" width="10.3" customWidth="1"/>
    <col min="18" max="18" width="15.3090909090909" customWidth="1"/>
    <col min="19" max="19" width="16.7" customWidth="1"/>
    <col min="20" max="20" width="9.62727272727273" customWidth="1"/>
    <col min="21" max="21" width="42.0909090909091" customWidth="1"/>
    <col min="22" max="22" width="23.3363636363636" customWidth="1"/>
  </cols>
  <sheetData>
    <row r="1" ht="78" customHeight="1" spans="1:22">
      <c r="A1" s="33" t="s">
        <v>1587</v>
      </c>
      <c r="B1" s="34"/>
      <c r="C1" s="34"/>
      <c r="D1" s="34"/>
      <c r="E1" s="34"/>
      <c r="F1" s="34"/>
      <c r="G1" s="34"/>
      <c r="H1" s="34"/>
      <c r="I1" s="34"/>
      <c r="J1" s="34"/>
      <c r="K1" s="34"/>
      <c r="L1" s="34"/>
      <c r="M1" s="34"/>
      <c r="N1" s="34"/>
      <c r="O1" s="34"/>
      <c r="P1" s="34"/>
      <c r="Q1" s="34"/>
      <c r="R1" s="34"/>
      <c r="S1" s="34"/>
      <c r="T1" s="34"/>
      <c r="U1" s="34"/>
      <c r="V1" s="34"/>
    </row>
    <row r="2" ht="87.5" spans="1:22">
      <c r="A2" s="18" t="s">
        <v>1588</v>
      </c>
      <c r="B2" s="3" t="s">
        <v>1400</v>
      </c>
      <c r="C2" s="3" t="s">
        <v>1589</v>
      </c>
      <c r="D2" s="3" t="s">
        <v>1590</v>
      </c>
      <c r="E2" s="3" t="s">
        <v>1591</v>
      </c>
      <c r="F2" s="3" t="s">
        <v>1592</v>
      </c>
      <c r="G2" s="3" t="s">
        <v>1593</v>
      </c>
      <c r="H2" s="3" t="s">
        <v>1594</v>
      </c>
      <c r="I2" s="3" t="s">
        <v>1402</v>
      </c>
      <c r="J2" s="3" t="s">
        <v>1595</v>
      </c>
      <c r="K2" s="3" t="s">
        <v>1596</v>
      </c>
      <c r="L2" s="3" t="s">
        <v>1597</v>
      </c>
      <c r="M2" s="3" t="s">
        <v>1598</v>
      </c>
      <c r="N2" s="3" t="s">
        <v>1599</v>
      </c>
      <c r="O2" s="3" t="s">
        <v>1600</v>
      </c>
      <c r="P2" s="3" t="s">
        <v>1601</v>
      </c>
      <c r="Q2" s="3" t="s">
        <v>1602</v>
      </c>
      <c r="R2" s="3" t="s">
        <v>1603</v>
      </c>
      <c r="S2" s="3" t="s">
        <v>1603</v>
      </c>
      <c r="T2" s="3" t="s">
        <v>1604</v>
      </c>
      <c r="U2" s="3" t="s">
        <v>1605</v>
      </c>
      <c r="V2" s="3" t="s">
        <v>893</v>
      </c>
    </row>
    <row r="3" ht="112" spans="1:22">
      <c r="A3" s="35" t="s">
        <v>1413</v>
      </c>
      <c r="B3" s="7"/>
      <c r="C3" s="7" t="s">
        <v>1606</v>
      </c>
      <c r="D3" s="7" t="s">
        <v>1607</v>
      </c>
      <c r="E3" s="7" t="s">
        <v>1608</v>
      </c>
      <c r="F3" s="7"/>
      <c r="G3" s="7"/>
      <c r="H3" s="7" t="s">
        <v>1609</v>
      </c>
      <c r="I3" s="7"/>
      <c r="J3" s="7" t="s">
        <v>1610</v>
      </c>
      <c r="K3" s="7" t="s">
        <v>1611</v>
      </c>
      <c r="L3" s="7" t="s">
        <v>1612</v>
      </c>
      <c r="M3" s="36" t="s">
        <v>1613</v>
      </c>
      <c r="N3" s="7" t="s">
        <v>1614</v>
      </c>
      <c r="O3" s="7" t="s">
        <v>1615</v>
      </c>
      <c r="P3" s="7" t="s">
        <v>1616</v>
      </c>
      <c r="Q3" s="6" t="s">
        <v>1617</v>
      </c>
      <c r="R3" s="7" t="s">
        <v>1618</v>
      </c>
      <c r="S3" s="7" t="s">
        <v>1619</v>
      </c>
      <c r="T3" s="36" t="s">
        <v>1620</v>
      </c>
      <c r="U3" s="7"/>
      <c r="V3" s="7"/>
    </row>
    <row r="4" hidden="1" spans="1:22">
      <c r="A4" s="37">
        <v>540425201916012</v>
      </c>
      <c r="B4" s="38" t="s">
        <v>20</v>
      </c>
      <c r="C4" s="484" t="s">
        <v>1621</v>
      </c>
      <c r="D4" s="40" t="s">
        <v>1622</v>
      </c>
      <c r="E4" s="41">
        <v>43466</v>
      </c>
      <c r="F4" s="40" t="s">
        <v>1623</v>
      </c>
      <c r="G4" s="40" t="s">
        <v>1624</v>
      </c>
      <c r="H4" s="42">
        <v>20</v>
      </c>
      <c r="I4" s="43">
        <v>1</v>
      </c>
      <c r="J4" s="44">
        <v>1855000</v>
      </c>
      <c r="K4" s="44">
        <v>556500</v>
      </c>
      <c r="L4" s="44">
        <v>1298500</v>
      </c>
      <c r="M4" s="45" t="s">
        <v>1625</v>
      </c>
      <c r="N4" s="45" t="s">
        <v>1626</v>
      </c>
      <c r="O4" s="45" t="s">
        <v>1421</v>
      </c>
      <c r="P4" s="45" t="s">
        <v>1627</v>
      </c>
      <c r="Q4" s="46" t="s">
        <v>1628</v>
      </c>
      <c r="R4" s="46" t="s">
        <v>1629</v>
      </c>
      <c r="S4" s="45" t="s">
        <v>1630</v>
      </c>
      <c r="T4" s="45" t="s">
        <v>1627</v>
      </c>
      <c r="U4" s="46" t="s">
        <v>1422</v>
      </c>
      <c r="V4" s="47"/>
    </row>
    <row r="5" hidden="1" spans="1:22">
      <c r="A5" s="37">
        <v>540425201916012</v>
      </c>
      <c r="B5" s="38" t="s">
        <v>20</v>
      </c>
      <c r="C5" s="484" t="s">
        <v>1631</v>
      </c>
      <c r="D5" s="40" t="s">
        <v>1622</v>
      </c>
      <c r="E5" s="41">
        <v>43466</v>
      </c>
      <c r="F5" s="40" t="s">
        <v>1623</v>
      </c>
      <c r="G5" s="40" t="s">
        <v>1624</v>
      </c>
      <c r="H5" s="42">
        <v>20</v>
      </c>
      <c r="I5" s="43">
        <v>1</v>
      </c>
      <c r="J5" s="44">
        <v>1855000</v>
      </c>
      <c r="K5" s="44">
        <v>556500</v>
      </c>
      <c r="L5" s="44">
        <v>1298500</v>
      </c>
      <c r="M5" s="45" t="s">
        <v>1625</v>
      </c>
      <c r="N5" s="46" t="s">
        <v>1626</v>
      </c>
      <c r="O5" s="45" t="s">
        <v>1421</v>
      </c>
      <c r="P5" s="45" t="s">
        <v>1627</v>
      </c>
      <c r="Q5" s="46" t="s">
        <v>1628</v>
      </c>
      <c r="R5" s="46" t="s">
        <v>1629</v>
      </c>
      <c r="S5" s="46" t="s">
        <v>1630</v>
      </c>
      <c r="T5" s="45" t="s">
        <v>1627</v>
      </c>
      <c r="U5" s="46" t="s">
        <v>1422</v>
      </c>
      <c r="V5" s="47"/>
    </row>
    <row r="6" hidden="1" spans="1:22">
      <c r="A6" s="37">
        <v>540425201916012</v>
      </c>
      <c r="B6" s="38" t="s">
        <v>20</v>
      </c>
      <c r="C6" s="484" t="s">
        <v>1632</v>
      </c>
      <c r="D6" s="40" t="s">
        <v>1622</v>
      </c>
      <c r="E6" s="41">
        <v>43466</v>
      </c>
      <c r="F6" s="40" t="s">
        <v>1623</v>
      </c>
      <c r="G6" s="40" t="s">
        <v>1624</v>
      </c>
      <c r="H6" s="42">
        <v>20</v>
      </c>
      <c r="I6" s="43">
        <v>1</v>
      </c>
      <c r="J6" s="44">
        <v>1855000</v>
      </c>
      <c r="K6" s="44">
        <v>556500</v>
      </c>
      <c r="L6" s="44">
        <v>1298500</v>
      </c>
      <c r="M6" s="45" t="s">
        <v>1625</v>
      </c>
      <c r="N6" s="46" t="s">
        <v>1626</v>
      </c>
      <c r="O6" s="45" t="s">
        <v>1421</v>
      </c>
      <c r="P6" s="45" t="s">
        <v>1627</v>
      </c>
      <c r="Q6" s="46" t="s">
        <v>1628</v>
      </c>
      <c r="R6" s="46" t="s">
        <v>1629</v>
      </c>
      <c r="S6" s="46" t="s">
        <v>1630</v>
      </c>
      <c r="T6" s="45" t="s">
        <v>1627</v>
      </c>
      <c r="U6" s="46" t="s">
        <v>1422</v>
      </c>
      <c r="V6" s="47"/>
    </row>
    <row r="7" hidden="1" spans="1:22">
      <c r="A7" s="37">
        <v>540425201916012</v>
      </c>
      <c r="B7" s="38" t="s">
        <v>20</v>
      </c>
      <c r="C7" s="484" t="s">
        <v>1633</v>
      </c>
      <c r="D7" s="40" t="s">
        <v>1622</v>
      </c>
      <c r="E7" s="41">
        <v>43466</v>
      </c>
      <c r="F7" s="40" t="s">
        <v>1623</v>
      </c>
      <c r="G7" s="40" t="s">
        <v>1624</v>
      </c>
      <c r="H7" s="42">
        <v>20</v>
      </c>
      <c r="I7" s="43">
        <v>1</v>
      </c>
      <c r="J7" s="44">
        <v>1855000</v>
      </c>
      <c r="K7" s="44">
        <v>556500</v>
      </c>
      <c r="L7" s="44">
        <v>1298500</v>
      </c>
      <c r="M7" s="45" t="s">
        <v>1625</v>
      </c>
      <c r="N7" s="46" t="s">
        <v>1626</v>
      </c>
      <c r="O7" s="45" t="s">
        <v>1421</v>
      </c>
      <c r="P7" s="45" t="s">
        <v>1627</v>
      </c>
      <c r="Q7" s="46" t="s">
        <v>1628</v>
      </c>
      <c r="R7" s="46" t="s">
        <v>1629</v>
      </c>
      <c r="S7" s="46" t="s">
        <v>1630</v>
      </c>
      <c r="T7" s="45" t="s">
        <v>1627</v>
      </c>
      <c r="U7" s="46" t="s">
        <v>1422</v>
      </c>
      <c r="V7" s="47"/>
    </row>
    <row r="8" hidden="1" spans="1:22">
      <c r="A8" s="37">
        <v>540425202116013</v>
      </c>
      <c r="B8" s="38" t="s">
        <v>20</v>
      </c>
      <c r="C8" s="484" t="s">
        <v>1634</v>
      </c>
      <c r="D8" s="40" t="s">
        <v>1635</v>
      </c>
      <c r="E8" s="41">
        <v>44562</v>
      </c>
      <c r="F8" s="40" t="s">
        <v>1623</v>
      </c>
      <c r="G8" s="40" t="s">
        <v>1624</v>
      </c>
      <c r="H8" s="42">
        <v>20</v>
      </c>
      <c r="I8" s="43">
        <v>1</v>
      </c>
      <c r="J8" s="44">
        <v>1238530.17333333</v>
      </c>
      <c r="K8" s="44">
        <v>185779.53</v>
      </c>
      <c r="L8" s="44">
        <v>1052750.64333333</v>
      </c>
      <c r="M8" s="45" t="s">
        <v>1625</v>
      </c>
      <c r="N8" s="46" t="s">
        <v>1626</v>
      </c>
      <c r="O8" s="45" t="s">
        <v>1421</v>
      </c>
      <c r="P8" s="45" t="s">
        <v>1627</v>
      </c>
      <c r="Q8" s="46" t="s">
        <v>1628</v>
      </c>
      <c r="R8" s="46" t="s">
        <v>1636</v>
      </c>
      <c r="S8" s="46" t="s">
        <v>1630</v>
      </c>
      <c r="T8" s="45" t="s">
        <v>1627</v>
      </c>
      <c r="U8" s="46" t="s">
        <v>1422</v>
      </c>
      <c r="V8" s="47"/>
    </row>
    <row r="9" hidden="1" spans="1:22">
      <c r="A9" s="37">
        <v>540425202116013</v>
      </c>
      <c r="B9" s="38" t="s">
        <v>20</v>
      </c>
      <c r="C9" s="484" t="s">
        <v>1637</v>
      </c>
      <c r="D9" s="40" t="s">
        <v>1635</v>
      </c>
      <c r="E9" s="41">
        <v>44562</v>
      </c>
      <c r="F9" s="40" t="s">
        <v>1623</v>
      </c>
      <c r="G9" s="40" t="s">
        <v>1624</v>
      </c>
      <c r="H9" s="42">
        <v>20</v>
      </c>
      <c r="I9" s="43">
        <v>1</v>
      </c>
      <c r="J9" s="44">
        <v>1238530.17333333</v>
      </c>
      <c r="K9" s="44">
        <v>185779.53</v>
      </c>
      <c r="L9" s="44">
        <v>1052750.64333333</v>
      </c>
      <c r="M9" s="45" t="s">
        <v>1625</v>
      </c>
      <c r="N9" s="46" t="s">
        <v>1626</v>
      </c>
      <c r="O9" s="45" t="s">
        <v>1421</v>
      </c>
      <c r="P9" s="45" t="s">
        <v>1627</v>
      </c>
      <c r="Q9" s="46" t="s">
        <v>1628</v>
      </c>
      <c r="R9" s="46" t="s">
        <v>1636</v>
      </c>
      <c r="S9" s="46" t="s">
        <v>1630</v>
      </c>
      <c r="T9" s="45" t="s">
        <v>1627</v>
      </c>
      <c r="U9" s="46" t="s">
        <v>1422</v>
      </c>
      <c r="V9" s="47"/>
    </row>
    <row r="10" hidden="1" spans="1:22">
      <c r="A10" s="37">
        <v>540425202116013</v>
      </c>
      <c r="B10" s="38" t="s">
        <v>20</v>
      </c>
      <c r="C10" s="484" t="s">
        <v>1638</v>
      </c>
      <c r="D10" s="40" t="s">
        <v>1635</v>
      </c>
      <c r="E10" s="41">
        <v>44562</v>
      </c>
      <c r="F10" s="40" t="s">
        <v>1623</v>
      </c>
      <c r="G10" s="40" t="s">
        <v>1624</v>
      </c>
      <c r="H10" s="42">
        <v>20</v>
      </c>
      <c r="I10" s="43">
        <v>1</v>
      </c>
      <c r="J10" s="44">
        <v>1238530.17333333</v>
      </c>
      <c r="K10" s="44">
        <v>185779.53</v>
      </c>
      <c r="L10" s="44">
        <v>1052750.64333333</v>
      </c>
      <c r="M10" s="45" t="s">
        <v>1625</v>
      </c>
      <c r="N10" s="46" t="s">
        <v>1626</v>
      </c>
      <c r="O10" s="45" t="s">
        <v>1421</v>
      </c>
      <c r="P10" s="45" t="s">
        <v>1627</v>
      </c>
      <c r="Q10" s="46" t="s">
        <v>1628</v>
      </c>
      <c r="R10" s="46" t="s">
        <v>1636</v>
      </c>
      <c r="S10" s="46" t="s">
        <v>1630</v>
      </c>
      <c r="T10" s="45" t="s">
        <v>1627</v>
      </c>
      <c r="U10" s="46" t="s">
        <v>1422</v>
      </c>
      <c r="V10" s="47"/>
    </row>
    <row r="11" hidden="1" spans="1:22">
      <c r="A11" s="37">
        <v>540425201908006</v>
      </c>
      <c r="B11" s="38" t="s">
        <v>20</v>
      </c>
      <c r="C11" s="484" t="s">
        <v>1639</v>
      </c>
      <c r="D11" s="40" t="s">
        <v>1640</v>
      </c>
      <c r="E11" s="41">
        <v>43647</v>
      </c>
      <c r="F11" s="40" t="s">
        <v>1641</v>
      </c>
      <c r="G11" s="40" t="s">
        <v>1642</v>
      </c>
      <c r="H11" s="42">
        <v>20</v>
      </c>
      <c r="I11" s="43">
        <v>1</v>
      </c>
      <c r="J11" s="44">
        <v>228983.33</v>
      </c>
      <c r="K11" s="44">
        <v>62970.42</v>
      </c>
      <c r="L11" s="44">
        <v>166012.91</v>
      </c>
      <c r="M11" s="45" t="s">
        <v>1625</v>
      </c>
      <c r="N11" s="46" t="s">
        <v>1643</v>
      </c>
      <c r="O11" s="45" t="s">
        <v>1421</v>
      </c>
      <c r="P11" s="45" t="s">
        <v>1627</v>
      </c>
      <c r="Q11" s="46" t="s">
        <v>1628</v>
      </c>
      <c r="R11" s="46" t="s">
        <v>1636</v>
      </c>
      <c r="S11" s="46" t="s">
        <v>1630</v>
      </c>
      <c r="T11" s="45" t="s">
        <v>1627</v>
      </c>
      <c r="U11" s="46" t="s">
        <v>1424</v>
      </c>
      <c r="V11" s="47"/>
    </row>
    <row r="12" hidden="1" spans="1:22">
      <c r="A12" s="37">
        <v>540425201908006</v>
      </c>
      <c r="B12" s="38" t="s">
        <v>20</v>
      </c>
      <c r="C12" s="484" t="s">
        <v>1644</v>
      </c>
      <c r="D12" s="40" t="s">
        <v>1640</v>
      </c>
      <c r="E12" s="41">
        <v>43647</v>
      </c>
      <c r="F12" s="40" t="s">
        <v>1641</v>
      </c>
      <c r="G12" s="40" t="s">
        <v>1642</v>
      </c>
      <c r="H12" s="42">
        <v>20</v>
      </c>
      <c r="I12" s="43">
        <v>1</v>
      </c>
      <c r="J12" s="44">
        <v>228983.33</v>
      </c>
      <c r="K12" s="44">
        <v>62970.42</v>
      </c>
      <c r="L12" s="44">
        <v>166012.91</v>
      </c>
      <c r="M12" s="45" t="s">
        <v>1625</v>
      </c>
      <c r="N12" s="46" t="s">
        <v>1643</v>
      </c>
      <c r="O12" s="45" t="s">
        <v>1421</v>
      </c>
      <c r="P12" s="45" t="s">
        <v>1627</v>
      </c>
      <c r="Q12" s="46" t="s">
        <v>1628</v>
      </c>
      <c r="R12" s="46" t="s">
        <v>1636</v>
      </c>
      <c r="S12" s="46" t="s">
        <v>1630</v>
      </c>
      <c r="T12" s="45" t="s">
        <v>1627</v>
      </c>
      <c r="U12" s="46" t="s">
        <v>1424</v>
      </c>
      <c r="V12" s="47"/>
    </row>
    <row r="13" hidden="1" spans="1:22">
      <c r="A13" s="37">
        <v>540425201908006</v>
      </c>
      <c r="B13" s="38" t="s">
        <v>20</v>
      </c>
      <c r="C13" s="484" t="s">
        <v>1645</v>
      </c>
      <c r="D13" s="40" t="s">
        <v>1646</v>
      </c>
      <c r="E13" s="41">
        <v>43647</v>
      </c>
      <c r="F13" s="40" t="s">
        <v>1641</v>
      </c>
      <c r="G13" s="40" t="s">
        <v>1647</v>
      </c>
      <c r="H13" s="42">
        <v>20</v>
      </c>
      <c r="I13" s="43">
        <v>1</v>
      </c>
      <c r="J13" s="48">
        <v>132533.34</v>
      </c>
      <c r="K13" s="44">
        <v>36446.67</v>
      </c>
      <c r="L13" s="44">
        <v>96086.67</v>
      </c>
      <c r="M13" s="45" t="s">
        <v>1625</v>
      </c>
      <c r="N13" s="46" t="s">
        <v>1643</v>
      </c>
      <c r="O13" s="45" t="s">
        <v>1421</v>
      </c>
      <c r="P13" s="45" t="s">
        <v>1627</v>
      </c>
      <c r="Q13" s="45" t="s">
        <v>1628</v>
      </c>
      <c r="R13" s="46" t="s">
        <v>1636</v>
      </c>
      <c r="S13" s="46" t="s">
        <v>1630</v>
      </c>
      <c r="T13" s="45" t="s">
        <v>1627</v>
      </c>
      <c r="U13" s="46" t="s">
        <v>1424</v>
      </c>
      <c r="V13" s="47"/>
    </row>
    <row r="14" hidden="1" spans="1:22">
      <c r="A14" s="37">
        <v>540425202019028</v>
      </c>
      <c r="B14" s="38" t="s">
        <v>20</v>
      </c>
      <c r="C14" s="484" t="s">
        <v>1648</v>
      </c>
      <c r="D14" s="40" t="s">
        <v>1649</v>
      </c>
      <c r="E14" s="41">
        <v>43831</v>
      </c>
      <c r="F14" s="40" t="s">
        <v>1650</v>
      </c>
      <c r="G14" s="40" t="s">
        <v>1651</v>
      </c>
      <c r="H14" s="42">
        <v>10</v>
      </c>
      <c r="I14" s="43">
        <v>1</v>
      </c>
      <c r="J14" s="48">
        <v>349000</v>
      </c>
      <c r="K14" s="44">
        <v>174500</v>
      </c>
      <c r="L14" s="44">
        <v>174500</v>
      </c>
      <c r="M14" s="45" t="s">
        <v>1625</v>
      </c>
      <c r="N14" s="46" t="s">
        <v>1652</v>
      </c>
      <c r="O14" s="45" t="s">
        <v>1426</v>
      </c>
      <c r="P14" s="45" t="s">
        <v>1627</v>
      </c>
      <c r="Q14" s="45" t="s">
        <v>1628</v>
      </c>
      <c r="R14" s="46" t="s">
        <v>1636</v>
      </c>
      <c r="S14" s="46" t="s">
        <v>1630</v>
      </c>
      <c r="T14" s="45" t="s">
        <v>1627</v>
      </c>
      <c r="U14" s="46" t="s">
        <v>1147</v>
      </c>
      <c r="V14" s="47"/>
    </row>
    <row r="15" hidden="1" spans="1:22">
      <c r="A15" s="37">
        <v>540425202019028</v>
      </c>
      <c r="B15" s="38" t="s">
        <v>20</v>
      </c>
      <c r="C15" s="484" t="s">
        <v>1653</v>
      </c>
      <c r="D15" s="40" t="s">
        <v>1654</v>
      </c>
      <c r="E15" s="41">
        <v>43831</v>
      </c>
      <c r="F15" s="40" t="s">
        <v>1650</v>
      </c>
      <c r="G15" s="40" t="s">
        <v>1651</v>
      </c>
      <c r="H15" s="42">
        <v>10</v>
      </c>
      <c r="I15" s="43">
        <v>1</v>
      </c>
      <c r="J15" s="48">
        <v>88000</v>
      </c>
      <c r="K15" s="44">
        <v>44000</v>
      </c>
      <c r="L15" s="44">
        <v>44000</v>
      </c>
      <c r="M15" s="45" t="s">
        <v>1625</v>
      </c>
      <c r="N15" s="46" t="s">
        <v>1652</v>
      </c>
      <c r="O15" s="45" t="s">
        <v>1426</v>
      </c>
      <c r="P15" s="45" t="s">
        <v>1627</v>
      </c>
      <c r="Q15" s="45" t="s">
        <v>1628</v>
      </c>
      <c r="R15" s="46" t="s">
        <v>1636</v>
      </c>
      <c r="S15" s="46" t="s">
        <v>1630</v>
      </c>
      <c r="T15" s="45" t="s">
        <v>1627</v>
      </c>
      <c r="U15" s="46" t="s">
        <v>1147</v>
      </c>
      <c r="V15" s="47"/>
    </row>
    <row r="16" hidden="1" spans="1:22">
      <c r="A16" s="37">
        <v>540425202019028</v>
      </c>
      <c r="B16" s="38" t="s">
        <v>20</v>
      </c>
      <c r="C16" s="484" t="s">
        <v>1655</v>
      </c>
      <c r="D16" s="40" t="s">
        <v>1656</v>
      </c>
      <c r="E16" s="41">
        <v>43831</v>
      </c>
      <c r="F16" s="40" t="s">
        <v>1650</v>
      </c>
      <c r="G16" s="40" t="s">
        <v>1651</v>
      </c>
      <c r="H16" s="42">
        <v>10</v>
      </c>
      <c r="I16" s="43">
        <v>1</v>
      </c>
      <c r="J16" s="48">
        <v>523000</v>
      </c>
      <c r="K16" s="44">
        <v>261500</v>
      </c>
      <c r="L16" s="44">
        <v>261500</v>
      </c>
      <c r="M16" s="45" t="s">
        <v>1625</v>
      </c>
      <c r="N16" s="46" t="s">
        <v>1652</v>
      </c>
      <c r="O16" s="45" t="s">
        <v>1426</v>
      </c>
      <c r="P16" s="45" t="s">
        <v>1627</v>
      </c>
      <c r="Q16" s="45" t="s">
        <v>1628</v>
      </c>
      <c r="R16" s="46" t="s">
        <v>1636</v>
      </c>
      <c r="S16" s="46" t="s">
        <v>1630</v>
      </c>
      <c r="T16" s="45" t="s">
        <v>1627</v>
      </c>
      <c r="U16" s="46" t="s">
        <v>1147</v>
      </c>
      <c r="V16" s="47"/>
    </row>
    <row r="17" hidden="1" spans="1:22">
      <c r="A17" s="37">
        <v>540425202019028</v>
      </c>
      <c r="B17" s="38" t="s">
        <v>20</v>
      </c>
      <c r="C17" s="484" t="s">
        <v>1657</v>
      </c>
      <c r="D17" s="40" t="s">
        <v>1658</v>
      </c>
      <c r="E17" s="41">
        <v>43831</v>
      </c>
      <c r="F17" s="40" t="s">
        <v>1650</v>
      </c>
      <c r="G17" s="40" t="s">
        <v>1651</v>
      </c>
      <c r="H17" s="42">
        <v>10</v>
      </c>
      <c r="I17" s="43">
        <v>1</v>
      </c>
      <c r="J17" s="48">
        <v>412000</v>
      </c>
      <c r="K17" s="44">
        <v>206000</v>
      </c>
      <c r="L17" s="44">
        <v>206000</v>
      </c>
      <c r="M17" s="45" t="s">
        <v>1625</v>
      </c>
      <c r="N17" s="46" t="s">
        <v>1652</v>
      </c>
      <c r="O17" s="45" t="s">
        <v>1426</v>
      </c>
      <c r="P17" s="45" t="s">
        <v>1627</v>
      </c>
      <c r="Q17" s="45" t="s">
        <v>1628</v>
      </c>
      <c r="R17" s="46" t="s">
        <v>1636</v>
      </c>
      <c r="S17" s="46" t="s">
        <v>1630</v>
      </c>
      <c r="T17" s="45" t="s">
        <v>1627</v>
      </c>
      <c r="U17" s="46" t="s">
        <v>1147</v>
      </c>
      <c r="V17" s="47"/>
    </row>
    <row r="18" hidden="1" spans="1:22">
      <c r="A18" s="37">
        <v>540425202019028</v>
      </c>
      <c r="B18" s="38" t="s">
        <v>20</v>
      </c>
      <c r="C18" s="484" t="s">
        <v>1659</v>
      </c>
      <c r="D18" s="40" t="s">
        <v>1660</v>
      </c>
      <c r="E18" s="41">
        <v>43831</v>
      </c>
      <c r="F18" s="40" t="s">
        <v>1650</v>
      </c>
      <c r="G18" s="40" t="s">
        <v>1651</v>
      </c>
      <c r="H18" s="42">
        <v>10</v>
      </c>
      <c r="I18" s="43">
        <v>1</v>
      </c>
      <c r="J18" s="48">
        <v>200000</v>
      </c>
      <c r="K18" s="44">
        <v>100000</v>
      </c>
      <c r="L18" s="44">
        <v>100000</v>
      </c>
      <c r="M18" s="45" t="s">
        <v>1625</v>
      </c>
      <c r="N18" s="46" t="s">
        <v>1652</v>
      </c>
      <c r="O18" s="45" t="s">
        <v>1426</v>
      </c>
      <c r="P18" s="45" t="s">
        <v>1627</v>
      </c>
      <c r="Q18" s="45" t="s">
        <v>1628</v>
      </c>
      <c r="R18" s="46" t="s">
        <v>1636</v>
      </c>
      <c r="S18" s="46" t="s">
        <v>1630</v>
      </c>
      <c r="T18" s="45" t="s">
        <v>1627</v>
      </c>
      <c r="U18" s="46" t="s">
        <v>1147</v>
      </c>
      <c r="V18" s="49"/>
    </row>
    <row r="19" hidden="1" spans="1:22">
      <c r="A19" s="37">
        <v>540425202019028</v>
      </c>
      <c r="B19" s="38" t="s">
        <v>20</v>
      </c>
      <c r="C19" s="484" t="s">
        <v>1661</v>
      </c>
      <c r="D19" s="40" t="s">
        <v>1662</v>
      </c>
      <c r="E19" s="41">
        <v>43831</v>
      </c>
      <c r="F19" s="40" t="s">
        <v>1650</v>
      </c>
      <c r="G19" s="40" t="s">
        <v>1651</v>
      </c>
      <c r="H19" s="42">
        <v>10</v>
      </c>
      <c r="I19" s="43">
        <v>1</v>
      </c>
      <c r="J19" s="48">
        <v>118000</v>
      </c>
      <c r="K19" s="44">
        <v>59000</v>
      </c>
      <c r="L19" s="44">
        <v>59000</v>
      </c>
      <c r="M19" s="45" t="s">
        <v>1625</v>
      </c>
      <c r="N19" s="46" t="s">
        <v>1652</v>
      </c>
      <c r="O19" s="45" t="s">
        <v>1426</v>
      </c>
      <c r="P19" s="45" t="s">
        <v>1627</v>
      </c>
      <c r="Q19" s="45" t="s">
        <v>1628</v>
      </c>
      <c r="R19" s="46" t="s">
        <v>1636</v>
      </c>
      <c r="S19" s="46" t="s">
        <v>1630</v>
      </c>
      <c r="T19" s="45" t="s">
        <v>1627</v>
      </c>
      <c r="U19" s="46" t="s">
        <v>1147</v>
      </c>
      <c r="V19" s="49"/>
    </row>
    <row r="20" hidden="1" spans="1:22">
      <c r="A20" s="37">
        <v>540425202019028</v>
      </c>
      <c r="B20" s="38" t="s">
        <v>20</v>
      </c>
      <c r="C20" s="484" t="s">
        <v>1663</v>
      </c>
      <c r="D20" s="40" t="s">
        <v>1664</v>
      </c>
      <c r="E20" s="41">
        <v>43831</v>
      </c>
      <c r="F20" s="40" t="s">
        <v>1650</v>
      </c>
      <c r="G20" s="40" t="s">
        <v>1651</v>
      </c>
      <c r="H20" s="42">
        <v>10</v>
      </c>
      <c r="I20" s="43">
        <v>1</v>
      </c>
      <c r="J20" s="48">
        <v>441000</v>
      </c>
      <c r="K20" s="44">
        <v>220500</v>
      </c>
      <c r="L20" s="44">
        <v>220500</v>
      </c>
      <c r="M20" s="45" t="s">
        <v>1625</v>
      </c>
      <c r="N20" s="46" t="s">
        <v>1652</v>
      </c>
      <c r="O20" s="45" t="s">
        <v>1426</v>
      </c>
      <c r="P20" s="45" t="s">
        <v>1627</v>
      </c>
      <c r="Q20" s="45" t="s">
        <v>1628</v>
      </c>
      <c r="R20" s="46" t="s">
        <v>1636</v>
      </c>
      <c r="S20" s="46" t="s">
        <v>1630</v>
      </c>
      <c r="T20" s="45" t="s">
        <v>1627</v>
      </c>
      <c r="U20" s="46" t="s">
        <v>1147</v>
      </c>
      <c r="V20" s="49"/>
    </row>
    <row r="21" hidden="1" spans="1:22">
      <c r="A21" s="37">
        <v>540425202019028</v>
      </c>
      <c r="B21" s="38" t="s">
        <v>20</v>
      </c>
      <c r="C21" s="484" t="s">
        <v>1665</v>
      </c>
      <c r="D21" s="40" t="s">
        <v>1666</v>
      </c>
      <c r="E21" s="41">
        <v>43831</v>
      </c>
      <c r="F21" s="40" t="s">
        <v>1650</v>
      </c>
      <c r="G21" s="40" t="s">
        <v>1651</v>
      </c>
      <c r="H21" s="42">
        <v>10</v>
      </c>
      <c r="I21" s="43">
        <v>1</v>
      </c>
      <c r="J21" s="48">
        <v>76000</v>
      </c>
      <c r="K21" s="44">
        <v>38000</v>
      </c>
      <c r="L21" s="44">
        <v>38000</v>
      </c>
      <c r="M21" s="45" t="s">
        <v>1625</v>
      </c>
      <c r="N21" s="46" t="s">
        <v>1652</v>
      </c>
      <c r="O21" s="45" t="s">
        <v>1426</v>
      </c>
      <c r="P21" s="45" t="s">
        <v>1627</v>
      </c>
      <c r="Q21" s="45" t="s">
        <v>1628</v>
      </c>
      <c r="R21" s="46" t="s">
        <v>1636</v>
      </c>
      <c r="S21" s="46" t="s">
        <v>1630</v>
      </c>
      <c r="T21" s="45" t="s">
        <v>1627</v>
      </c>
      <c r="U21" s="46" t="s">
        <v>1147</v>
      </c>
      <c r="V21" s="49"/>
    </row>
    <row r="22" hidden="1" spans="1:22">
      <c r="A22" s="37">
        <v>540425202019028</v>
      </c>
      <c r="B22" s="38" t="s">
        <v>20</v>
      </c>
      <c r="C22" s="484" t="s">
        <v>1667</v>
      </c>
      <c r="D22" s="40" t="s">
        <v>1668</v>
      </c>
      <c r="E22" s="41">
        <v>43831</v>
      </c>
      <c r="F22" s="40" t="s">
        <v>1650</v>
      </c>
      <c r="G22" s="40" t="s">
        <v>1651</v>
      </c>
      <c r="H22" s="42">
        <v>10</v>
      </c>
      <c r="I22" s="43">
        <v>1</v>
      </c>
      <c r="J22" s="48">
        <v>1583000</v>
      </c>
      <c r="K22" s="44">
        <v>791500</v>
      </c>
      <c r="L22" s="44">
        <v>791500</v>
      </c>
      <c r="M22" s="45" t="s">
        <v>1625</v>
      </c>
      <c r="N22" s="46" t="s">
        <v>1652</v>
      </c>
      <c r="O22" s="45" t="s">
        <v>1426</v>
      </c>
      <c r="P22" s="45" t="s">
        <v>1627</v>
      </c>
      <c r="Q22" s="45" t="s">
        <v>1628</v>
      </c>
      <c r="R22" s="46" t="s">
        <v>1636</v>
      </c>
      <c r="S22" s="46" t="s">
        <v>1630</v>
      </c>
      <c r="T22" s="45" t="s">
        <v>1627</v>
      </c>
      <c r="U22" s="46" t="s">
        <v>1147</v>
      </c>
      <c r="V22" s="49"/>
    </row>
    <row r="23" hidden="1" spans="1:22">
      <c r="A23" s="37">
        <v>540425201807008</v>
      </c>
      <c r="B23" s="38" t="s">
        <v>20</v>
      </c>
      <c r="C23" s="484" t="s">
        <v>1669</v>
      </c>
      <c r="D23" s="40" t="s">
        <v>1670</v>
      </c>
      <c r="E23" s="41">
        <v>43952</v>
      </c>
      <c r="F23" s="40" t="s">
        <v>1671</v>
      </c>
      <c r="G23" s="40" t="s">
        <v>1642</v>
      </c>
      <c r="H23" s="42">
        <v>20</v>
      </c>
      <c r="I23" s="43">
        <v>1</v>
      </c>
      <c r="J23" s="48">
        <v>500000</v>
      </c>
      <c r="K23" s="44">
        <v>116666.67</v>
      </c>
      <c r="L23" s="44">
        <v>383333.33</v>
      </c>
      <c r="M23" s="45" t="s">
        <v>1625</v>
      </c>
      <c r="N23" s="46" t="s">
        <v>1643</v>
      </c>
      <c r="O23" s="45" t="s">
        <v>1421</v>
      </c>
      <c r="P23" s="45" t="s">
        <v>1627</v>
      </c>
      <c r="Q23" s="45" t="s">
        <v>1628</v>
      </c>
      <c r="R23" s="45" t="s">
        <v>1629</v>
      </c>
      <c r="S23" s="46" t="s">
        <v>1630</v>
      </c>
      <c r="T23" s="45" t="s">
        <v>1627</v>
      </c>
      <c r="U23" s="46" t="s">
        <v>1427</v>
      </c>
      <c r="V23" s="49"/>
    </row>
    <row r="24" s="28" customFormat="1" hidden="1" spans="1:22">
      <c r="A24" s="37">
        <v>540425201807009</v>
      </c>
      <c r="B24" s="38" t="s">
        <v>20</v>
      </c>
      <c r="C24" s="484" t="s">
        <v>1672</v>
      </c>
      <c r="D24" s="40" t="s">
        <v>1670</v>
      </c>
      <c r="E24" s="41">
        <v>43466</v>
      </c>
      <c r="F24" s="40" t="s">
        <v>1673</v>
      </c>
      <c r="G24" s="40" t="s">
        <v>1642</v>
      </c>
      <c r="H24" s="42">
        <v>20</v>
      </c>
      <c r="I24" s="43">
        <v>1</v>
      </c>
      <c r="J24" s="48">
        <v>456800</v>
      </c>
      <c r="K24" s="44">
        <v>137040</v>
      </c>
      <c r="L24" s="44">
        <v>319760</v>
      </c>
      <c r="M24" s="45" t="s">
        <v>1625</v>
      </c>
      <c r="N24" s="46" t="s">
        <v>1643</v>
      </c>
      <c r="O24" s="45" t="s">
        <v>1421</v>
      </c>
      <c r="P24" s="45" t="s">
        <v>1627</v>
      </c>
      <c r="Q24" s="45" t="s">
        <v>1628</v>
      </c>
      <c r="R24" s="45" t="s">
        <v>1629</v>
      </c>
      <c r="S24" s="46" t="s">
        <v>1630</v>
      </c>
      <c r="T24" s="45" t="s">
        <v>1627</v>
      </c>
      <c r="U24" s="46" t="s">
        <v>1429</v>
      </c>
      <c r="V24" s="49"/>
    </row>
    <row r="25" s="28" customFormat="1" hidden="1" spans="1:22">
      <c r="A25" s="37">
        <v>540425201807009</v>
      </c>
      <c r="B25" s="38" t="s">
        <v>20</v>
      </c>
      <c r="C25" s="484" t="s">
        <v>1672</v>
      </c>
      <c r="D25" s="40" t="s">
        <v>1674</v>
      </c>
      <c r="E25" s="41">
        <v>43466</v>
      </c>
      <c r="F25" s="40" t="s">
        <v>1673</v>
      </c>
      <c r="G25" s="40" t="s">
        <v>1675</v>
      </c>
      <c r="H25" s="42">
        <v>5</v>
      </c>
      <c r="I25" s="43">
        <v>1</v>
      </c>
      <c r="J25" s="48">
        <v>7000</v>
      </c>
      <c r="K25" s="44">
        <v>7000</v>
      </c>
      <c r="L25" s="44">
        <v>0</v>
      </c>
      <c r="M25" s="45" t="s">
        <v>1625</v>
      </c>
      <c r="N25" s="46" t="s">
        <v>1652</v>
      </c>
      <c r="O25" s="45" t="s">
        <v>1421</v>
      </c>
      <c r="P25" s="45" t="s">
        <v>1627</v>
      </c>
      <c r="Q25" s="45" t="s">
        <v>1628</v>
      </c>
      <c r="R25" s="45" t="s">
        <v>1629</v>
      </c>
      <c r="S25" s="46" t="s">
        <v>1630</v>
      </c>
      <c r="T25" s="45" t="s">
        <v>1627</v>
      </c>
      <c r="U25" s="46" t="s">
        <v>1429</v>
      </c>
      <c r="V25" s="49"/>
    </row>
    <row r="26" s="28" customFormat="1" hidden="1" spans="1:22">
      <c r="A26" s="37">
        <v>540425201807009</v>
      </c>
      <c r="B26" s="38" t="s">
        <v>20</v>
      </c>
      <c r="C26" s="484" t="s">
        <v>1672</v>
      </c>
      <c r="D26" s="40" t="s">
        <v>1676</v>
      </c>
      <c r="E26" s="41">
        <v>43466</v>
      </c>
      <c r="F26" s="40" t="s">
        <v>1673</v>
      </c>
      <c r="G26" s="40" t="s">
        <v>1675</v>
      </c>
      <c r="H26" s="42">
        <v>5</v>
      </c>
      <c r="I26" s="43">
        <v>1</v>
      </c>
      <c r="J26" s="48">
        <v>65000</v>
      </c>
      <c r="K26" s="44">
        <v>65000</v>
      </c>
      <c r="L26" s="44">
        <v>0</v>
      </c>
      <c r="M26" s="45" t="s">
        <v>1625</v>
      </c>
      <c r="N26" s="46" t="s">
        <v>1652</v>
      </c>
      <c r="O26" s="45" t="s">
        <v>1421</v>
      </c>
      <c r="P26" s="45" t="s">
        <v>1627</v>
      </c>
      <c r="Q26" s="45" t="s">
        <v>1628</v>
      </c>
      <c r="R26" s="45" t="s">
        <v>1629</v>
      </c>
      <c r="S26" s="46" t="s">
        <v>1630</v>
      </c>
      <c r="T26" s="45" t="s">
        <v>1627</v>
      </c>
      <c r="U26" s="46" t="s">
        <v>1429</v>
      </c>
      <c r="V26" s="49"/>
    </row>
    <row r="27" hidden="1" spans="1:22">
      <c r="A27" s="37">
        <v>540425201908007</v>
      </c>
      <c r="B27" s="38" t="s">
        <v>20</v>
      </c>
      <c r="C27" s="484" t="s">
        <v>1677</v>
      </c>
      <c r="D27" s="40" t="s">
        <v>1640</v>
      </c>
      <c r="E27" s="41">
        <v>43709</v>
      </c>
      <c r="F27" s="40" t="s">
        <v>1671</v>
      </c>
      <c r="G27" s="40" t="s">
        <v>1642</v>
      </c>
      <c r="H27" s="42">
        <v>20</v>
      </c>
      <c r="I27" s="43">
        <v>1</v>
      </c>
      <c r="J27" s="48">
        <v>273400</v>
      </c>
      <c r="K27" s="44">
        <v>72906.67</v>
      </c>
      <c r="L27" s="44">
        <v>200493.33</v>
      </c>
      <c r="M27" s="45" t="s">
        <v>1625</v>
      </c>
      <c r="N27" s="46" t="s">
        <v>1643</v>
      </c>
      <c r="O27" s="45" t="s">
        <v>1421</v>
      </c>
      <c r="P27" s="45" t="s">
        <v>1627</v>
      </c>
      <c r="Q27" s="45" t="s">
        <v>1628</v>
      </c>
      <c r="R27" s="45" t="s">
        <v>1629</v>
      </c>
      <c r="S27" s="46" t="s">
        <v>1630</v>
      </c>
      <c r="T27" s="45" t="s">
        <v>1636</v>
      </c>
      <c r="U27" s="46" t="s">
        <v>1427</v>
      </c>
      <c r="V27" s="49"/>
    </row>
    <row r="28" hidden="1" spans="1:22">
      <c r="A28" s="37">
        <v>540425201908007</v>
      </c>
      <c r="B28" s="38" t="s">
        <v>20</v>
      </c>
      <c r="C28" s="484" t="s">
        <v>1678</v>
      </c>
      <c r="D28" s="40" t="s">
        <v>1679</v>
      </c>
      <c r="E28" s="41">
        <v>43709</v>
      </c>
      <c r="F28" s="40" t="s">
        <v>1671</v>
      </c>
      <c r="G28" s="40" t="s">
        <v>1624</v>
      </c>
      <c r="H28" s="42">
        <v>5</v>
      </c>
      <c r="I28" s="43">
        <v>1</v>
      </c>
      <c r="J28" s="48">
        <v>400</v>
      </c>
      <c r="K28" s="44">
        <v>400</v>
      </c>
      <c r="L28" s="44">
        <v>0</v>
      </c>
      <c r="M28" s="45" t="s">
        <v>1625</v>
      </c>
      <c r="N28" s="46" t="s">
        <v>1652</v>
      </c>
      <c r="O28" s="45" t="s">
        <v>1421</v>
      </c>
      <c r="P28" s="45" t="s">
        <v>1627</v>
      </c>
      <c r="Q28" s="45" t="s">
        <v>1628</v>
      </c>
      <c r="R28" s="45" t="s">
        <v>1629</v>
      </c>
      <c r="S28" s="46" t="s">
        <v>1630</v>
      </c>
      <c r="T28" s="45" t="s">
        <v>1636</v>
      </c>
      <c r="U28" s="46" t="s">
        <v>1427</v>
      </c>
      <c r="V28" s="49"/>
    </row>
    <row r="29" hidden="1" spans="1:22">
      <c r="A29" s="37">
        <v>540425201908007</v>
      </c>
      <c r="B29" s="38" t="s">
        <v>20</v>
      </c>
      <c r="C29" s="484" t="s">
        <v>1680</v>
      </c>
      <c r="D29" s="40" t="s">
        <v>1679</v>
      </c>
      <c r="E29" s="41">
        <v>43709</v>
      </c>
      <c r="F29" s="40" t="s">
        <v>1671</v>
      </c>
      <c r="G29" s="40" t="s">
        <v>1624</v>
      </c>
      <c r="H29" s="42">
        <v>5</v>
      </c>
      <c r="I29" s="43">
        <v>1</v>
      </c>
      <c r="J29" s="48">
        <v>400</v>
      </c>
      <c r="K29" s="44">
        <v>400</v>
      </c>
      <c r="L29" s="44">
        <v>0</v>
      </c>
      <c r="M29" s="45" t="s">
        <v>1625</v>
      </c>
      <c r="N29" s="46" t="s">
        <v>1652</v>
      </c>
      <c r="O29" s="45" t="s">
        <v>1421</v>
      </c>
      <c r="P29" s="45" t="s">
        <v>1627</v>
      </c>
      <c r="Q29" s="45" t="s">
        <v>1628</v>
      </c>
      <c r="R29" s="45" t="s">
        <v>1629</v>
      </c>
      <c r="S29" s="46" t="s">
        <v>1630</v>
      </c>
      <c r="T29" s="45" t="s">
        <v>1636</v>
      </c>
      <c r="U29" s="46" t="s">
        <v>1427</v>
      </c>
      <c r="V29" s="49"/>
    </row>
    <row r="30" hidden="1" spans="1:22">
      <c r="A30" s="37">
        <v>540425201908007</v>
      </c>
      <c r="B30" s="38" t="s">
        <v>20</v>
      </c>
      <c r="C30" s="484" t="s">
        <v>1681</v>
      </c>
      <c r="D30" s="40" t="s">
        <v>1679</v>
      </c>
      <c r="E30" s="41">
        <v>43709</v>
      </c>
      <c r="F30" s="40" t="s">
        <v>1671</v>
      </c>
      <c r="G30" s="40" t="s">
        <v>1624</v>
      </c>
      <c r="H30" s="42">
        <v>5</v>
      </c>
      <c r="I30" s="43">
        <v>1</v>
      </c>
      <c r="J30" s="48">
        <v>400</v>
      </c>
      <c r="K30" s="44">
        <v>400</v>
      </c>
      <c r="L30" s="44">
        <v>0</v>
      </c>
      <c r="M30" s="45" t="s">
        <v>1625</v>
      </c>
      <c r="N30" s="46" t="s">
        <v>1652</v>
      </c>
      <c r="O30" s="45" t="s">
        <v>1421</v>
      </c>
      <c r="P30" s="45" t="s">
        <v>1627</v>
      </c>
      <c r="Q30" s="45" t="s">
        <v>1628</v>
      </c>
      <c r="R30" s="45" t="s">
        <v>1629</v>
      </c>
      <c r="S30" s="46" t="s">
        <v>1630</v>
      </c>
      <c r="T30" s="45" t="s">
        <v>1636</v>
      </c>
      <c r="U30" s="46" t="s">
        <v>1427</v>
      </c>
      <c r="V30" s="49"/>
    </row>
    <row r="31" hidden="1" spans="1:22">
      <c r="A31" s="37">
        <v>540425201908007</v>
      </c>
      <c r="B31" s="38" t="s">
        <v>20</v>
      </c>
      <c r="C31" s="484" t="s">
        <v>1682</v>
      </c>
      <c r="D31" s="40" t="s">
        <v>1683</v>
      </c>
      <c r="E31" s="41">
        <v>43709</v>
      </c>
      <c r="F31" s="40" t="s">
        <v>1671</v>
      </c>
      <c r="G31" s="40" t="s">
        <v>1684</v>
      </c>
      <c r="H31" s="42">
        <v>3</v>
      </c>
      <c r="I31" s="43">
        <v>200</v>
      </c>
      <c r="J31" s="48">
        <v>7000</v>
      </c>
      <c r="K31" s="44">
        <v>7000</v>
      </c>
      <c r="L31" s="44">
        <v>0</v>
      </c>
      <c r="M31" s="45" t="s">
        <v>1685</v>
      </c>
      <c r="N31" s="46" t="s">
        <v>1686</v>
      </c>
      <c r="O31" s="45" t="s">
        <v>1421</v>
      </c>
      <c r="P31" s="45" t="s">
        <v>1687</v>
      </c>
      <c r="Q31" s="45" t="s">
        <v>1688</v>
      </c>
      <c r="R31" s="45" t="s">
        <v>1689</v>
      </c>
      <c r="S31" s="46" t="s">
        <v>1630</v>
      </c>
      <c r="T31" s="45" t="s">
        <v>1636</v>
      </c>
      <c r="U31" s="46" t="s">
        <v>1427</v>
      </c>
      <c r="V31" s="49"/>
    </row>
    <row r="32" hidden="1" spans="1:22">
      <c r="A32" s="37">
        <v>540425201908007</v>
      </c>
      <c r="B32" s="38" t="s">
        <v>20</v>
      </c>
      <c r="C32" s="484" t="s">
        <v>1690</v>
      </c>
      <c r="D32" s="40" t="s">
        <v>1691</v>
      </c>
      <c r="E32" s="41">
        <v>43709</v>
      </c>
      <c r="F32" s="40" t="s">
        <v>1671</v>
      </c>
      <c r="G32" s="40" t="s">
        <v>1684</v>
      </c>
      <c r="H32" s="42">
        <v>3</v>
      </c>
      <c r="I32" s="43">
        <v>92</v>
      </c>
      <c r="J32" s="48">
        <v>18400</v>
      </c>
      <c r="K32" s="44">
        <v>18400</v>
      </c>
      <c r="L32" s="44">
        <v>0</v>
      </c>
      <c r="M32" s="45" t="s">
        <v>1685</v>
      </c>
      <c r="N32" s="46" t="s">
        <v>1686</v>
      </c>
      <c r="O32" s="45" t="s">
        <v>1421</v>
      </c>
      <c r="P32" s="45" t="s">
        <v>1687</v>
      </c>
      <c r="Q32" s="45" t="s">
        <v>1688</v>
      </c>
      <c r="R32" s="45" t="s">
        <v>1689</v>
      </c>
      <c r="S32" s="46" t="s">
        <v>1630</v>
      </c>
      <c r="T32" s="45" t="s">
        <v>1636</v>
      </c>
      <c r="U32" s="46" t="s">
        <v>1427</v>
      </c>
      <c r="V32" s="49"/>
    </row>
    <row r="33" hidden="1" spans="1:22">
      <c r="A33" s="37">
        <v>540425202117014</v>
      </c>
      <c r="B33" s="38" t="s">
        <v>20</v>
      </c>
      <c r="C33" s="484" t="s">
        <v>1692</v>
      </c>
      <c r="D33" s="40" t="s">
        <v>1693</v>
      </c>
      <c r="E33" s="41">
        <v>44866</v>
      </c>
      <c r="F33" s="40" t="s">
        <v>1623</v>
      </c>
      <c r="G33" s="40" t="s">
        <v>1642</v>
      </c>
      <c r="H33" s="42">
        <v>20</v>
      </c>
      <c r="I33" s="43">
        <v>1</v>
      </c>
      <c r="J33" s="48">
        <v>2421735.9</v>
      </c>
      <c r="K33" s="44">
        <v>262354.72</v>
      </c>
      <c r="L33" s="44">
        <v>2159381.18</v>
      </c>
      <c r="M33" s="45" t="s">
        <v>1625</v>
      </c>
      <c r="N33" s="46" t="s">
        <v>1643</v>
      </c>
      <c r="O33" s="45" t="s">
        <v>1421</v>
      </c>
      <c r="P33" s="45" t="s">
        <v>1627</v>
      </c>
      <c r="Q33" s="45" t="s">
        <v>1628</v>
      </c>
      <c r="R33" s="45" t="s">
        <v>1629</v>
      </c>
      <c r="S33" s="46" t="s">
        <v>1630</v>
      </c>
      <c r="T33" s="45" t="s">
        <v>1627</v>
      </c>
      <c r="U33" s="46" t="s">
        <v>1422</v>
      </c>
      <c r="V33" s="49"/>
    </row>
    <row r="34" hidden="1" spans="1:22">
      <c r="A34" s="37">
        <v>540425201805001</v>
      </c>
      <c r="B34" s="38" t="s">
        <v>20</v>
      </c>
      <c r="C34" s="484" t="s">
        <v>1694</v>
      </c>
      <c r="D34" s="40" t="s">
        <v>1695</v>
      </c>
      <c r="E34" s="41">
        <v>43678</v>
      </c>
      <c r="F34" s="40" t="s">
        <v>1696</v>
      </c>
      <c r="G34" s="40" t="s">
        <v>1642</v>
      </c>
      <c r="H34" s="42">
        <v>20</v>
      </c>
      <c r="I34" s="43">
        <v>1</v>
      </c>
      <c r="J34" s="48">
        <v>500000</v>
      </c>
      <c r="K34" s="44">
        <v>135416.67</v>
      </c>
      <c r="L34" s="44">
        <v>364583.33</v>
      </c>
      <c r="M34" s="45" t="s">
        <v>1625</v>
      </c>
      <c r="N34" s="46" t="s">
        <v>1643</v>
      </c>
      <c r="O34" s="45" t="s">
        <v>1421</v>
      </c>
      <c r="P34" s="45" t="s">
        <v>1627</v>
      </c>
      <c r="Q34" s="45" t="s">
        <v>1628</v>
      </c>
      <c r="R34" s="45" t="s">
        <v>1629</v>
      </c>
      <c r="S34" s="46" t="s">
        <v>1630</v>
      </c>
      <c r="T34" s="45" t="s">
        <v>1627</v>
      </c>
      <c r="U34" s="46" t="s">
        <v>1438</v>
      </c>
      <c r="V34" s="49"/>
    </row>
    <row r="35" hidden="1" spans="1:22">
      <c r="A35" s="37">
        <v>540425201807010</v>
      </c>
      <c r="B35" s="38" t="s">
        <v>20</v>
      </c>
      <c r="C35" s="484" t="s">
        <v>1697</v>
      </c>
      <c r="D35" s="40" t="s">
        <v>1698</v>
      </c>
      <c r="E35" s="41">
        <v>43952</v>
      </c>
      <c r="F35" s="40" t="s">
        <v>1699</v>
      </c>
      <c r="G35" s="40" t="s">
        <v>1642</v>
      </c>
      <c r="H35" s="42">
        <v>20</v>
      </c>
      <c r="I35" s="43">
        <v>1</v>
      </c>
      <c r="J35" s="48">
        <v>191100</v>
      </c>
      <c r="K35" s="44">
        <v>44590</v>
      </c>
      <c r="L35" s="44">
        <v>146510</v>
      </c>
      <c r="M35" s="45" t="s">
        <v>1625</v>
      </c>
      <c r="N35" s="46" t="s">
        <v>1643</v>
      </c>
      <c r="O35" s="45" t="s">
        <v>1421</v>
      </c>
      <c r="P35" s="45" t="s">
        <v>1627</v>
      </c>
      <c r="Q35" s="45" t="s">
        <v>1628</v>
      </c>
      <c r="R35" s="45" t="s">
        <v>1629</v>
      </c>
      <c r="S35" s="46" t="s">
        <v>1630</v>
      </c>
      <c r="T35" s="45" t="s">
        <v>1700</v>
      </c>
      <c r="U35" s="46" t="s">
        <v>1447</v>
      </c>
      <c r="V35" s="49"/>
    </row>
    <row r="36" hidden="1" spans="1:22">
      <c r="A36" s="37">
        <v>540425201807010</v>
      </c>
      <c r="B36" s="38" t="s">
        <v>20</v>
      </c>
      <c r="C36" s="484" t="s">
        <v>1701</v>
      </c>
      <c r="D36" s="40" t="s">
        <v>1702</v>
      </c>
      <c r="E36" s="41">
        <v>43952</v>
      </c>
      <c r="F36" s="40" t="s">
        <v>1699</v>
      </c>
      <c r="G36" s="40" t="s">
        <v>1642</v>
      </c>
      <c r="H36" s="42">
        <v>20</v>
      </c>
      <c r="I36" s="43">
        <v>1</v>
      </c>
      <c r="J36" s="48">
        <v>70600</v>
      </c>
      <c r="K36" s="44">
        <v>16473.33</v>
      </c>
      <c r="L36" s="44">
        <v>54126.67</v>
      </c>
      <c r="M36" s="45" t="s">
        <v>1625</v>
      </c>
      <c r="N36" s="46" t="s">
        <v>1643</v>
      </c>
      <c r="O36" s="45" t="s">
        <v>1421</v>
      </c>
      <c r="P36" s="45" t="s">
        <v>1627</v>
      </c>
      <c r="Q36" s="45" t="s">
        <v>1628</v>
      </c>
      <c r="R36" s="45" t="s">
        <v>1629</v>
      </c>
      <c r="S36" s="46" t="s">
        <v>1630</v>
      </c>
      <c r="T36" s="45" t="s">
        <v>1700</v>
      </c>
      <c r="U36" s="46" t="s">
        <v>1447</v>
      </c>
      <c r="V36" s="49"/>
    </row>
    <row r="37" hidden="1" spans="1:22">
      <c r="A37" s="37">
        <v>540425201807010</v>
      </c>
      <c r="B37" s="38" t="s">
        <v>20</v>
      </c>
      <c r="C37" s="484" t="s">
        <v>1703</v>
      </c>
      <c r="D37" s="40" t="s">
        <v>1704</v>
      </c>
      <c r="E37" s="41">
        <v>43952</v>
      </c>
      <c r="F37" s="40" t="s">
        <v>1699</v>
      </c>
      <c r="G37" s="40" t="s">
        <v>1675</v>
      </c>
      <c r="H37" s="42">
        <v>5</v>
      </c>
      <c r="I37" s="43">
        <v>1</v>
      </c>
      <c r="J37" s="48">
        <v>10000</v>
      </c>
      <c r="K37" s="44">
        <v>9333.33</v>
      </c>
      <c r="L37" s="44">
        <v>666.67</v>
      </c>
      <c r="M37" s="45" t="s">
        <v>1625</v>
      </c>
      <c r="N37" s="46" t="s">
        <v>1652</v>
      </c>
      <c r="O37" s="45" t="s">
        <v>1421</v>
      </c>
      <c r="P37" s="45" t="s">
        <v>1705</v>
      </c>
      <c r="Q37" s="45" t="s">
        <v>1688</v>
      </c>
      <c r="R37" s="45" t="s">
        <v>1687</v>
      </c>
      <c r="S37" s="46" t="s">
        <v>1630</v>
      </c>
      <c r="T37" s="45" t="s">
        <v>1636</v>
      </c>
      <c r="U37" s="46" t="s">
        <v>1447</v>
      </c>
      <c r="V37" s="49"/>
    </row>
    <row r="38" hidden="1" spans="1:22">
      <c r="A38" s="37">
        <v>540425201807010</v>
      </c>
      <c r="B38" s="38" t="s">
        <v>20</v>
      </c>
      <c r="C38" s="484" t="s">
        <v>1706</v>
      </c>
      <c r="D38" s="40" t="s">
        <v>1707</v>
      </c>
      <c r="E38" s="41">
        <v>43952</v>
      </c>
      <c r="F38" s="40" t="s">
        <v>1699</v>
      </c>
      <c r="G38" s="40" t="s">
        <v>1675</v>
      </c>
      <c r="H38" s="42">
        <v>5</v>
      </c>
      <c r="I38" s="43">
        <v>1</v>
      </c>
      <c r="J38" s="48">
        <v>7800</v>
      </c>
      <c r="K38" s="44">
        <v>7280</v>
      </c>
      <c r="L38" s="44">
        <v>520</v>
      </c>
      <c r="M38" s="45" t="s">
        <v>1625</v>
      </c>
      <c r="N38" s="46" t="s">
        <v>1652</v>
      </c>
      <c r="O38" s="45" t="s">
        <v>1421</v>
      </c>
      <c r="P38" s="45" t="s">
        <v>1705</v>
      </c>
      <c r="Q38" s="45" t="s">
        <v>1688</v>
      </c>
      <c r="R38" s="45" t="s">
        <v>1636</v>
      </c>
      <c r="S38" s="46" t="s">
        <v>1630</v>
      </c>
      <c r="T38" s="45" t="s">
        <v>1636</v>
      </c>
      <c r="U38" s="46" t="s">
        <v>1447</v>
      </c>
      <c r="V38" s="49"/>
    </row>
    <row r="39" hidden="1" spans="1:22">
      <c r="A39" s="37">
        <v>540425201807010</v>
      </c>
      <c r="B39" s="38" t="s">
        <v>20</v>
      </c>
      <c r="C39" s="484" t="s">
        <v>1708</v>
      </c>
      <c r="D39" s="40" t="s">
        <v>1709</v>
      </c>
      <c r="E39" s="41">
        <v>43952</v>
      </c>
      <c r="F39" s="40" t="s">
        <v>1699</v>
      </c>
      <c r="G39" s="40" t="s">
        <v>1684</v>
      </c>
      <c r="H39" s="42">
        <v>3</v>
      </c>
      <c r="I39" s="43">
        <v>63</v>
      </c>
      <c r="J39" s="48">
        <v>220500</v>
      </c>
      <c r="K39" s="44">
        <v>220500</v>
      </c>
      <c r="L39" s="44">
        <v>0</v>
      </c>
      <c r="M39" s="45" t="s">
        <v>1685</v>
      </c>
      <c r="N39" s="46" t="s">
        <v>1686</v>
      </c>
      <c r="O39" s="45" t="s">
        <v>1421</v>
      </c>
      <c r="P39" s="45" t="s">
        <v>1705</v>
      </c>
      <c r="Q39" s="45" t="s">
        <v>1688</v>
      </c>
      <c r="R39" s="45" t="s">
        <v>1689</v>
      </c>
      <c r="S39" s="46" t="s">
        <v>1630</v>
      </c>
      <c r="T39" s="45" t="s">
        <v>1636</v>
      </c>
      <c r="U39" s="46" t="s">
        <v>1447</v>
      </c>
      <c r="V39" s="49"/>
    </row>
    <row r="40" hidden="1" spans="1:22">
      <c r="A40" s="37">
        <v>540425201819017</v>
      </c>
      <c r="B40" s="38" t="s">
        <v>20</v>
      </c>
      <c r="C40" s="484" t="s">
        <v>1710</v>
      </c>
      <c r="D40" s="40" t="s">
        <v>1711</v>
      </c>
      <c r="E40" s="41">
        <v>43101</v>
      </c>
      <c r="F40" s="40" t="s">
        <v>1712</v>
      </c>
      <c r="G40" s="40" t="s">
        <v>1642</v>
      </c>
      <c r="H40" s="42">
        <v>20</v>
      </c>
      <c r="I40" s="43">
        <v>1</v>
      </c>
      <c r="J40" s="48">
        <v>300000</v>
      </c>
      <c r="K40" s="44">
        <v>105000</v>
      </c>
      <c r="L40" s="44">
        <v>195000</v>
      </c>
      <c r="M40" s="45" t="s">
        <v>1625</v>
      </c>
      <c r="N40" s="46" t="s">
        <v>1643</v>
      </c>
      <c r="O40" s="45" t="s">
        <v>1421</v>
      </c>
      <c r="P40" s="45" t="s">
        <v>1627</v>
      </c>
      <c r="Q40" s="45" t="s">
        <v>1628</v>
      </c>
      <c r="R40" s="45" t="s">
        <v>1629</v>
      </c>
      <c r="S40" s="46" t="s">
        <v>1630</v>
      </c>
      <c r="T40" s="45" t="s">
        <v>1700</v>
      </c>
      <c r="U40" s="46" t="s">
        <v>1442</v>
      </c>
      <c r="V40" s="49"/>
    </row>
    <row r="41" hidden="1" spans="1:22">
      <c r="A41" s="37">
        <v>540425201819018</v>
      </c>
      <c r="B41" s="38" t="s">
        <v>20</v>
      </c>
      <c r="C41" s="484" t="s">
        <v>1713</v>
      </c>
      <c r="D41" s="40" t="s">
        <v>1711</v>
      </c>
      <c r="E41" s="41">
        <v>43101</v>
      </c>
      <c r="F41" s="40" t="s">
        <v>1714</v>
      </c>
      <c r="G41" s="40" t="s">
        <v>1642</v>
      </c>
      <c r="H41" s="42">
        <v>20</v>
      </c>
      <c r="I41" s="43">
        <v>1</v>
      </c>
      <c r="J41" s="48">
        <v>370000</v>
      </c>
      <c r="K41" s="44">
        <v>129500</v>
      </c>
      <c r="L41" s="44">
        <v>240500</v>
      </c>
      <c r="M41" s="45" t="s">
        <v>1625</v>
      </c>
      <c r="N41" s="46" t="s">
        <v>1643</v>
      </c>
      <c r="O41" s="45" t="s">
        <v>1421</v>
      </c>
      <c r="P41" s="45" t="s">
        <v>1627</v>
      </c>
      <c r="Q41" s="45" t="s">
        <v>1688</v>
      </c>
      <c r="R41" s="45" t="s">
        <v>1636</v>
      </c>
      <c r="S41" s="46" t="s">
        <v>1630</v>
      </c>
      <c r="T41" s="45" t="s">
        <v>1636</v>
      </c>
      <c r="U41" s="46" t="s">
        <v>1436</v>
      </c>
      <c r="V41" s="49"/>
    </row>
    <row r="42" hidden="1" spans="1:22">
      <c r="A42" s="37">
        <v>540425201819018</v>
      </c>
      <c r="B42" s="38" t="s">
        <v>20</v>
      </c>
      <c r="C42" s="484" t="s">
        <v>1715</v>
      </c>
      <c r="D42" s="40" t="s">
        <v>1716</v>
      </c>
      <c r="E42" s="41">
        <v>43101</v>
      </c>
      <c r="F42" s="40" t="s">
        <v>1714</v>
      </c>
      <c r="G42" s="40" t="s">
        <v>1675</v>
      </c>
      <c r="H42" s="42">
        <v>5</v>
      </c>
      <c r="I42" s="43">
        <v>1</v>
      </c>
      <c r="J42" s="48">
        <v>10000</v>
      </c>
      <c r="K42" s="44">
        <v>10000</v>
      </c>
      <c r="L42" s="44">
        <v>0</v>
      </c>
      <c r="M42" s="45" t="s">
        <v>1625</v>
      </c>
      <c r="N42" s="46" t="s">
        <v>1652</v>
      </c>
      <c r="O42" s="45" t="s">
        <v>1421</v>
      </c>
      <c r="P42" s="45" t="s">
        <v>1627</v>
      </c>
      <c r="Q42" s="45" t="s">
        <v>1688</v>
      </c>
      <c r="R42" s="45" t="s">
        <v>1636</v>
      </c>
      <c r="S42" s="46" t="s">
        <v>1630</v>
      </c>
      <c r="T42" s="45" t="s">
        <v>1636</v>
      </c>
      <c r="U42" s="46" t="s">
        <v>1436</v>
      </c>
      <c r="V42" s="49"/>
    </row>
    <row r="43" hidden="1" spans="1:22">
      <c r="A43" s="37">
        <v>540425201819018</v>
      </c>
      <c r="B43" s="38" t="s">
        <v>20</v>
      </c>
      <c r="C43" s="484" t="s">
        <v>1717</v>
      </c>
      <c r="D43" s="40" t="s">
        <v>1718</v>
      </c>
      <c r="E43" s="41">
        <v>43101</v>
      </c>
      <c r="F43" s="40" t="s">
        <v>1714</v>
      </c>
      <c r="G43" s="40" t="s">
        <v>1675</v>
      </c>
      <c r="H43" s="42">
        <v>5</v>
      </c>
      <c r="I43" s="43">
        <v>1</v>
      </c>
      <c r="J43" s="48">
        <v>20000</v>
      </c>
      <c r="K43" s="44">
        <v>20000</v>
      </c>
      <c r="L43" s="44">
        <v>0</v>
      </c>
      <c r="M43" s="45" t="s">
        <v>1625</v>
      </c>
      <c r="N43" s="46" t="s">
        <v>1652</v>
      </c>
      <c r="O43" s="45" t="s">
        <v>1421</v>
      </c>
      <c r="P43" s="45" t="s">
        <v>1627</v>
      </c>
      <c r="Q43" s="45" t="s">
        <v>1688</v>
      </c>
      <c r="R43" s="45" t="s">
        <v>1636</v>
      </c>
      <c r="S43" s="46" t="s">
        <v>1630</v>
      </c>
      <c r="T43" s="45" t="s">
        <v>1636</v>
      </c>
      <c r="U43" s="46" t="s">
        <v>1436</v>
      </c>
      <c r="V43" s="49"/>
    </row>
    <row r="44" hidden="1" spans="1:22">
      <c r="A44" s="37">
        <v>540425201619038</v>
      </c>
      <c r="B44" s="38" t="s">
        <v>20</v>
      </c>
      <c r="C44" s="484" t="s">
        <v>1719</v>
      </c>
      <c r="D44" s="40" t="s">
        <v>1720</v>
      </c>
      <c r="E44" s="41">
        <v>42705</v>
      </c>
      <c r="F44" s="40" t="s">
        <v>1714</v>
      </c>
      <c r="G44" s="40" t="s">
        <v>1642</v>
      </c>
      <c r="H44" s="42">
        <v>20</v>
      </c>
      <c r="I44" s="43">
        <v>1</v>
      </c>
      <c r="J44" s="48">
        <v>300000</v>
      </c>
      <c r="K44" s="44">
        <v>121250</v>
      </c>
      <c r="L44" s="44">
        <v>178750</v>
      </c>
      <c r="M44" s="45" t="s">
        <v>1625</v>
      </c>
      <c r="N44" s="46" t="s">
        <v>1643</v>
      </c>
      <c r="O44" s="45" t="s">
        <v>1421</v>
      </c>
      <c r="P44" s="45" t="s">
        <v>1627</v>
      </c>
      <c r="Q44" s="45" t="s">
        <v>1688</v>
      </c>
      <c r="R44" s="45" t="s">
        <v>1636</v>
      </c>
      <c r="S44" s="46" t="s">
        <v>1630</v>
      </c>
      <c r="T44" s="45" t="s">
        <v>1636</v>
      </c>
      <c r="U44" s="46" t="s">
        <v>1436</v>
      </c>
      <c r="V44" s="49"/>
    </row>
    <row r="45" hidden="1" spans="1:22">
      <c r="A45" s="37">
        <v>540425201719011</v>
      </c>
      <c r="B45" s="38" t="s">
        <v>20</v>
      </c>
      <c r="C45" s="484" t="s">
        <v>1721</v>
      </c>
      <c r="D45" s="40" t="s">
        <v>1722</v>
      </c>
      <c r="E45" s="41">
        <v>43070</v>
      </c>
      <c r="F45" s="40" t="s">
        <v>1696</v>
      </c>
      <c r="G45" s="40" t="s">
        <v>1642</v>
      </c>
      <c r="H45" s="42">
        <v>20</v>
      </c>
      <c r="I45" s="43">
        <v>1</v>
      </c>
      <c r="J45" s="48">
        <v>340000</v>
      </c>
      <c r="K45" s="44">
        <v>120416.67</v>
      </c>
      <c r="L45" s="44">
        <v>219583.33</v>
      </c>
      <c r="M45" s="45" t="s">
        <v>1625</v>
      </c>
      <c r="N45" s="46" t="s">
        <v>1643</v>
      </c>
      <c r="O45" s="45" t="s">
        <v>1421</v>
      </c>
      <c r="P45" s="45" t="s">
        <v>1627</v>
      </c>
      <c r="Q45" s="45" t="s">
        <v>1688</v>
      </c>
      <c r="R45" s="45" t="s">
        <v>1636</v>
      </c>
      <c r="S45" s="46" t="s">
        <v>1630</v>
      </c>
      <c r="T45" s="45" t="s">
        <v>1636</v>
      </c>
      <c r="U45" s="46" t="s">
        <v>1438</v>
      </c>
      <c r="V45" s="49"/>
    </row>
    <row r="46" hidden="1" spans="1:22">
      <c r="A46" s="37">
        <v>540425201719011</v>
      </c>
      <c r="B46" s="38" t="s">
        <v>20</v>
      </c>
      <c r="C46" s="484" t="s">
        <v>1723</v>
      </c>
      <c r="D46" s="40" t="s">
        <v>1724</v>
      </c>
      <c r="E46" s="41">
        <v>43070</v>
      </c>
      <c r="F46" s="40" t="s">
        <v>1696</v>
      </c>
      <c r="G46" s="40" t="s">
        <v>1675</v>
      </c>
      <c r="H46" s="42">
        <v>5</v>
      </c>
      <c r="I46" s="43">
        <v>1</v>
      </c>
      <c r="J46" s="48">
        <v>20000</v>
      </c>
      <c r="K46" s="44">
        <v>20000</v>
      </c>
      <c r="L46" s="44">
        <v>0</v>
      </c>
      <c r="M46" s="45" t="s">
        <v>1625</v>
      </c>
      <c r="N46" s="46" t="s">
        <v>1652</v>
      </c>
      <c r="O46" s="45" t="s">
        <v>1421</v>
      </c>
      <c r="P46" s="45" t="s">
        <v>1627</v>
      </c>
      <c r="Q46" s="45" t="s">
        <v>1688</v>
      </c>
      <c r="R46" s="45" t="s">
        <v>1636</v>
      </c>
      <c r="S46" s="46" t="s">
        <v>1630</v>
      </c>
      <c r="T46" s="45" t="s">
        <v>1636</v>
      </c>
      <c r="U46" s="46" t="s">
        <v>1438</v>
      </c>
      <c r="V46" s="49"/>
    </row>
    <row r="47" hidden="1" spans="1:22">
      <c r="A47" s="37">
        <v>540425202204008</v>
      </c>
      <c r="B47" s="38" t="s">
        <v>20</v>
      </c>
      <c r="C47" s="484" t="s">
        <v>1725</v>
      </c>
      <c r="D47" s="40" t="s">
        <v>1722</v>
      </c>
      <c r="E47" s="41">
        <v>42705</v>
      </c>
      <c r="F47" s="40" t="s">
        <v>1726</v>
      </c>
      <c r="G47" s="40" t="s">
        <v>1642</v>
      </c>
      <c r="H47" s="42">
        <v>20</v>
      </c>
      <c r="I47" s="43">
        <v>1</v>
      </c>
      <c r="J47" s="48">
        <v>300000</v>
      </c>
      <c r="K47" s="44">
        <v>121250</v>
      </c>
      <c r="L47" s="44">
        <v>178750</v>
      </c>
      <c r="M47" s="45" t="s">
        <v>1625</v>
      </c>
      <c r="N47" s="46" t="s">
        <v>1643</v>
      </c>
      <c r="O47" s="45" t="s">
        <v>1421</v>
      </c>
      <c r="P47" s="45" t="s">
        <v>1627</v>
      </c>
      <c r="Q47" s="45" t="s">
        <v>1688</v>
      </c>
      <c r="R47" s="45" t="s">
        <v>1636</v>
      </c>
      <c r="S47" s="46" t="s">
        <v>1630</v>
      </c>
      <c r="T47" s="45" t="s">
        <v>1636</v>
      </c>
      <c r="U47" s="46" t="s">
        <v>1440</v>
      </c>
      <c r="V47" s="49"/>
    </row>
    <row r="48" hidden="1" spans="1:22">
      <c r="A48" s="37">
        <v>540425201517003</v>
      </c>
      <c r="B48" s="38" t="s">
        <v>20</v>
      </c>
      <c r="C48" s="484" t="s">
        <v>1727</v>
      </c>
      <c r="D48" s="40" t="s">
        <v>1728</v>
      </c>
      <c r="E48" s="41">
        <v>42339</v>
      </c>
      <c r="F48" s="40" t="s">
        <v>1729</v>
      </c>
      <c r="G48" s="40" t="s">
        <v>1642</v>
      </c>
      <c r="H48" s="42">
        <v>20</v>
      </c>
      <c r="I48" s="43">
        <v>1</v>
      </c>
      <c r="J48" s="48">
        <v>2000000</v>
      </c>
      <c r="K48" s="44">
        <v>908333.33</v>
      </c>
      <c r="L48" s="44">
        <v>1091666.67</v>
      </c>
      <c r="M48" s="45" t="s">
        <v>1625</v>
      </c>
      <c r="N48" s="46" t="s">
        <v>1643</v>
      </c>
      <c r="O48" s="45" t="s">
        <v>1421</v>
      </c>
      <c r="P48" s="45" t="s">
        <v>1627</v>
      </c>
      <c r="Q48" s="45" t="s">
        <v>1688</v>
      </c>
      <c r="R48" s="45" t="s">
        <v>1636</v>
      </c>
      <c r="S48" s="46" t="s">
        <v>1630</v>
      </c>
      <c r="T48" s="45" t="s">
        <v>1636</v>
      </c>
      <c r="U48" s="46" t="s">
        <v>1444</v>
      </c>
      <c r="V48" s="49"/>
    </row>
    <row r="49" hidden="1" spans="1:22">
      <c r="A49" s="37">
        <v>540425202117015</v>
      </c>
      <c r="B49" s="38" t="s">
        <v>20</v>
      </c>
      <c r="C49" s="484" t="s">
        <v>1730</v>
      </c>
      <c r="D49" s="40" t="s">
        <v>1731</v>
      </c>
      <c r="E49" s="41">
        <v>44531</v>
      </c>
      <c r="F49" s="40" t="s">
        <v>1729</v>
      </c>
      <c r="G49" s="40" t="s">
        <v>1642</v>
      </c>
      <c r="H49" s="42">
        <v>20</v>
      </c>
      <c r="I49" s="43">
        <v>1</v>
      </c>
      <c r="J49" s="48">
        <v>4000000</v>
      </c>
      <c r="K49" s="44">
        <v>616666.67</v>
      </c>
      <c r="L49" s="44">
        <v>3383333.33</v>
      </c>
      <c r="M49" s="45" t="s">
        <v>1625</v>
      </c>
      <c r="N49" s="46" t="s">
        <v>1643</v>
      </c>
      <c r="O49" s="45" t="s">
        <v>1421</v>
      </c>
      <c r="P49" s="45" t="s">
        <v>1627</v>
      </c>
      <c r="Q49" s="45" t="s">
        <v>1688</v>
      </c>
      <c r="R49" s="45" t="s">
        <v>1636</v>
      </c>
      <c r="S49" s="46" t="s">
        <v>1630</v>
      </c>
      <c r="T49" s="45" t="s">
        <v>1636</v>
      </c>
      <c r="U49" s="46" t="s">
        <v>1444</v>
      </c>
      <c r="V49" s="49"/>
    </row>
    <row r="50" hidden="1" spans="1:22">
      <c r="A50" s="37">
        <v>540425201808005</v>
      </c>
      <c r="B50" s="38" t="s">
        <v>20</v>
      </c>
      <c r="C50" s="484" t="s">
        <v>1732</v>
      </c>
      <c r="D50" s="40" t="s">
        <v>1640</v>
      </c>
      <c r="E50" s="41">
        <v>43678</v>
      </c>
      <c r="F50" s="40" t="s">
        <v>1712</v>
      </c>
      <c r="G50" s="40" t="s">
        <v>1642</v>
      </c>
      <c r="H50" s="42">
        <v>20</v>
      </c>
      <c r="I50" s="43">
        <v>1</v>
      </c>
      <c r="J50" s="48">
        <v>208500</v>
      </c>
      <c r="K50" s="44">
        <v>56468.75</v>
      </c>
      <c r="L50" s="44">
        <v>152031.25</v>
      </c>
      <c r="M50" s="45" t="s">
        <v>1625</v>
      </c>
      <c r="N50" s="46" t="s">
        <v>1643</v>
      </c>
      <c r="O50" s="45" t="s">
        <v>1421</v>
      </c>
      <c r="P50" s="45" t="s">
        <v>1627</v>
      </c>
      <c r="Q50" s="45" t="s">
        <v>1628</v>
      </c>
      <c r="R50" s="45" t="s">
        <v>1629</v>
      </c>
      <c r="S50" s="46" t="s">
        <v>1630</v>
      </c>
      <c r="T50" s="45" t="s">
        <v>1627</v>
      </c>
      <c r="U50" s="46" t="s">
        <v>1442</v>
      </c>
      <c r="V50" s="49"/>
    </row>
    <row r="51" hidden="1" spans="1:22">
      <c r="A51" s="37">
        <v>540425201808005</v>
      </c>
      <c r="B51" s="38" t="s">
        <v>20</v>
      </c>
      <c r="C51" s="484" t="s">
        <v>1733</v>
      </c>
      <c r="D51" s="40" t="s">
        <v>1734</v>
      </c>
      <c r="E51" s="41">
        <v>43678</v>
      </c>
      <c r="F51" s="40" t="s">
        <v>1712</v>
      </c>
      <c r="G51" s="40" t="s">
        <v>1642</v>
      </c>
      <c r="H51" s="42">
        <v>20</v>
      </c>
      <c r="I51" s="43">
        <v>1</v>
      </c>
      <c r="J51" s="48">
        <v>15575</v>
      </c>
      <c r="K51" s="44">
        <v>4218.23</v>
      </c>
      <c r="L51" s="44">
        <v>11356.77</v>
      </c>
      <c r="M51" s="45" t="s">
        <v>1625</v>
      </c>
      <c r="N51" s="46" t="s">
        <v>1643</v>
      </c>
      <c r="O51" s="45" t="s">
        <v>1421</v>
      </c>
      <c r="P51" s="45" t="s">
        <v>1627</v>
      </c>
      <c r="Q51" s="45" t="s">
        <v>1628</v>
      </c>
      <c r="R51" s="45" t="s">
        <v>1629</v>
      </c>
      <c r="S51" s="46" t="s">
        <v>1630</v>
      </c>
      <c r="T51" s="45" t="s">
        <v>1627</v>
      </c>
      <c r="U51" s="46" t="s">
        <v>1442</v>
      </c>
      <c r="V51" s="49"/>
    </row>
    <row r="52" hidden="1" spans="1:22">
      <c r="A52" s="37">
        <v>540425201808005</v>
      </c>
      <c r="B52" s="38" t="s">
        <v>20</v>
      </c>
      <c r="C52" s="484" t="s">
        <v>1735</v>
      </c>
      <c r="D52" s="40" t="s">
        <v>1736</v>
      </c>
      <c r="E52" s="41">
        <v>43678</v>
      </c>
      <c r="F52" s="40" t="s">
        <v>1712</v>
      </c>
      <c r="G52" s="40" t="s">
        <v>1642</v>
      </c>
      <c r="H52" s="42">
        <v>20</v>
      </c>
      <c r="I52" s="43">
        <v>1</v>
      </c>
      <c r="J52" s="48">
        <v>15575</v>
      </c>
      <c r="K52" s="44">
        <v>4218.23</v>
      </c>
      <c r="L52" s="44">
        <v>11356.77</v>
      </c>
      <c r="M52" s="45" t="s">
        <v>1625</v>
      </c>
      <c r="N52" s="46" t="s">
        <v>1643</v>
      </c>
      <c r="O52" s="45" t="s">
        <v>1421</v>
      </c>
      <c r="P52" s="45" t="s">
        <v>1627</v>
      </c>
      <c r="Q52" s="45" t="s">
        <v>1628</v>
      </c>
      <c r="R52" s="45" t="s">
        <v>1629</v>
      </c>
      <c r="S52" s="46" t="s">
        <v>1630</v>
      </c>
      <c r="T52" s="45" t="s">
        <v>1627</v>
      </c>
      <c r="U52" s="46" t="s">
        <v>1442</v>
      </c>
      <c r="V52" s="49"/>
    </row>
    <row r="53" hidden="1" spans="1:22">
      <c r="A53" s="37">
        <v>540425201808005</v>
      </c>
      <c r="B53" s="38" t="s">
        <v>20</v>
      </c>
      <c r="C53" s="484" t="s">
        <v>1737</v>
      </c>
      <c r="D53" s="40" t="s">
        <v>1738</v>
      </c>
      <c r="E53" s="41">
        <v>43678</v>
      </c>
      <c r="F53" s="40" t="s">
        <v>1712</v>
      </c>
      <c r="G53" s="40" t="s">
        <v>1642</v>
      </c>
      <c r="H53" s="42">
        <v>20</v>
      </c>
      <c r="I53" s="43">
        <v>1</v>
      </c>
      <c r="J53" s="48">
        <v>15575</v>
      </c>
      <c r="K53" s="44">
        <v>4218.23</v>
      </c>
      <c r="L53" s="44">
        <v>11356.77</v>
      </c>
      <c r="M53" s="45" t="s">
        <v>1625</v>
      </c>
      <c r="N53" s="46" t="s">
        <v>1643</v>
      </c>
      <c r="O53" s="45" t="s">
        <v>1421</v>
      </c>
      <c r="P53" s="45" t="s">
        <v>1627</v>
      </c>
      <c r="Q53" s="45" t="s">
        <v>1628</v>
      </c>
      <c r="R53" s="45" t="s">
        <v>1629</v>
      </c>
      <c r="S53" s="46" t="s">
        <v>1630</v>
      </c>
      <c r="T53" s="45" t="s">
        <v>1627</v>
      </c>
      <c r="U53" s="46" t="s">
        <v>1442</v>
      </c>
      <c r="V53" s="49"/>
    </row>
    <row r="54" hidden="1" spans="1:22">
      <c r="A54" s="37">
        <v>540425201808005</v>
      </c>
      <c r="B54" s="38" t="s">
        <v>20</v>
      </c>
      <c r="C54" s="484" t="s">
        <v>1739</v>
      </c>
      <c r="D54" s="40" t="s">
        <v>1740</v>
      </c>
      <c r="E54" s="41">
        <v>43678</v>
      </c>
      <c r="F54" s="40" t="s">
        <v>1712</v>
      </c>
      <c r="G54" s="40" t="s">
        <v>1642</v>
      </c>
      <c r="H54" s="42">
        <v>20</v>
      </c>
      <c r="I54" s="43">
        <v>1</v>
      </c>
      <c r="J54" s="48">
        <v>15575</v>
      </c>
      <c r="K54" s="44">
        <v>4218.23</v>
      </c>
      <c r="L54" s="44">
        <v>11356.77</v>
      </c>
      <c r="M54" s="45" t="s">
        <v>1625</v>
      </c>
      <c r="N54" s="46" t="s">
        <v>1643</v>
      </c>
      <c r="O54" s="45" t="s">
        <v>1421</v>
      </c>
      <c r="P54" s="45" t="s">
        <v>1627</v>
      </c>
      <c r="Q54" s="45" t="s">
        <v>1628</v>
      </c>
      <c r="R54" s="45" t="s">
        <v>1629</v>
      </c>
      <c r="S54" s="46" t="s">
        <v>1630</v>
      </c>
      <c r="T54" s="45" t="s">
        <v>1627</v>
      </c>
      <c r="U54" s="46" t="s">
        <v>1442</v>
      </c>
      <c r="V54" s="49"/>
    </row>
    <row r="55" hidden="1" spans="1:22">
      <c r="A55" s="37">
        <v>540425201808005</v>
      </c>
      <c r="B55" s="38" t="s">
        <v>20</v>
      </c>
      <c r="C55" s="484" t="s">
        <v>1741</v>
      </c>
      <c r="D55" s="40" t="s">
        <v>1742</v>
      </c>
      <c r="E55" s="41">
        <v>43678</v>
      </c>
      <c r="F55" s="40" t="s">
        <v>1712</v>
      </c>
      <c r="G55" s="40" t="s">
        <v>1642</v>
      </c>
      <c r="H55" s="42">
        <v>20</v>
      </c>
      <c r="I55" s="43">
        <v>1</v>
      </c>
      <c r="J55" s="48">
        <v>17280</v>
      </c>
      <c r="K55" s="44">
        <v>4680</v>
      </c>
      <c r="L55" s="44">
        <v>12600</v>
      </c>
      <c r="M55" s="45" t="s">
        <v>1625</v>
      </c>
      <c r="N55" s="46" t="s">
        <v>1643</v>
      </c>
      <c r="O55" s="45" t="s">
        <v>1421</v>
      </c>
      <c r="P55" s="45" t="s">
        <v>1627</v>
      </c>
      <c r="Q55" s="45" t="s">
        <v>1628</v>
      </c>
      <c r="R55" s="45" t="s">
        <v>1629</v>
      </c>
      <c r="S55" s="46" t="s">
        <v>1630</v>
      </c>
      <c r="T55" s="45" t="s">
        <v>1627</v>
      </c>
      <c r="U55" s="46" t="s">
        <v>1442</v>
      </c>
      <c r="V55" s="49"/>
    </row>
    <row r="56" hidden="1" spans="1:22">
      <c r="A56" s="37">
        <v>540425201808005</v>
      </c>
      <c r="B56" s="38" t="s">
        <v>20</v>
      </c>
      <c r="C56" s="484" t="s">
        <v>1743</v>
      </c>
      <c r="D56" s="40" t="s">
        <v>1744</v>
      </c>
      <c r="E56" s="41">
        <v>43678</v>
      </c>
      <c r="F56" s="40" t="s">
        <v>1712</v>
      </c>
      <c r="G56" s="40" t="s">
        <v>1647</v>
      </c>
      <c r="H56" s="42">
        <v>20</v>
      </c>
      <c r="I56" s="43">
        <v>1</v>
      </c>
      <c r="J56" s="48">
        <v>2880</v>
      </c>
      <c r="K56" s="44">
        <v>780</v>
      </c>
      <c r="L56" s="44">
        <v>2100</v>
      </c>
      <c r="M56" s="45" t="s">
        <v>1625</v>
      </c>
      <c r="N56" s="46" t="s">
        <v>1643</v>
      </c>
      <c r="O56" s="45" t="s">
        <v>1421</v>
      </c>
      <c r="P56" s="45" t="s">
        <v>1627</v>
      </c>
      <c r="Q56" s="45" t="s">
        <v>1628</v>
      </c>
      <c r="R56" s="45" t="s">
        <v>1629</v>
      </c>
      <c r="S56" s="46" t="s">
        <v>1630</v>
      </c>
      <c r="T56" s="45" t="s">
        <v>1627</v>
      </c>
      <c r="U56" s="46" t="s">
        <v>1442</v>
      </c>
      <c r="V56" s="49"/>
    </row>
    <row r="57" hidden="1" spans="1:22">
      <c r="A57" s="37">
        <v>540425201808005</v>
      </c>
      <c r="B57" s="38" t="s">
        <v>20</v>
      </c>
      <c r="C57" s="484" t="s">
        <v>1745</v>
      </c>
      <c r="D57" s="40" t="s">
        <v>1746</v>
      </c>
      <c r="E57" s="41">
        <v>43678</v>
      </c>
      <c r="F57" s="40" t="s">
        <v>1712</v>
      </c>
      <c r="G57" s="40" t="s">
        <v>1647</v>
      </c>
      <c r="H57" s="42">
        <v>20</v>
      </c>
      <c r="I57" s="43">
        <v>1</v>
      </c>
      <c r="J57" s="48">
        <v>5040</v>
      </c>
      <c r="K57" s="44">
        <v>1365</v>
      </c>
      <c r="L57" s="44">
        <v>3675</v>
      </c>
      <c r="M57" s="45" t="s">
        <v>1625</v>
      </c>
      <c r="N57" s="46" t="s">
        <v>1643</v>
      </c>
      <c r="O57" s="45" t="s">
        <v>1421</v>
      </c>
      <c r="P57" s="45" t="s">
        <v>1627</v>
      </c>
      <c r="Q57" s="45" t="s">
        <v>1628</v>
      </c>
      <c r="R57" s="45" t="s">
        <v>1629</v>
      </c>
      <c r="S57" s="46" t="s">
        <v>1630</v>
      </c>
      <c r="T57" s="45" t="s">
        <v>1627</v>
      </c>
      <c r="U57" s="46" t="s">
        <v>1442</v>
      </c>
      <c r="V57" s="49"/>
    </row>
    <row r="58" hidden="1" spans="1:22">
      <c r="A58" s="37">
        <v>540425201808005</v>
      </c>
      <c r="B58" s="38" t="s">
        <v>20</v>
      </c>
      <c r="C58" s="484" t="s">
        <v>1747</v>
      </c>
      <c r="D58" s="40" t="s">
        <v>1748</v>
      </c>
      <c r="E58" s="41">
        <v>43678</v>
      </c>
      <c r="F58" s="40" t="s">
        <v>1712</v>
      </c>
      <c r="G58" s="40" t="s">
        <v>1675</v>
      </c>
      <c r="H58" s="42">
        <v>5</v>
      </c>
      <c r="I58" s="43">
        <v>1</v>
      </c>
      <c r="J58" s="48">
        <v>10000</v>
      </c>
      <c r="K58" s="44">
        <v>10000</v>
      </c>
      <c r="L58" s="44">
        <v>0</v>
      </c>
      <c r="M58" s="45" t="s">
        <v>1625</v>
      </c>
      <c r="N58" s="46" t="s">
        <v>1652</v>
      </c>
      <c r="O58" s="45" t="s">
        <v>1421</v>
      </c>
      <c r="P58" s="45" t="s">
        <v>1627</v>
      </c>
      <c r="Q58" s="45" t="s">
        <v>1628</v>
      </c>
      <c r="R58" s="45" t="s">
        <v>1629</v>
      </c>
      <c r="S58" s="46" t="s">
        <v>1630</v>
      </c>
      <c r="T58" s="45" t="s">
        <v>1627</v>
      </c>
      <c r="U58" s="46" t="s">
        <v>1442</v>
      </c>
      <c r="V58" s="49"/>
    </row>
    <row r="59" hidden="1" spans="1:22">
      <c r="A59" s="37">
        <v>540425201808005</v>
      </c>
      <c r="B59" s="38" t="s">
        <v>20</v>
      </c>
      <c r="C59" s="484" t="s">
        <v>1749</v>
      </c>
      <c r="D59" s="40" t="s">
        <v>1750</v>
      </c>
      <c r="E59" s="41">
        <v>43678</v>
      </c>
      <c r="F59" s="40" t="s">
        <v>1712</v>
      </c>
      <c r="G59" s="40" t="s">
        <v>1675</v>
      </c>
      <c r="H59" s="42">
        <v>5</v>
      </c>
      <c r="I59" s="43">
        <v>1</v>
      </c>
      <c r="J59" s="48">
        <v>25000</v>
      </c>
      <c r="K59" s="44">
        <v>25000</v>
      </c>
      <c r="L59" s="44">
        <v>0</v>
      </c>
      <c r="M59" s="45" t="s">
        <v>1625</v>
      </c>
      <c r="N59" s="46" t="s">
        <v>1652</v>
      </c>
      <c r="O59" s="45" t="s">
        <v>1421</v>
      </c>
      <c r="P59" s="45" t="s">
        <v>1627</v>
      </c>
      <c r="Q59" s="45" t="s">
        <v>1628</v>
      </c>
      <c r="R59" s="45" t="s">
        <v>1629</v>
      </c>
      <c r="S59" s="46" t="s">
        <v>1630</v>
      </c>
      <c r="T59" s="45" t="s">
        <v>1627</v>
      </c>
      <c r="U59" s="46" t="s">
        <v>1442</v>
      </c>
      <c r="V59" s="49"/>
    </row>
    <row r="60" hidden="1" spans="1:22">
      <c r="A60" s="37">
        <v>540425201808005</v>
      </c>
      <c r="B60" s="38" t="s">
        <v>20</v>
      </c>
      <c r="C60" s="484" t="s">
        <v>1751</v>
      </c>
      <c r="D60" s="40" t="s">
        <v>1752</v>
      </c>
      <c r="E60" s="41">
        <v>43678</v>
      </c>
      <c r="F60" s="40" t="s">
        <v>1712</v>
      </c>
      <c r="G60" s="40" t="s">
        <v>1684</v>
      </c>
      <c r="H60" s="42">
        <v>3</v>
      </c>
      <c r="I60" s="43">
        <v>1127</v>
      </c>
      <c r="J60" s="48">
        <v>169000</v>
      </c>
      <c r="K60" s="44">
        <v>169000</v>
      </c>
      <c r="L60" s="44">
        <v>0</v>
      </c>
      <c r="M60" s="45" t="s">
        <v>1685</v>
      </c>
      <c r="N60" s="46" t="s">
        <v>1686</v>
      </c>
      <c r="O60" s="45" t="s">
        <v>1421</v>
      </c>
      <c r="P60" s="45" t="s">
        <v>1687</v>
      </c>
      <c r="Q60" s="45" t="s">
        <v>1628</v>
      </c>
      <c r="R60" s="45" t="s">
        <v>1629</v>
      </c>
      <c r="S60" s="46" t="s">
        <v>1630</v>
      </c>
      <c r="T60" s="45" t="s">
        <v>1636</v>
      </c>
      <c r="U60" s="46" t="s">
        <v>1442</v>
      </c>
      <c r="V60" s="49"/>
    </row>
    <row r="61" hidden="1" spans="1:22">
      <c r="A61" s="37">
        <v>540425201304001</v>
      </c>
      <c r="B61" s="38" t="s">
        <v>20</v>
      </c>
      <c r="C61" s="484" t="s">
        <v>1753</v>
      </c>
      <c r="D61" s="40" t="s">
        <v>1754</v>
      </c>
      <c r="E61" s="41">
        <v>41609</v>
      </c>
      <c r="F61" s="40" t="s">
        <v>1729</v>
      </c>
      <c r="G61" s="40" t="s">
        <v>1642</v>
      </c>
      <c r="H61" s="42">
        <v>20</v>
      </c>
      <c r="I61" s="43">
        <v>1</v>
      </c>
      <c r="J61" s="48">
        <v>755000</v>
      </c>
      <c r="K61" s="44">
        <v>418395.83</v>
      </c>
      <c r="L61" s="44">
        <v>336604.17</v>
      </c>
      <c r="M61" s="45" t="s">
        <v>1625</v>
      </c>
      <c r="N61" s="46" t="s">
        <v>1643</v>
      </c>
      <c r="O61" s="45" t="s">
        <v>1421</v>
      </c>
      <c r="P61" s="45" t="s">
        <v>1627</v>
      </c>
      <c r="Q61" s="45" t="s">
        <v>1688</v>
      </c>
      <c r="R61" s="45" t="s">
        <v>1636</v>
      </c>
      <c r="S61" s="46" t="s">
        <v>1630</v>
      </c>
      <c r="T61" s="45" t="s">
        <v>1636</v>
      </c>
      <c r="U61" s="46" t="s">
        <v>1444</v>
      </c>
      <c r="V61" s="49"/>
    </row>
    <row r="62" hidden="1" spans="1:22">
      <c r="A62" s="37">
        <v>540425201304001</v>
      </c>
      <c r="B62" s="38" t="s">
        <v>20</v>
      </c>
      <c r="C62" s="484" t="s">
        <v>1755</v>
      </c>
      <c r="D62" s="40" t="s">
        <v>1756</v>
      </c>
      <c r="E62" s="41">
        <v>41609</v>
      </c>
      <c r="F62" s="40" t="s">
        <v>1729</v>
      </c>
      <c r="G62" s="40" t="s">
        <v>1642</v>
      </c>
      <c r="H62" s="42">
        <v>20</v>
      </c>
      <c r="I62" s="43">
        <v>1</v>
      </c>
      <c r="J62" s="48">
        <v>377500</v>
      </c>
      <c r="K62" s="44">
        <v>209197.92</v>
      </c>
      <c r="L62" s="44">
        <v>168302.08</v>
      </c>
      <c r="M62" s="45" t="s">
        <v>1625</v>
      </c>
      <c r="N62" s="46" t="s">
        <v>1643</v>
      </c>
      <c r="O62" s="45" t="s">
        <v>1421</v>
      </c>
      <c r="P62" s="45" t="s">
        <v>1627</v>
      </c>
      <c r="Q62" s="45" t="s">
        <v>1688</v>
      </c>
      <c r="R62" s="45" t="s">
        <v>1636</v>
      </c>
      <c r="S62" s="46" t="s">
        <v>1630</v>
      </c>
      <c r="T62" s="45" t="s">
        <v>1636</v>
      </c>
      <c r="U62" s="46" t="s">
        <v>1444</v>
      </c>
      <c r="V62" s="49"/>
    </row>
    <row r="63" hidden="1" spans="1:22">
      <c r="A63" s="37">
        <v>540425201304001</v>
      </c>
      <c r="B63" s="38" t="s">
        <v>20</v>
      </c>
      <c r="C63" s="484" t="s">
        <v>1757</v>
      </c>
      <c r="D63" s="40" t="s">
        <v>1758</v>
      </c>
      <c r="E63" s="41">
        <v>41609</v>
      </c>
      <c r="F63" s="40" t="s">
        <v>1729</v>
      </c>
      <c r="G63" s="40" t="s">
        <v>1642</v>
      </c>
      <c r="H63" s="42">
        <v>20</v>
      </c>
      <c r="I63" s="43">
        <v>1</v>
      </c>
      <c r="J63" s="48">
        <v>377500</v>
      </c>
      <c r="K63" s="44">
        <v>209197.92</v>
      </c>
      <c r="L63" s="44">
        <v>168302.08</v>
      </c>
      <c r="M63" s="45" t="s">
        <v>1625</v>
      </c>
      <c r="N63" s="46" t="s">
        <v>1643</v>
      </c>
      <c r="O63" s="45" t="s">
        <v>1421</v>
      </c>
      <c r="P63" s="45" t="s">
        <v>1627</v>
      </c>
      <c r="Q63" s="45" t="s">
        <v>1688</v>
      </c>
      <c r="R63" s="45" t="s">
        <v>1636</v>
      </c>
      <c r="S63" s="46" t="s">
        <v>1630</v>
      </c>
      <c r="T63" s="45" t="s">
        <v>1636</v>
      </c>
      <c r="U63" s="46" t="s">
        <v>1444</v>
      </c>
      <c r="V63" s="49"/>
    </row>
    <row r="64" hidden="1" spans="1:22">
      <c r="A64" s="37">
        <v>540425201719012</v>
      </c>
      <c r="B64" s="38" t="s">
        <v>20</v>
      </c>
      <c r="C64" s="484" t="s">
        <v>1759</v>
      </c>
      <c r="D64" s="40" t="s">
        <v>1722</v>
      </c>
      <c r="E64" s="41">
        <v>43070</v>
      </c>
      <c r="F64" s="40" t="s">
        <v>1729</v>
      </c>
      <c r="G64" s="40" t="s">
        <v>1642</v>
      </c>
      <c r="H64" s="42">
        <v>20</v>
      </c>
      <c r="I64" s="43">
        <v>1</v>
      </c>
      <c r="J64" s="48">
        <v>200000</v>
      </c>
      <c r="K64" s="44">
        <v>70833.33</v>
      </c>
      <c r="L64" s="44">
        <v>129166.67</v>
      </c>
      <c r="M64" s="45" t="s">
        <v>1625</v>
      </c>
      <c r="N64" s="46" t="s">
        <v>1643</v>
      </c>
      <c r="O64" s="45" t="s">
        <v>1421</v>
      </c>
      <c r="P64" s="45" t="s">
        <v>1627</v>
      </c>
      <c r="Q64" s="45" t="s">
        <v>1688</v>
      </c>
      <c r="R64" s="45" t="s">
        <v>1636</v>
      </c>
      <c r="S64" s="46" t="s">
        <v>1630</v>
      </c>
      <c r="T64" s="45" t="s">
        <v>1636</v>
      </c>
      <c r="U64" s="46" t="s">
        <v>1444</v>
      </c>
      <c r="V64" s="49"/>
    </row>
    <row r="65" hidden="1" spans="1:22">
      <c r="A65" s="37">
        <v>540425202204008</v>
      </c>
      <c r="B65" s="38" t="s">
        <v>20</v>
      </c>
      <c r="C65" s="484" t="s">
        <v>1725</v>
      </c>
      <c r="D65" s="40" t="s">
        <v>1760</v>
      </c>
      <c r="E65" s="41">
        <v>45139</v>
      </c>
      <c r="F65" s="40" t="s">
        <v>1726</v>
      </c>
      <c r="G65" s="40" t="s">
        <v>1642</v>
      </c>
      <c r="H65" s="42">
        <v>20</v>
      </c>
      <c r="I65" s="43">
        <v>1</v>
      </c>
      <c r="J65" s="48">
        <v>1400417.86</v>
      </c>
      <c r="K65" s="44">
        <v>99196.27</v>
      </c>
      <c r="L65" s="44">
        <v>1301221.59</v>
      </c>
      <c r="M65" s="45" t="s">
        <v>1625</v>
      </c>
      <c r="N65" s="46" t="s">
        <v>1643</v>
      </c>
      <c r="O65" s="45" t="s">
        <v>1421</v>
      </c>
      <c r="P65" s="45" t="s">
        <v>1627</v>
      </c>
      <c r="Q65" s="45" t="s">
        <v>1628</v>
      </c>
      <c r="R65" s="45" t="s">
        <v>1629</v>
      </c>
      <c r="S65" s="46" t="s">
        <v>1630</v>
      </c>
      <c r="T65" s="45" t="s">
        <v>1700</v>
      </c>
      <c r="U65" s="46" t="s">
        <v>1440</v>
      </c>
      <c r="V65" s="49"/>
    </row>
    <row r="66" hidden="1" spans="1:22">
      <c r="A66" s="37">
        <v>540425202204008</v>
      </c>
      <c r="B66" s="38" t="s">
        <v>20</v>
      </c>
      <c r="C66" s="484" t="s">
        <v>1761</v>
      </c>
      <c r="D66" s="40" t="s">
        <v>1762</v>
      </c>
      <c r="E66" s="41">
        <v>45139</v>
      </c>
      <c r="F66" s="40" t="s">
        <v>1726</v>
      </c>
      <c r="G66" s="40" t="s">
        <v>1642</v>
      </c>
      <c r="H66" s="42">
        <v>20</v>
      </c>
      <c r="I66" s="43">
        <v>1</v>
      </c>
      <c r="J66" s="48">
        <v>1400430.69</v>
      </c>
      <c r="K66" s="44">
        <v>99197.17</v>
      </c>
      <c r="L66" s="44">
        <v>1301233.52</v>
      </c>
      <c r="M66" s="45" t="s">
        <v>1625</v>
      </c>
      <c r="N66" s="46" t="s">
        <v>1643</v>
      </c>
      <c r="O66" s="45" t="s">
        <v>1421</v>
      </c>
      <c r="P66" s="45" t="s">
        <v>1627</v>
      </c>
      <c r="Q66" s="45" t="s">
        <v>1628</v>
      </c>
      <c r="R66" s="45" t="s">
        <v>1629</v>
      </c>
      <c r="S66" s="46" t="s">
        <v>1630</v>
      </c>
      <c r="T66" s="45" t="s">
        <v>1700</v>
      </c>
      <c r="U66" s="46" t="s">
        <v>1440</v>
      </c>
      <c r="V66" s="49"/>
    </row>
    <row r="67" hidden="1" spans="1:22">
      <c r="A67" s="37">
        <v>540425202204008</v>
      </c>
      <c r="B67" s="38" t="s">
        <v>20</v>
      </c>
      <c r="C67" s="484" t="s">
        <v>1763</v>
      </c>
      <c r="D67" s="40" t="s">
        <v>1764</v>
      </c>
      <c r="E67" s="41">
        <v>45139</v>
      </c>
      <c r="F67" s="40" t="s">
        <v>1726</v>
      </c>
      <c r="G67" s="40" t="s">
        <v>1642</v>
      </c>
      <c r="H67" s="42">
        <v>20</v>
      </c>
      <c r="I67" s="43">
        <v>1</v>
      </c>
      <c r="J67" s="48">
        <v>1413184.54</v>
      </c>
      <c r="K67" s="44">
        <v>100100.57</v>
      </c>
      <c r="L67" s="44">
        <v>1313083.97</v>
      </c>
      <c r="M67" s="45" t="s">
        <v>1625</v>
      </c>
      <c r="N67" s="46" t="s">
        <v>1643</v>
      </c>
      <c r="O67" s="45" t="s">
        <v>1421</v>
      </c>
      <c r="P67" s="45" t="s">
        <v>1627</v>
      </c>
      <c r="Q67" s="45" t="s">
        <v>1628</v>
      </c>
      <c r="R67" s="45" t="s">
        <v>1629</v>
      </c>
      <c r="S67" s="46" t="s">
        <v>1630</v>
      </c>
      <c r="T67" s="45" t="s">
        <v>1700</v>
      </c>
      <c r="U67" s="46" t="s">
        <v>1440</v>
      </c>
      <c r="V67" s="49"/>
    </row>
    <row r="68" hidden="1" spans="1:22">
      <c r="A68" s="37">
        <v>540425202204008</v>
      </c>
      <c r="B68" s="38" t="s">
        <v>20</v>
      </c>
      <c r="C68" s="484" t="s">
        <v>1765</v>
      </c>
      <c r="D68" s="40" t="s">
        <v>1766</v>
      </c>
      <c r="E68" s="41">
        <v>45139</v>
      </c>
      <c r="F68" s="40" t="s">
        <v>1726</v>
      </c>
      <c r="G68" s="40" t="s">
        <v>1642</v>
      </c>
      <c r="H68" s="42">
        <v>20</v>
      </c>
      <c r="I68" s="43">
        <v>1</v>
      </c>
      <c r="J68" s="48">
        <v>850984.91</v>
      </c>
      <c r="K68" s="44">
        <v>60278.1</v>
      </c>
      <c r="L68" s="44">
        <v>790706.81</v>
      </c>
      <c r="M68" s="45" t="s">
        <v>1625</v>
      </c>
      <c r="N68" s="46" t="s">
        <v>1643</v>
      </c>
      <c r="O68" s="45" t="s">
        <v>1421</v>
      </c>
      <c r="P68" s="45" t="s">
        <v>1627</v>
      </c>
      <c r="Q68" s="45" t="s">
        <v>1628</v>
      </c>
      <c r="R68" s="45" t="s">
        <v>1629</v>
      </c>
      <c r="S68" s="46" t="s">
        <v>1630</v>
      </c>
      <c r="T68" s="45" t="s">
        <v>1700</v>
      </c>
      <c r="U68" s="46" t="s">
        <v>1440</v>
      </c>
      <c r="V68" s="49"/>
    </row>
    <row r="69" hidden="1" spans="1:22">
      <c r="A69" s="37">
        <v>540425202204008</v>
      </c>
      <c r="B69" s="38" t="s">
        <v>20</v>
      </c>
      <c r="C69" s="484" t="s">
        <v>1767</v>
      </c>
      <c r="D69" s="40" t="s">
        <v>1768</v>
      </c>
      <c r="E69" s="41">
        <v>45139</v>
      </c>
      <c r="F69" s="40" t="s">
        <v>1726</v>
      </c>
      <c r="G69" s="40" t="s">
        <v>1642</v>
      </c>
      <c r="H69" s="42">
        <v>20</v>
      </c>
      <c r="I69" s="43">
        <v>1</v>
      </c>
      <c r="J69" s="48">
        <v>603345.39</v>
      </c>
      <c r="K69" s="44">
        <v>42736.97</v>
      </c>
      <c r="L69" s="44">
        <v>560608.42</v>
      </c>
      <c r="M69" s="45" t="s">
        <v>1625</v>
      </c>
      <c r="N69" s="46" t="s">
        <v>1643</v>
      </c>
      <c r="O69" s="45" t="s">
        <v>1421</v>
      </c>
      <c r="P69" s="45" t="s">
        <v>1627</v>
      </c>
      <c r="Q69" s="45" t="s">
        <v>1628</v>
      </c>
      <c r="R69" s="45" t="s">
        <v>1629</v>
      </c>
      <c r="S69" s="46" t="s">
        <v>1630</v>
      </c>
      <c r="T69" s="45" t="s">
        <v>1700</v>
      </c>
      <c r="U69" s="46" t="s">
        <v>1440</v>
      </c>
      <c r="V69" s="49"/>
    </row>
    <row r="70" hidden="1" spans="1:22">
      <c r="A70" s="37">
        <v>540425202204008</v>
      </c>
      <c r="B70" s="38" t="s">
        <v>20</v>
      </c>
      <c r="C70" s="484" t="s">
        <v>1769</v>
      </c>
      <c r="D70" s="40" t="s">
        <v>1770</v>
      </c>
      <c r="E70" s="41">
        <v>45139</v>
      </c>
      <c r="F70" s="40" t="s">
        <v>1726</v>
      </c>
      <c r="G70" s="40" t="s">
        <v>1642</v>
      </c>
      <c r="H70" s="42">
        <v>20</v>
      </c>
      <c r="I70" s="43">
        <v>1</v>
      </c>
      <c r="J70" s="48">
        <v>568744.49</v>
      </c>
      <c r="K70" s="44">
        <v>40286.07</v>
      </c>
      <c r="L70" s="44">
        <v>528458.42</v>
      </c>
      <c r="M70" s="45" t="s">
        <v>1625</v>
      </c>
      <c r="N70" s="46" t="s">
        <v>1643</v>
      </c>
      <c r="O70" s="45" t="s">
        <v>1421</v>
      </c>
      <c r="P70" s="45" t="s">
        <v>1627</v>
      </c>
      <c r="Q70" s="45" t="s">
        <v>1628</v>
      </c>
      <c r="R70" s="45" t="s">
        <v>1629</v>
      </c>
      <c r="S70" s="46" t="s">
        <v>1630</v>
      </c>
      <c r="T70" s="45" t="s">
        <v>1700</v>
      </c>
      <c r="U70" s="46" t="s">
        <v>1440</v>
      </c>
      <c r="V70" s="49"/>
    </row>
    <row r="71" hidden="1" spans="1:22">
      <c r="A71" s="37">
        <v>540425202204008</v>
      </c>
      <c r="B71" s="38" t="s">
        <v>20</v>
      </c>
      <c r="C71" s="484" t="s">
        <v>1771</v>
      </c>
      <c r="D71" s="40" t="s">
        <v>1772</v>
      </c>
      <c r="E71" s="41">
        <v>45139</v>
      </c>
      <c r="F71" s="40" t="s">
        <v>1726</v>
      </c>
      <c r="G71" s="40" t="s">
        <v>1642</v>
      </c>
      <c r="H71" s="42">
        <v>20</v>
      </c>
      <c r="I71" s="43">
        <v>1</v>
      </c>
      <c r="J71" s="48">
        <v>385418.42</v>
      </c>
      <c r="K71" s="44">
        <v>27300.47</v>
      </c>
      <c r="L71" s="44">
        <v>358117.95</v>
      </c>
      <c r="M71" s="45" t="s">
        <v>1625</v>
      </c>
      <c r="N71" s="46" t="s">
        <v>1643</v>
      </c>
      <c r="O71" s="45" t="s">
        <v>1421</v>
      </c>
      <c r="P71" s="45" t="s">
        <v>1627</v>
      </c>
      <c r="Q71" s="45" t="s">
        <v>1628</v>
      </c>
      <c r="R71" s="45" t="s">
        <v>1629</v>
      </c>
      <c r="S71" s="46" t="s">
        <v>1630</v>
      </c>
      <c r="T71" s="45" t="s">
        <v>1700</v>
      </c>
      <c r="U71" s="46" t="s">
        <v>1440</v>
      </c>
      <c r="V71" s="49"/>
    </row>
    <row r="72" hidden="1" spans="1:22">
      <c r="A72" s="37">
        <v>540425202204008</v>
      </c>
      <c r="B72" s="38" t="s">
        <v>20</v>
      </c>
      <c r="C72" s="484" t="s">
        <v>1773</v>
      </c>
      <c r="D72" s="40" t="s">
        <v>1774</v>
      </c>
      <c r="E72" s="41">
        <v>45139</v>
      </c>
      <c r="F72" s="40" t="s">
        <v>1726</v>
      </c>
      <c r="G72" s="40" t="s">
        <v>1642</v>
      </c>
      <c r="H72" s="42">
        <v>20</v>
      </c>
      <c r="I72" s="43">
        <v>1</v>
      </c>
      <c r="J72" s="48">
        <v>417013.46</v>
      </c>
      <c r="K72" s="44">
        <v>29538.45</v>
      </c>
      <c r="L72" s="44">
        <v>387475.01</v>
      </c>
      <c r="M72" s="45" t="s">
        <v>1625</v>
      </c>
      <c r="N72" s="46" t="s">
        <v>1643</v>
      </c>
      <c r="O72" s="45" t="s">
        <v>1421</v>
      </c>
      <c r="P72" s="45" t="s">
        <v>1627</v>
      </c>
      <c r="Q72" s="45" t="s">
        <v>1628</v>
      </c>
      <c r="R72" s="45" t="s">
        <v>1629</v>
      </c>
      <c r="S72" s="46" t="s">
        <v>1630</v>
      </c>
      <c r="T72" s="45" t="s">
        <v>1700</v>
      </c>
      <c r="U72" s="46" t="s">
        <v>1440</v>
      </c>
      <c r="V72" s="49"/>
    </row>
    <row r="73" hidden="1" spans="1:22">
      <c r="A73" s="37">
        <v>540425202204008</v>
      </c>
      <c r="B73" s="38" t="s">
        <v>20</v>
      </c>
      <c r="C73" s="484" t="s">
        <v>1775</v>
      </c>
      <c r="D73" s="40" t="s">
        <v>1776</v>
      </c>
      <c r="E73" s="41">
        <v>45139</v>
      </c>
      <c r="F73" s="40" t="s">
        <v>1726</v>
      </c>
      <c r="G73" s="40" t="s">
        <v>1675</v>
      </c>
      <c r="H73" s="42">
        <v>5</v>
      </c>
      <c r="I73" s="43">
        <v>1</v>
      </c>
      <c r="J73" s="48">
        <v>5000</v>
      </c>
      <c r="K73" s="44">
        <v>1416.67</v>
      </c>
      <c r="L73" s="44">
        <v>3583.33</v>
      </c>
      <c r="M73" s="45" t="s">
        <v>1625</v>
      </c>
      <c r="N73" s="46" t="s">
        <v>1652</v>
      </c>
      <c r="O73" s="45" t="s">
        <v>1421</v>
      </c>
      <c r="P73" s="45" t="s">
        <v>1627</v>
      </c>
      <c r="Q73" s="45" t="s">
        <v>1628</v>
      </c>
      <c r="R73" s="45" t="s">
        <v>1629</v>
      </c>
      <c r="S73" s="46" t="s">
        <v>1630</v>
      </c>
      <c r="T73" s="45" t="s">
        <v>1700</v>
      </c>
      <c r="U73" s="46" t="s">
        <v>1440</v>
      </c>
      <c r="V73" s="49"/>
    </row>
    <row r="74" hidden="1" spans="1:22">
      <c r="A74" s="37">
        <v>540425202204008</v>
      </c>
      <c r="B74" s="38" t="s">
        <v>20</v>
      </c>
      <c r="C74" s="484" t="s">
        <v>1777</v>
      </c>
      <c r="D74" s="40" t="s">
        <v>1776</v>
      </c>
      <c r="E74" s="41">
        <v>45139</v>
      </c>
      <c r="F74" s="40" t="s">
        <v>1726</v>
      </c>
      <c r="G74" s="40" t="s">
        <v>1675</v>
      </c>
      <c r="H74" s="42">
        <v>5</v>
      </c>
      <c r="I74" s="43">
        <v>1</v>
      </c>
      <c r="J74" s="48">
        <v>5000</v>
      </c>
      <c r="K74" s="44">
        <v>1416.67</v>
      </c>
      <c r="L74" s="44">
        <v>3583.33</v>
      </c>
      <c r="M74" s="45" t="s">
        <v>1625</v>
      </c>
      <c r="N74" s="46" t="s">
        <v>1652</v>
      </c>
      <c r="O74" s="45" t="s">
        <v>1421</v>
      </c>
      <c r="P74" s="45" t="s">
        <v>1627</v>
      </c>
      <c r="Q74" s="45" t="s">
        <v>1628</v>
      </c>
      <c r="R74" s="45" t="s">
        <v>1629</v>
      </c>
      <c r="S74" s="46" t="s">
        <v>1630</v>
      </c>
      <c r="T74" s="45" t="s">
        <v>1700</v>
      </c>
      <c r="U74" s="46" t="s">
        <v>1440</v>
      </c>
      <c r="V74" s="49"/>
    </row>
    <row r="75" hidden="1" spans="1:22">
      <c r="A75" s="37">
        <v>540425202204008</v>
      </c>
      <c r="B75" s="38" t="s">
        <v>20</v>
      </c>
      <c r="C75" s="484" t="s">
        <v>1778</v>
      </c>
      <c r="D75" s="40" t="s">
        <v>1779</v>
      </c>
      <c r="E75" s="41">
        <v>45139</v>
      </c>
      <c r="F75" s="40" t="s">
        <v>1726</v>
      </c>
      <c r="G75" s="40" t="s">
        <v>1675</v>
      </c>
      <c r="H75" s="42">
        <v>5</v>
      </c>
      <c r="I75" s="43">
        <v>1</v>
      </c>
      <c r="J75" s="48">
        <v>81550</v>
      </c>
      <c r="K75" s="44">
        <v>23105.83</v>
      </c>
      <c r="L75" s="44">
        <v>58444.17</v>
      </c>
      <c r="M75" s="45" t="s">
        <v>1625</v>
      </c>
      <c r="N75" s="46" t="s">
        <v>1652</v>
      </c>
      <c r="O75" s="45" t="s">
        <v>1421</v>
      </c>
      <c r="P75" s="45" t="s">
        <v>1627</v>
      </c>
      <c r="Q75" s="45" t="s">
        <v>1628</v>
      </c>
      <c r="R75" s="45" t="s">
        <v>1629</v>
      </c>
      <c r="S75" s="46" t="s">
        <v>1630</v>
      </c>
      <c r="T75" s="45" t="s">
        <v>1700</v>
      </c>
      <c r="U75" s="46" t="s">
        <v>1440</v>
      </c>
      <c r="V75" s="49"/>
    </row>
    <row r="76" hidden="1" spans="1:22">
      <c r="A76" s="37">
        <v>540425202204008</v>
      </c>
      <c r="B76" s="38" t="s">
        <v>20</v>
      </c>
      <c r="C76" s="484" t="s">
        <v>1780</v>
      </c>
      <c r="D76" s="50" t="s">
        <v>1674</v>
      </c>
      <c r="E76" s="41">
        <v>45139</v>
      </c>
      <c r="F76" s="40" t="s">
        <v>1726</v>
      </c>
      <c r="G76" s="40" t="s">
        <v>1675</v>
      </c>
      <c r="H76" s="42">
        <v>5</v>
      </c>
      <c r="I76" s="43">
        <v>1</v>
      </c>
      <c r="J76" s="48">
        <v>20000</v>
      </c>
      <c r="K76" s="44">
        <v>5666.67</v>
      </c>
      <c r="L76" s="44">
        <v>14333.33</v>
      </c>
      <c r="M76" s="45" t="s">
        <v>1625</v>
      </c>
      <c r="N76" s="46" t="s">
        <v>1652</v>
      </c>
      <c r="O76" s="45" t="s">
        <v>1421</v>
      </c>
      <c r="P76" s="45" t="s">
        <v>1627</v>
      </c>
      <c r="Q76" s="45" t="s">
        <v>1628</v>
      </c>
      <c r="R76" s="45" t="s">
        <v>1629</v>
      </c>
      <c r="S76" s="46" t="s">
        <v>1630</v>
      </c>
      <c r="T76" s="45" t="s">
        <v>1700</v>
      </c>
      <c r="U76" s="46" t="s">
        <v>1440</v>
      </c>
      <c r="V76" s="49"/>
    </row>
    <row r="77" hidden="1" spans="1:22">
      <c r="A77" s="37">
        <v>540425202204008</v>
      </c>
      <c r="B77" s="38" t="s">
        <v>20</v>
      </c>
      <c r="C77" s="484" t="s">
        <v>1781</v>
      </c>
      <c r="D77" s="50" t="s">
        <v>1782</v>
      </c>
      <c r="E77" s="41">
        <v>45139</v>
      </c>
      <c r="F77" s="40" t="s">
        <v>1726</v>
      </c>
      <c r="G77" s="40" t="s">
        <v>1675</v>
      </c>
      <c r="H77" s="42">
        <v>5</v>
      </c>
      <c r="I77" s="43">
        <v>1</v>
      </c>
      <c r="J77" s="48">
        <v>30000</v>
      </c>
      <c r="K77" s="44">
        <v>8500</v>
      </c>
      <c r="L77" s="44">
        <v>21500</v>
      </c>
      <c r="M77" s="45" t="s">
        <v>1625</v>
      </c>
      <c r="N77" s="46" t="s">
        <v>1652</v>
      </c>
      <c r="O77" s="45" t="s">
        <v>1421</v>
      </c>
      <c r="P77" s="45" t="s">
        <v>1627</v>
      </c>
      <c r="Q77" s="45" t="s">
        <v>1628</v>
      </c>
      <c r="R77" s="45" t="s">
        <v>1629</v>
      </c>
      <c r="S77" s="46" t="s">
        <v>1630</v>
      </c>
      <c r="T77" s="45" t="s">
        <v>1700</v>
      </c>
      <c r="U77" s="46" t="s">
        <v>1440</v>
      </c>
      <c r="V77" s="49"/>
    </row>
    <row r="78" hidden="1" spans="1:22">
      <c r="A78" s="37">
        <v>540425202204008</v>
      </c>
      <c r="B78" s="38" t="s">
        <v>20</v>
      </c>
      <c r="C78" s="484" t="s">
        <v>1783</v>
      </c>
      <c r="D78" s="40" t="s">
        <v>1784</v>
      </c>
      <c r="E78" s="41">
        <v>45139</v>
      </c>
      <c r="F78" s="40" t="s">
        <v>1726</v>
      </c>
      <c r="G78" s="40" t="s">
        <v>1684</v>
      </c>
      <c r="H78" s="42">
        <v>3</v>
      </c>
      <c r="I78" s="43">
        <v>106</v>
      </c>
      <c r="J78" s="48">
        <v>1450200</v>
      </c>
      <c r="K78" s="44">
        <v>684816.67</v>
      </c>
      <c r="L78" s="44">
        <v>765383.33</v>
      </c>
      <c r="M78" s="45" t="s">
        <v>1685</v>
      </c>
      <c r="N78" s="46" t="s">
        <v>1686</v>
      </c>
      <c r="O78" s="45" t="s">
        <v>1421</v>
      </c>
      <c r="P78" s="45" t="s">
        <v>1687</v>
      </c>
      <c r="Q78" s="45" t="s">
        <v>1688</v>
      </c>
      <c r="R78" s="45" t="s">
        <v>1689</v>
      </c>
      <c r="S78" s="46" t="s">
        <v>1630</v>
      </c>
      <c r="T78" s="45" t="s">
        <v>1636</v>
      </c>
      <c r="U78" s="46" t="s">
        <v>1440</v>
      </c>
      <c r="V78" s="49"/>
    </row>
    <row r="79" hidden="1" spans="1:22">
      <c r="A79" s="37">
        <v>540425202204008</v>
      </c>
      <c r="B79" s="38" t="s">
        <v>20</v>
      </c>
      <c r="C79" s="484" t="s">
        <v>1785</v>
      </c>
      <c r="D79" s="40" t="s">
        <v>1786</v>
      </c>
      <c r="E79" s="41">
        <v>45139</v>
      </c>
      <c r="F79" s="40" t="s">
        <v>1726</v>
      </c>
      <c r="G79" s="40" t="s">
        <v>1684</v>
      </c>
      <c r="H79" s="42">
        <v>3</v>
      </c>
      <c r="I79" s="43">
        <v>60</v>
      </c>
      <c r="J79" s="48">
        <v>820800</v>
      </c>
      <c r="K79" s="44">
        <v>387600</v>
      </c>
      <c r="L79" s="44">
        <v>433200</v>
      </c>
      <c r="M79" s="45" t="s">
        <v>1685</v>
      </c>
      <c r="N79" s="46" t="s">
        <v>1686</v>
      </c>
      <c r="O79" s="45" t="s">
        <v>1421</v>
      </c>
      <c r="P79" s="45" t="s">
        <v>1627</v>
      </c>
      <c r="Q79" s="45" t="s">
        <v>1628</v>
      </c>
      <c r="R79" s="45" t="s">
        <v>1629</v>
      </c>
      <c r="S79" s="46" t="s">
        <v>1630</v>
      </c>
      <c r="T79" s="45" t="s">
        <v>1700</v>
      </c>
      <c r="U79" s="46" t="s">
        <v>1440</v>
      </c>
      <c r="V79" s="49"/>
    </row>
    <row r="80" hidden="1" spans="1:22">
      <c r="A80" s="37">
        <v>540425201807007</v>
      </c>
      <c r="B80" s="38" t="s">
        <v>20</v>
      </c>
      <c r="C80" s="484" t="s">
        <v>1787</v>
      </c>
      <c r="D80" s="40" t="s">
        <v>1698</v>
      </c>
      <c r="E80" s="41">
        <v>43678</v>
      </c>
      <c r="F80" s="40" t="s">
        <v>1712</v>
      </c>
      <c r="G80" s="40" t="s">
        <v>1642</v>
      </c>
      <c r="H80" s="42">
        <v>20</v>
      </c>
      <c r="I80" s="43">
        <v>1</v>
      </c>
      <c r="J80" s="48">
        <v>50128.58</v>
      </c>
      <c r="K80" s="44">
        <v>13576.49</v>
      </c>
      <c r="L80" s="44">
        <v>36552.09</v>
      </c>
      <c r="M80" s="45" t="s">
        <v>1625</v>
      </c>
      <c r="N80" s="46" t="s">
        <v>1643</v>
      </c>
      <c r="O80" s="45" t="s">
        <v>1421</v>
      </c>
      <c r="P80" s="45" t="s">
        <v>1627</v>
      </c>
      <c r="Q80" s="45" t="s">
        <v>1628</v>
      </c>
      <c r="R80" s="45" t="s">
        <v>1629</v>
      </c>
      <c r="S80" s="46" t="s">
        <v>1630</v>
      </c>
      <c r="T80" s="45" t="s">
        <v>1627</v>
      </c>
      <c r="U80" s="46" t="s">
        <v>1442</v>
      </c>
      <c r="V80" s="49"/>
    </row>
    <row r="81" hidden="1" spans="1:22">
      <c r="A81" s="37">
        <v>540425201807007</v>
      </c>
      <c r="B81" s="38" t="s">
        <v>20</v>
      </c>
      <c r="C81" s="484" t="s">
        <v>1788</v>
      </c>
      <c r="D81" s="40" t="s">
        <v>1789</v>
      </c>
      <c r="E81" s="41">
        <v>43678</v>
      </c>
      <c r="F81" s="40" t="s">
        <v>1712</v>
      </c>
      <c r="G81" s="40" t="s">
        <v>1642</v>
      </c>
      <c r="H81" s="42">
        <v>20</v>
      </c>
      <c r="I81" s="43">
        <v>1</v>
      </c>
      <c r="J81" s="48">
        <v>53528.57</v>
      </c>
      <c r="K81" s="44">
        <v>14497.32</v>
      </c>
      <c r="L81" s="44">
        <v>39031.25</v>
      </c>
      <c r="M81" s="45" t="s">
        <v>1625</v>
      </c>
      <c r="N81" s="46" t="s">
        <v>1643</v>
      </c>
      <c r="O81" s="45" t="s">
        <v>1421</v>
      </c>
      <c r="P81" s="45" t="s">
        <v>1627</v>
      </c>
      <c r="Q81" s="45" t="s">
        <v>1628</v>
      </c>
      <c r="R81" s="45" t="s">
        <v>1629</v>
      </c>
      <c r="S81" s="46" t="s">
        <v>1630</v>
      </c>
      <c r="T81" s="45" t="s">
        <v>1627</v>
      </c>
      <c r="U81" s="46" t="s">
        <v>1442</v>
      </c>
      <c r="V81" s="49"/>
    </row>
    <row r="82" hidden="1" spans="1:22">
      <c r="A82" s="37">
        <v>540425201807007</v>
      </c>
      <c r="B82" s="38" t="s">
        <v>20</v>
      </c>
      <c r="C82" s="484" t="s">
        <v>1790</v>
      </c>
      <c r="D82" s="40" t="s">
        <v>1791</v>
      </c>
      <c r="E82" s="41">
        <v>43678</v>
      </c>
      <c r="F82" s="40" t="s">
        <v>1712</v>
      </c>
      <c r="G82" s="40" t="s">
        <v>1642</v>
      </c>
      <c r="H82" s="42">
        <v>20</v>
      </c>
      <c r="I82" s="43">
        <v>1</v>
      </c>
      <c r="J82" s="48">
        <v>28028.57</v>
      </c>
      <c r="K82" s="44">
        <v>7591.07</v>
      </c>
      <c r="L82" s="44">
        <v>20437.5</v>
      </c>
      <c r="M82" s="45" t="s">
        <v>1625</v>
      </c>
      <c r="N82" s="46" t="s">
        <v>1643</v>
      </c>
      <c r="O82" s="45" t="s">
        <v>1421</v>
      </c>
      <c r="P82" s="45" t="s">
        <v>1627</v>
      </c>
      <c r="Q82" s="45" t="s">
        <v>1628</v>
      </c>
      <c r="R82" s="45" t="s">
        <v>1629</v>
      </c>
      <c r="S82" s="46" t="s">
        <v>1630</v>
      </c>
      <c r="T82" s="45" t="s">
        <v>1627</v>
      </c>
      <c r="U82" s="46" t="s">
        <v>1442</v>
      </c>
      <c r="V82" s="49"/>
    </row>
    <row r="83" hidden="1" spans="1:22">
      <c r="A83" s="37">
        <v>540425201807007</v>
      </c>
      <c r="B83" s="38" t="s">
        <v>20</v>
      </c>
      <c r="C83" s="484" t="s">
        <v>1792</v>
      </c>
      <c r="D83" s="40" t="s">
        <v>1793</v>
      </c>
      <c r="E83" s="41">
        <v>43678</v>
      </c>
      <c r="F83" s="40" t="s">
        <v>1712</v>
      </c>
      <c r="G83" s="40" t="s">
        <v>1642</v>
      </c>
      <c r="H83" s="42">
        <v>20</v>
      </c>
      <c r="I83" s="43">
        <v>1</v>
      </c>
      <c r="J83" s="48">
        <v>59328.57</v>
      </c>
      <c r="K83" s="44">
        <v>16068.15</v>
      </c>
      <c r="L83" s="44">
        <v>43260.42</v>
      </c>
      <c r="M83" s="45" t="s">
        <v>1625</v>
      </c>
      <c r="N83" s="46" t="s">
        <v>1643</v>
      </c>
      <c r="O83" s="45" t="s">
        <v>1421</v>
      </c>
      <c r="P83" s="45" t="s">
        <v>1627</v>
      </c>
      <c r="Q83" s="45" t="s">
        <v>1628</v>
      </c>
      <c r="R83" s="45" t="s">
        <v>1629</v>
      </c>
      <c r="S83" s="46" t="s">
        <v>1630</v>
      </c>
      <c r="T83" s="45" t="s">
        <v>1627</v>
      </c>
      <c r="U83" s="46" t="s">
        <v>1442</v>
      </c>
      <c r="V83" s="49"/>
    </row>
    <row r="84" hidden="1" spans="1:22">
      <c r="A84" s="37">
        <v>540425201807007</v>
      </c>
      <c r="B84" s="38" t="s">
        <v>20</v>
      </c>
      <c r="C84" s="484" t="s">
        <v>1794</v>
      </c>
      <c r="D84" s="40" t="s">
        <v>1795</v>
      </c>
      <c r="E84" s="41">
        <v>43678</v>
      </c>
      <c r="F84" s="40" t="s">
        <v>1712</v>
      </c>
      <c r="G84" s="40" t="s">
        <v>1642</v>
      </c>
      <c r="H84" s="42">
        <v>20</v>
      </c>
      <c r="I84" s="43">
        <v>1</v>
      </c>
      <c r="J84" s="48">
        <v>32128.57</v>
      </c>
      <c r="K84" s="44">
        <v>8701.49</v>
      </c>
      <c r="L84" s="44">
        <v>23427.08</v>
      </c>
      <c r="M84" s="45" t="s">
        <v>1625</v>
      </c>
      <c r="N84" s="46" t="s">
        <v>1643</v>
      </c>
      <c r="O84" s="45" t="s">
        <v>1421</v>
      </c>
      <c r="P84" s="45" t="s">
        <v>1627</v>
      </c>
      <c r="Q84" s="45" t="s">
        <v>1628</v>
      </c>
      <c r="R84" s="45" t="s">
        <v>1629</v>
      </c>
      <c r="S84" s="46" t="s">
        <v>1630</v>
      </c>
      <c r="T84" s="45" t="s">
        <v>1627</v>
      </c>
      <c r="U84" s="46" t="s">
        <v>1442</v>
      </c>
      <c r="V84" s="49"/>
    </row>
    <row r="85" hidden="1" spans="1:22">
      <c r="A85" s="37">
        <v>540425201807007</v>
      </c>
      <c r="B85" s="38" t="s">
        <v>20</v>
      </c>
      <c r="C85" s="484" t="s">
        <v>1796</v>
      </c>
      <c r="D85" s="40" t="s">
        <v>1797</v>
      </c>
      <c r="E85" s="41">
        <v>43678</v>
      </c>
      <c r="F85" s="40" t="s">
        <v>1712</v>
      </c>
      <c r="G85" s="40" t="s">
        <v>1642</v>
      </c>
      <c r="H85" s="42">
        <v>20</v>
      </c>
      <c r="I85" s="43">
        <v>1</v>
      </c>
      <c r="J85" s="48">
        <v>24528.57</v>
      </c>
      <c r="K85" s="44">
        <v>6643.15</v>
      </c>
      <c r="L85" s="44">
        <v>17885.42</v>
      </c>
      <c r="M85" s="45" t="s">
        <v>1625</v>
      </c>
      <c r="N85" s="46" t="s">
        <v>1643</v>
      </c>
      <c r="O85" s="45" t="s">
        <v>1421</v>
      </c>
      <c r="P85" s="45" t="s">
        <v>1627</v>
      </c>
      <c r="Q85" s="45" t="s">
        <v>1628</v>
      </c>
      <c r="R85" s="45" t="s">
        <v>1629</v>
      </c>
      <c r="S85" s="46" t="s">
        <v>1630</v>
      </c>
      <c r="T85" s="45" t="s">
        <v>1627</v>
      </c>
      <c r="U85" s="46" t="s">
        <v>1442</v>
      </c>
      <c r="V85" s="49"/>
    </row>
    <row r="86" hidden="1" spans="1:22">
      <c r="A86" s="37">
        <v>540425201807007</v>
      </c>
      <c r="B86" s="38" t="s">
        <v>20</v>
      </c>
      <c r="C86" s="484" t="s">
        <v>1798</v>
      </c>
      <c r="D86" s="40" t="s">
        <v>1799</v>
      </c>
      <c r="E86" s="41">
        <v>43678</v>
      </c>
      <c r="F86" s="40" t="s">
        <v>1712</v>
      </c>
      <c r="G86" s="40" t="s">
        <v>1647</v>
      </c>
      <c r="H86" s="42">
        <v>20</v>
      </c>
      <c r="I86" s="43">
        <v>1</v>
      </c>
      <c r="J86" s="48">
        <v>20028.57</v>
      </c>
      <c r="K86" s="44">
        <v>5424.4</v>
      </c>
      <c r="L86" s="44">
        <v>14604.17</v>
      </c>
      <c r="M86" s="45" t="s">
        <v>1625</v>
      </c>
      <c r="N86" s="46" t="s">
        <v>1643</v>
      </c>
      <c r="O86" s="45" t="s">
        <v>1421</v>
      </c>
      <c r="P86" s="45" t="s">
        <v>1627</v>
      </c>
      <c r="Q86" s="45" t="s">
        <v>1628</v>
      </c>
      <c r="R86" s="45" t="s">
        <v>1629</v>
      </c>
      <c r="S86" s="46" t="s">
        <v>1630</v>
      </c>
      <c r="T86" s="45" t="s">
        <v>1627</v>
      </c>
      <c r="U86" s="46" t="s">
        <v>1442</v>
      </c>
      <c r="V86" s="49"/>
    </row>
    <row r="87" hidden="1" spans="1:22">
      <c r="A87" s="37">
        <v>540425201807007</v>
      </c>
      <c r="B87" s="38" t="s">
        <v>20</v>
      </c>
      <c r="C87" s="484" t="s">
        <v>1800</v>
      </c>
      <c r="D87" s="40" t="s">
        <v>1704</v>
      </c>
      <c r="E87" s="41">
        <v>43678</v>
      </c>
      <c r="F87" s="40" t="s">
        <v>1712</v>
      </c>
      <c r="G87" s="40" t="s">
        <v>1675</v>
      </c>
      <c r="H87" s="42">
        <v>5</v>
      </c>
      <c r="I87" s="43">
        <v>1</v>
      </c>
      <c r="J87" s="48">
        <v>7800</v>
      </c>
      <c r="K87" s="44">
        <v>7800</v>
      </c>
      <c r="L87" s="44">
        <v>0</v>
      </c>
      <c r="M87" s="45" t="s">
        <v>1625</v>
      </c>
      <c r="N87" s="46" t="s">
        <v>1652</v>
      </c>
      <c r="O87" s="45" t="s">
        <v>1421</v>
      </c>
      <c r="P87" s="45" t="s">
        <v>1627</v>
      </c>
      <c r="Q87" s="45" t="s">
        <v>1628</v>
      </c>
      <c r="R87" s="45" t="s">
        <v>1629</v>
      </c>
      <c r="S87" s="46" t="s">
        <v>1630</v>
      </c>
      <c r="T87" s="45" t="s">
        <v>1627</v>
      </c>
      <c r="U87" s="46" t="s">
        <v>1442</v>
      </c>
      <c r="V87" s="49"/>
    </row>
    <row r="88" hidden="1" spans="1:22">
      <c r="A88" s="37">
        <v>540425201807007</v>
      </c>
      <c r="B88" s="38" t="s">
        <v>20</v>
      </c>
      <c r="C88" s="484" t="s">
        <v>1801</v>
      </c>
      <c r="D88" s="40" t="s">
        <v>1707</v>
      </c>
      <c r="E88" s="41">
        <v>43678</v>
      </c>
      <c r="F88" s="40" t="s">
        <v>1712</v>
      </c>
      <c r="G88" s="40" t="s">
        <v>1675</v>
      </c>
      <c r="H88" s="42">
        <v>5</v>
      </c>
      <c r="I88" s="43">
        <v>1</v>
      </c>
      <c r="J88" s="48">
        <v>7900</v>
      </c>
      <c r="K88" s="44">
        <v>7900</v>
      </c>
      <c r="L88" s="44">
        <v>0</v>
      </c>
      <c r="M88" s="45" t="s">
        <v>1625</v>
      </c>
      <c r="N88" s="46" t="s">
        <v>1652</v>
      </c>
      <c r="O88" s="45" t="s">
        <v>1421</v>
      </c>
      <c r="P88" s="45" t="s">
        <v>1627</v>
      </c>
      <c r="Q88" s="45" t="s">
        <v>1628</v>
      </c>
      <c r="R88" s="45" t="s">
        <v>1629</v>
      </c>
      <c r="S88" s="46" t="s">
        <v>1630</v>
      </c>
      <c r="T88" s="45" t="s">
        <v>1627</v>
      </c>
      <c r="U88" s="46" t="s">
        <v>1442</v>
      </c>
      <c r="V88" s="49"/>
    </row>
    <row r="89" hidden="1" spans="1:22">
      <c r="A89" s="37">
        <v>540425201807007</v>
      </c>
      <c r="B89" s="38" t="s">
        <v>20</v>
      </c>
      <c r="C89" s="484" t="s">
        <v>1802</v>
      </c>
      <c r="D89" s="40" t="s">
        <v>1803</v>
      </c>
      <c r="E89" s="41">
        <v>43678</v>
      </c>
      <c r="F89" s="40" t="s">
        <v>1712</v>
      </c>
      <c r="G89" s="40" t="s">
        <v>1684</v>
      </c>
      <c r="H89" s="42">
        <v>3</v>
      </c>
      <c r="I89" s="43">
        <v>153</v>
      </c>
      <c r="J89" s="48">
        <v>148700</v>
      </c>
      <c r="K89" s="44">
        <v>148700</v>
      </c>
      <c r="L89" s="44">
        <v>0</v>
      </c>
      <c r="M89" s="45" t="s">
        <v>1685</v>
      </c>
      <c r="N89" s="46" t="s">
        <v>1686</v>
      </c>
      <c r="O89" s="45" t="s">
        <v>1421</v>
      </c>
      <c r="P89" s="45" t="s">
        <v>1627</v>
      </c>
      <c r="Q89" s="45" t="s">
        <v>1628</v>
      </c>
      <c r="R89" s="45" t="s">
        <v>1629</v>
      </c>
      <c r="S89" s="46" t="s">
        <v>1630</v>
      </c>
      <c r="T89" s="45" t="s">
        <v>1627</v>
      </c>
      <c r="U89" s="46" t="s">
        <v>1442</v>
      </c>
      <c r="V89" s="49"/>
    </row>
    <row r="90" hidden="1" spans="1:22">
      <c r="A90" s="37">
        <v>540425201807007</v>
      </c>
      <c r="B90" s="38" t="s">
        <v>20</v>
      </c>
      <c r="C90" s="484" t="s">
        <v>1804</v>
      </c>
      <c r="D90" s="40" t="s">
        <v>1805</v>
      </c>
      <c r="E90" s="41">
        <v>43678</v>
      </c>
      <c r="F90" s="40" t="s">
        <v>1712</v>
      </c>
      <c r="G90" s="40" t="s">
        <v>1684</v>
      </c>
      <c r="H90" s="42">
        <v>3</v>
      </c>
      <c r="I90" s="43">
        <v>70</v>
      </c>
      <c r="J90" s="48">
        <v>67900</v>
      </c>
      <c r="K90" s="44">
        <v>67900</v>
      </c>
      <c r="L90" s="44">
        <v>0</v>
      </c>
      <c r="M90" s="45" t="s">
        <v>1685</v>
      </c>
      <c r="N90" s="46" t="s">
        <v>1686</v>
      </c>
      <c r="O90" s="45" t="s">
        <v>1421</v>
      </c>
      <c r="P90" s="45" t="s">
        <v>1687</v>
      </c>
      <c r="Q90" s="45" t="s">
        <v>1688</v>
      </c>
      <c r="R90" s="45" t="s">
        <v>1689</v>
      </c>
      <c r="S90" s="46" t="s">
        <v>1630</v>
      </c>
      <c r="T90" s="45" t="s">
        <v>1636</v>
      </c>
      <c r="U90" s="46" t="s">
        <v>1442</v>
      </c>
      <c r="V90" s="49"/>
    </row>
    <row r="91" hidden="1" spans="1:22">
      <c r="A91" s="37">
        <v>540425202004005</v>
      </c>
      <c r="B91" s="38" t="s">
        <v>20</v>
      </c>
      <c r="C91" s="484" t="s">
        <v>1806</v>
      </c>
      <c r="D91" s="40" t="s">
        <v>1754</v>
      </c>
      <c r="E91" s="41">
        <v>43831</v>
      </c>
      <c r="F91" s="40" t="s">
        <v>1807</v>
      </c>
      <c r="G91" s="40" t="s">
        <v>1642</v>
      </c>
      <c r="H91" s="42">
        <v>20</v>
      </c>
      <c r="I91" s="43">
        <v>1</v>
      </c>
      <c r="J91" s="48">
        <v>1201069.84</v>
      </c>
      <c r="K91" s="44">
        <v>300267.46</v>
      </c>
      <c r="L91" s="44">
        <v>900802.38</v>
      </c>
      <c r="M91" s="45" t="s">
        <v>1625</v>
      </c>
      <c r="N91" s="46" t="s">
        <v>1643</v>
      </c>
      <c r="O91" s="45" t="s">
        <v>1421</v>
      </c>
      <c r="P91" s="45" t="s">
        <v>1627</v>
      </c>
      <c r="Q91" s="45" t="s">
        <v>1628</v>
      </c>
      <c r="R91" s="45" t="s">
        <v>1629</v>
      </c>
      <c r="S91" s="46" t="s">
        <v>1630</v>
      </c>
      <c r="T91" s="45" t="s">
        <v>1700</v>
      </c>
      <c r="U91" s="46" t="s">
        <v>1434</v>
      </c>
      <c r="V91" s="49"/>
    </row>
    <row r="92" hidden="1" spans="1:22">
      <c r="A92" s="37">
        <v>540425202004005</v>
      </c>
      <c r="B92" s="38" t="s">
        <v>20</v>
      </c>
      <c r="C92" s="484" t="s">
        <v>1808</v>
      </c>
      <c r="D92" s="40" t="s">
        <v>1772</v>
      </c>
      <c r="E92" s="41">
        <v>43831</v>
      </c>
      <c r="F92" s="40" t="s">
        <v>1807</v>
      </c>
      <c r="G92" s="40" t="s">
        <v>1642</v>
      </c>
      <c r="H92" s="42">
        <v>20</v>
      </c>
      <c r="I92" s="43">
        <v>1</v>
      </c>
      <c r="J92" s="48">
        <v>135176.14</v>
      </c>
      <c r="K92" s="44">
        <v>33794.04</v>
      </c>
      <c r="L92" s="44">
        <v>101382.1</v>
      </c>
      <c r="M92" s="45" t="s">
        <v>1625</v>
      </c>
      <c r="N92" s="46" t="s">
        <v>1643</v>
      </c>
      <c r="O92" s="45" t="s">
        <v>1421</v>
      </c>
      <c r="P92" s="45" t="s">
        <v>1627</v>
      </c>
      <c r="Q92" s="45" t="s">
        <v>1628</v>
      </c>
      <c r="R92" s="45" t="s">
        <v>1629</v>
      </c>
      <c r="S92" s="46" t="s">
        <v>1630</v>
      </c>
      <c r="T92" s="45" t="s">
        <v>1700</v>
      </c>
      <c r="U92" s="46" t="s">
        <v>1434</v>
      </c>
      <c r="V92" s="49"/>
    </row>
    <row r="93" hidden="1" spans="1:22">
      <c r="A93" s="37">
        <v>540425202004005</v>
      </c>
      <c r="B93" s="38" t="s">
        <v>20</v>
      </c>
      <c r="C93" s="484" t="s">
        <v>1809</v>
      </c>
      <c r="D93" s="40" t="s">
        <v>1810</v>
      </c>
      <c r="E93" s="41">
        <v>43831</v>
      </c>
      <c r="F93" s="40" t="s">
        <v>1807</v>
      </c>
      <c r="G93" s="40" t="s">
        <v>1642</v>
      </c>
      <c r="H93" s="42">
        <v>20</v>
      </c>
      <c r="I93" s="43">
        <v>1</v>
      </c>
      <c r="J93" s="48">
        <v>130548.86</v>
      </c>
      <c r="K93" s="44">
        <v>32637.22</v>
      </c>
      <c r="L93" s="44">
        <v>97911.64</v>
      </c>
      <c r="M93" s="45" t="s">
        <v>1625</v>
      </c>
      <c r="N93" s="46" t="s">
        <v>1643</v>
      </c>
      <c r="O93" s="45" t="s">
        <v>1421</v>
      </c>
      <c r="P93" s="45" t="s">
        <v>1627</v>
      </c>
      <c r="Q93" s="45" t="s">
        <v>1628</v>
      </c>
      <c r="R93" s="45" t="s">
        <v>1629</v>
      </c>
      <c r="S93" s="46" t="s">
        <v>1630</v>
      </c>
      <c r="T93" s="45" t="s">
        <v>1700</v>
      </c>
      <c r="U93" s="46" t="s">
        <v>1434</v>
      </c>
      <c r="V93" s="49"/>
    </row>
    <row r="94" hidden="1" spans="1:22">
      <c r="A94" s="37">
        <v>540425202004005</v>
      </c>
      <c r="B94" s="38" t="s">
        <v>20</v>
      </c>
      <c r="C94" s="484" t="s">
        <v>1809</v>
      </c>
      <c r="D94" s="40" t="s">
        <v>1776</v>
      </c>
      <c r="E94" s="41">
        <v>43831</v>
      </c>
      <c r="F94" s="40" t="s">
        <v>1807</v>
      </c>
      <c r="G94" s="40" t="s">
        <v>1675</v>
      </c>
      <c r="H94" s="42">
        <v>5</v>
      </c>
      <c r="I94" s="43">
        <v>1</v>
      </c>
      <c r="J94" s="48">
        <v>5000</v>
      </c>
      <c r="K94" s="44">
        <v>5000</v>
      </c>
      <c r="L94" s="44">
        <v>0</v>
      </c>
      <c r="M94" s="45" t="s">
        <v>1625</v>
      </c>
      <c r="N94" s="46" t="s">
        <v>1652</v>
      </c>
      <c r="O94" s="45" t="s">
        <v>1421</v>
      </c>
      <c r="P94" s="45" t="s">
        <v>1627</v>
      </c>
      <c r="Q94" s="45" t="s">
        <v>1628</v>
      </c>
      <c r="R94" s="45" t="s">
        <v>1629</v>
      </c>
      <c r="S94" s="46" t="s">
        <v>1630</v>
      </c>
      <c r="T94" s="45" t="s">
        <v>1700</v>
      </c>
      <c r="U94" s="46" t="s">
        <v>1434</v>
      </c>
      <c r="V94" s="49"/>
    </row>
    <row r="95" hidden="1" spans="1:22">
      <c r="A95" s="37">
        <v>540425202004005</v>
      </c>
      <c r="B95" s="38" t="s">
        <v>20</v>
      </c>
      <c r="C95" s="484" t="s">
        <v>1811</v>
      </c>
      <c r="D95" s="40" t="s">
        <v>1812</v>
      </c>
      <c r="E95" s="41">
        <v>43831</v>
      </c>
      <c r="F95" s="40" t="s">
        <v>1807</v>
      </c>
      <c r="G95" s="40" t="s">
        <v>1684</v>
      </c>
      <c r="H95" s="42">
        <v>3</v>
      </c>
      <c r="I95" s="43">
        <v>64</v>
      </c>
      <c r="J95" s="48">
        <v>716444</v>
      </c>
      <c r="K95" s="44">
        <v>716444</v>
      </c>
      <c r="L95" s="44">
        <v>0</v>
      </c>
      <c r="M95" s="45" t="s">
        <v>1685</v>
      </c>
      <c r="N95" s="46" t="s">
        <v>1686</v>
      </c>
      <c r="O95" s="45" t="s">
        <v>1421</v>
      </c>
      <c r="P95" s="45" t="s">
        <v>1687</v>
      </c>
      <c r="Q95" s="45" t="s">
        <v>1688</v>
      </c>
      <c r="R95" s="45" t="s">
        <v>1689</v>
      </c>
      <c r="S95" s="46" t="s">
        <v>1630</v>
      </c>
      <c r="T95" s="45" t="s">
        <v>1636</v>
      </c>
      <c r="U95" s="46" t="s">
        <v>1434</v>
      </c>
      <c r="V95" s="49"/>
    </row>
    <row r="96" hidden="1" spans="1:22">
      <c r="A96" s="37">
        <v>540425202004005</v>
      </c>
      <c r="B96" s="38" t="s">
        <v>20</v>
      </c>
      <c r="C96" s="484" t="s">
        <v>1813</v>
      </c>
      <c r="D96" s="40" t="s">
        <v>1814</v>
      </c>
      <c r="E96" s="41">
        <v>43831</v>
      </c>
      <c r="F96" s="40" t="s">
        <v>1807</v>
      </c>
      <c r="G96" s="40" t="s">
        <v>1684</v>
      </c>
      <c r="H96" s="42">
        <v>3</v>
      </c>
      <c r="I96" s="43">
        <v>26</v>
      </c>
      <c r="J96" s="48">
        <v>291056</v>
      </c>
      <c r="K96" s="44">
        <v>291056</v>
      </c>
      <c r="L96" s="44">
        <v>0</v>
      </c>
      <c r="M96" s="45" t="s">
        <v>1685</v>
      </c>
      <c r="N96" s="46" t="s">
        <v>1686</v>
      </c>
      <c r="O96" s="45" t="s">
        <v>1421</v>
      </c>
      <c r="P96" s="45" t="s">
        <v>1627</v>
      </c>
      <c r="Q96" s="45" t="s">
        <v>1628</v>
      </c>
      <c r="R96" s="45" t="s">
        <v>1629</v>
      </c>
      <c r="S96" s="46" t="s">
        <v>1630</v>
      </c>
      <c r="T96" s="45" t="s">
        <v>1700</v>
      </c>
      <c r="U96" s="46" t="s">
        <v>1434</v>
      </c>
      <c r="V96" s="49"/>
    </row>
    <row r="97" spans="1:22">
      <c r="A97" s="37">
        <v>540425202104006</v>
      </c>
      <c r="B97" s="38" t="s">
        <v>20</v>
      </c>
      <c r="C97" s="484" t="s">
        <v>1815</v>
      </c>
      <c r="D97" s="40" t="s">
        <v>1754</v>
      </c>
      <c r="E97" s="41">
        <v>44593</v>
      </c>
      <c r="F97" s="40" t="s">
        <v>1807</v>
      </c>
      <c r="G97" s="40" t="s">
        <v>1642</v>
      </c>
      <c r="H97" s="42">
        <v>20</v>
      </c>
      <c r="I97" s="43">
        <v>1</v>
      </c>
      <c r="J97" s="48">
        <v>1904161.32</v>
      </c>
      <c r="K97" s="44">
        <v>277690.19</v>
      </c>
      <c r="L97" s="44">
        <v>1626471.13</v>
      </c>
      <c r="M97" s="45" t="s">
        <v>1625</v>
      </c>
      <c r="N97" s="46" t="s">
        <v>1643</v>
      </c>
      <c r="O97" s="45" t="s">
        <v>1421</v>
      </c>
      <c r="P97" s="45" t="s">
        <v>1627</v>
      </c>
      <c r="Q97" s="45" t="s">
        <v>1628</v>
      </c>
      <c r="R97" s="45" t="s">
        <v>1629</v>
      </c>
      <c r="S97" s="46" t="s">
        <v>1630</v>
      </c>
      <c r="T97" s="45" t="s">
        <v>1700</v>
      </c>
      <c r="U97" s="46" t="s">
        <v>1432</v>
      </c>
      <c r="V97" s="49"/>
    </row>
    <row r="98" spans="1:22">
      <c r="A98" s="37">
        <v>540425202104006</v>
      </c>
      <c r="B98" s="38" t="s">
        <v>20</v>
      </c>
      <c r="C98" s="484" t="s">
        <v>1816</v>
      </c>
      <c r="D98" s="40" t="s">
        <v>1772</v>
      </c>
      <c r="E98" s="41">
        <v>44593</v>
      </c>
      <c r="F98" s="40" t="s">
        <v>1807</v>
      </c>
      <c r="G98" s="40" t="s">
        <v>1642</v>
      </c>
      <c r="H98" s="42">
        <v>20</v>
      </c>
      <c r="I98" s="43">
        <v>1</v>
      </c>
      <c r="J98" s="48">
        <v>155117.57</v>
      </c>
      <c r="K98" s="44">
        <v>22621.31</v>
      </c>
      <c r="L98" s="44">
        <v>132496.26</v>
      </c>
      <c r="M98" s="45" t="s">
        <v>1625</v>
      </c>
      <c r="N98" s="46" t="s">
        <v>1643</v>
      </c>
      <c r="O98" s="45" t="s">
        <v>1421</v>
      </c>
      <c r="P98" s="45" t="s">
        <v>1627</v>
      </c>
      <c r="Q98" s="45" t="s">
        <v>1628</v>
      </c>
      <c r="R98" s="45" t="s">
        <v>1629</v>
      </c>
      <c r="S98" s="46" t="s">
        <v>1630</v>
      </c>
      <c r="T98" s="45" t="s">
        <v>1700</v>
      </c>
      <c r="U98" s="46" t="s">
        <v>1432</v>
      </c>
      <c r="V98" s="49"/>
    </row>
    <row r="99" spans="1:22">
      <c r="A99" s="37">
        <v>540425202104006</v>
      </c>
      <c r="B99" s="38" t="s">
        <v>20</v>
      </c>
      <c r="C99" s="484" t="s">
        <v>1817</v>
      </c>
      <c r="D99" s="40" t="s">
        <v>1810</v>
      </c>
      <c r="E99" s="41">
        <v>44593</v>
      </c>
      <c r="F99" s="40" t="s">
        <v>1807</v>
      </c>
      <c r="G99" s="40" t="s">
        <v>1642</v>
      </c>
      <c r="H99" s="42">
        <v>20</v>
      </c>
      <c r="I99" s="43">
        <v>1</v>
      </c>
      <c r="J99" s="48">
        <v>194992.79</v>
      </c>
      <c r="K99" s="44">
        <v>28436.45</v>
      </c>
      <c r="L99" s="44">
        <v>166556.34</v>
      </c>
      <c r="M99" s="45" t="s">
        <v>1625</v>
      </c>
      <c r="N99" s="46" t="s">
        <v>1643</v>
      </c>
      <c r="O99" s="45" t="s">
        <v>1421</v>
      </c>
      <c r="P99" s="45" t="s">
        <v>1627</v>
      </c>
      <c r="Q99" s="45" t="s">
        <v>1628</v>
      </c>
      <c r="R99" s="45" t="s">
        <v>1629</v>
      </c>
      <c r="S99" s="46" t="s">
        <v>1630</v>
      </c>
      <c r="T99" s="45" t="s">
        <v>1700</v>
      </c>
      <c r="U99" s="46" t="s">
        <v>1432</v>
      </c>
      <c r="V99" s="49"/>
    </row>
    <row r="100" spans="1:22">
      <c r="A100" s="37">
        <v>540425202104006</v>
      </c>
      <c r="B100" s="38" t="s">
        <v>20</v>
      </c>
      <c r="C100" s="484" t="s">
        <v>1818</v>
      </c>
      <c r="D100" s="40" t="s">
        <v>1819</v>
      </c>
      <c r="E100" s="41">
        <v>44593</v>
      </c>
      <c r="F100" s="40" t="s">
        <v>1807</v>
      </c>
      <c r="G100" s="40" t="s">
        <v>1642</v>
      </c>
      <c r="H100" s="42">
        <v>20</v>
      </c>
      <c r="I100" s="43">
        <v>1</v>
      </c>
      <c r="J100" s="48">
        <v>181492.79</v>
      </c>
      <c r="K100" s="44">
        <v>26467.7</v>
      </c>
      <c r="L100" s="44">
        <v>155025.09</v>
      </c>
      <c r="M100" s="45" t="s">
        <v>1625</v>
      </c>
      <c r="N100" s="46" t="s">
        <v>1643</v>
      </c>
      <c r="O100" s="45" t="s">
        <v>1421</v>
      </c>
      <c r="P100" s="45" t="s">
        <v>1627</v>
      </c>
      <c r="Q100" s="45" t="s">
        <v>1628</v>
      </c>
      <c r="R100" s="45" t="s">
        <v>1629</v>
      </c>
      <c r="S100" s="46" t="s">
        <v>1630</v>
      </c>
      <c r="T100" s="45" t="s">
        <v>1700</v>
      </c>
      <c r="U100" s="46" t="s">
        <v>1432</v>
      </c>
      <c r="V100" s="49"/>
    </row>
    <row r="101" spans="1:22">
      <c r="A101" s="37">
        <v>540425202104006</v>
      </c>
      <c r="B101" s="38" t="s">
        <v>20</v>
      </c>
      <c r="C101" s="484" t="s">
        <v>1820</v>
      </c>
      <c r="D101" s="40" t="s">
        <v>1776</v>
      </c>
      <c r="E101" s="41">
        <v>44593</v>
      </c>
      <c r="F101" s="40" t="s">
        <v>1807</v>
      </c>
      <c r="G101" s="40" t="s">
        <v>1675</v>
      </c>
      <c r="H101" s="42">
        <v>5</v>
      </c>
      <c r="I101" s="43">
        <v>1</v>
      </c>
      <c r="J101" s="48">
        <v>5000</v>
      </c>
      <c r="K101" s="44">
        <v>2916.67</v>
      </c>
      <c r="L101" s="44">
        <v>2083.33</v>
      </c>
      <c r="M101" s="45" t="s">
        <v>1625</v>
      </c>
      <c r="N101" s="46" t="s">
        <v>1652</v>
      </c>
      <c r="O101" s="45" t="s">
        <v>1421</v>
      </c>
      <c r="P101" s="45" t="s">
        <v>1627</v>
      </c>
      <c r="Q101" s="45" t="s">
        <v>1628</v>
      </c>
      <c r="R101" s="45" t="s">
        <v>1629</v>
      </c>
      <c r="S101" s="46" t="s">
        <v>1630</v>
      </c>
      <c r="T101" s="45" t="s">
        <v>1700</v>
      </c>
      <c r="U101" s="46" t="s">
        <v>1432</v>
      </c>
      <c r="V101" s="49"/>
    </row>
    <row r="102" spans="1:22">
      <c r="A102" s="37">
        <v>540425202104006</v>
      </c>
      <c r="B102" s="38" t="s">
        <v>20</v>
      </c>
      <c r="C102" s="484" t="s">
        <v>1821</v>
      </c>
      <c r="D102" s="40" t="s">
        <v>1776</v>
      </c>
      <c r="E102" s="41">
        <v>44593</v>
      </c>
      <c r="F102" s="40" t="s">
        <v>1807</v>
      </c>
      <c r="G102" s="40" t="s">
        <v>1675</v>
      </c>
      <c r="H102" s="42">
        <v>5</v>
      </c>
      <c r="I102" s="43">
        <v>1</v>
      </c>
      <c r="J102" s="48">
        <v>5000</v>
      </c>
      <c r="K102" s="44">
        <v>2916.67</v>
      </c>
      <c r="L102" s="44">
        <v>2083.33</v>
      </c>
      <c r="M102" s="45" t="s">
        <v>1625</v>
      </c>
      <c r="N102" s="46" t="s">
        <v>1652</v>
      </c>
      <c r="O102" s="45" t="s">
        <v>1421</v>
      </c>
      <c r="P102" s="45" t="s">
        <v>1627</v>
      </c>
      <c r="Q102" s="45" t="s">
        <v>1628</v>
      </c>
      <c r="R102" s="45" t="s">
        <v>1629</v>
      </c>
      <c r="S102" s="46" t="s">
        <v>1630</v>
      </c>
      <c r="T102" s="45" t="s">
        <v>1700</v>
      </c>
      <c r="U102" s="46" t="s">
        <v>1432</v>
      </c>
      <c r="V102" s="49"/>
    </row>
    <row r="103" spans="1:22">
      <c r="A103" s="37">
        <v>540425202104006</v>
      </c>
      <c r="B103" s="38" t="s">
        <v>20</v>
      </c>
      <c r="C103" s="484" t="s">
        <v>1822</v>
      </c>
      <c r="D103" s="40" t="s">
        <v>1823</v>
      </c>
      <c r="E103" s="41">
        <v>44593</v>
      </c>
      <c r="F103" s="40" t="s">
        <v>1807</v>
      </c>
      <c r="G103" s="40" t="s">
        <v>1651</v>
      </c>
      <c r="H103" s="42">
        <v>5</v>
      </c>
      <c r="I103" s="43">
        <v>1</v>
      </c>
      <c r="J103" s="48">
        <v>150000</v>
      </c>
      <c r="K103" s="44">
        <v>87500</v>
      </c>
      <c r="L103" s="44">
        <v>62500</v>
      </c>
      <c r="M103" s="45" t="s">
        <v>1625</v>
      </c>
      <c r="N103" s="46" t="s">
        <v>1652</v>
      </c>
      <c r="O103" s="45" t="s">
        <v>1421</v>
      </c>
      <c r="P103" s="45" t="s">
        <v>1627</v>
      </c>
      <c r="Q103" s="45" t="s">
        <v>1628</v>
      </c>
      <c r="R103" s="45" t="s">
        <v>1629</v>
      </c>
      <c r="S103" s="46" t="s">
        <v>1630</v>
      </c>
      <c r="T103" s="45" t="s">
        <v>1700</v>
      </c>
      <c r="U103" s="46" t="s">
        <v>1432</v>
      </c>
      <c r="V103" s="49"/>
    </row>
    <row r="104" spans="1:22">
      <c r="A104" s="37">
        <v>540425202104006</v>
      </c>
      <c r="B104" s="38" t="s">
        <v>20</v>
      </c>
      <c r="C104" s="484" t="s">
        <v>1824</v>
      </c>
      <c r="D104" s="40" t="s">
        <v>1812</v>
      </c>
      <c r="E104" s="41">
        <v>44593</v>
      </c>
      <c r="F104" s="40" t="s">
        <v>1807</v>
      </c>
      <c r="G104" s="40" t="s">
        <v>1684</v>
      </c>
      <c r="H104" s="42">
        <v>3</v>
      </c>
      <c r="I104" s="43">
        <v>78</v>
      </c>
      <c r="J104" s="48">
        <v>869590</v>
      </c>
      <c r="K104" s="44">
        <v>845434.72</v>
      </c>
      <c r="L104" s="44">
        <v>24155.28</v>
      </c>
      <c r="M104" s="45" t="s">
        <v>1685</v>
      </c>
      <c r="N104" s="46" t="s">
        <v>1686</v>
      </c>
      <c r="O104" s="45" t="s">
        <v>1421</v>
      </c>
      <c r="P104" s="45" t="s">
        <v>1687</v>
      </c>
      <c r="Q104" s="45" t="s">
        <v>1688</v>
      </c>
      <c r="R104" s="45" t="s">
        <v>1689</v>
      </c>
      <c r="S104" s="46" t="s">
        <v>1630</v>
      </c>
      <c r="T104" s="45" t="s">
        <v>1636</v>
      </c>
      <c r="U104" s="46" t="s">
        <v>1432</v>
      </c>
      <c r="V104" s="49"/>
    </row>
    <row r="105" spans="1:22">
      <c r="A105" s="37">
        <v>540425202104006</v>
      </c>
      <c r="B105" s="38" t="s">
        <v>20</v>
      </c>
      <c r="C105" s="484" t="s">
        <v>1825</v>
      </c>
      <c r="D105" s="40" t="s">
        <v>1814</v>
      </c>
      <c r="E105" s="41">
        <v>44593</v>
      </c>
      <c r="F105" s="40" t="s">
        <v>1807</v>
      </c>
      <c r="G105" s="40" t="s">
        <v>1684</v>
      </c>
      <c r="H105" s="42">
        <v>3</v>
      </c>
      <c r="I105" s="43">
        <v>33</v>
      </c>
      <c r="J105" s="48">
        <v>367910</v>
      </c>
      <c r="K105" s="44">
        <v>357690.28</v>
      </c>
      <c r="L105" s="44">
        <v>10219.72</v>
      </c>
      <c r="M105" s="45" t="s">
        <v>1685</v>
      </c>
      <c r="N105" s="46" t="s">
        <v>1686</v>
      </c>
      <c r="O105" s="45" t="s">
        <v>1421</v>
      </c>
      <c r="P105" s="45" t="s">
        <v>1627</v>
      </c>
      <c r="Q105" s="45" t="s">
        <v>1628</v>
      </c>
      <c r="R105" s="45" t="s">
        <v>1629</v>
      </c>
      <c r="S105" s="46" t="s">
        <v>1630</v>
      </c>
      <c r="T105" s="45" t="s">
        <v>1700</v>
      </c>
      <c r="U105" s="46" t="s">
        <v>1432</v>
      </c>
      <c r="V105" s="49"/>
    </row>
    <row r="106" hidden="1" spans="1:22">
      <c r="A106" s="37">
        <v>540425201718002</v>
      </c>
      <c r="B106" s="38" t="s">
        <v>20</v>
      </c>
      <c r="C106" s="484" t="s">
        <v>1826</v>
      </c>
      <c r="D106" s="40" t="s">
        <v>1827</v>
      </c>
      <c r="E106" s="41">
        <v>43344</v>
      </c>
      <c r="F106" s="40" t="s">
        <v>984</v>
      </c>
      <c r="G106" s="40" t="s">
        <v>1642</v>
      </c>
      <c r="H106" s="42">
        <v>20</v>
      </c>
      <c r="I106" s="43">
        <v>1</v>
      </c>
      <c r="J106" s="48">
        <v>8617994.25</v>
      </c>
      <c r="K106" s="44">
        <v>2729031.51</v>
      </c>
      <c r="L106" s="44">
        <v>5888962.74</v>
      </c>
      <c r="M106" s="45" t="s">
        <v>1625</v>
      </c>
      <c r="N106" s="46" t="s">
        <v>1643</v>
      </c>
      <c r="O106" s="45" t="s">
        <v>1426</v>
      </c>
      <c r="P106" s="45" t="s">
        <v>1627</v>
      </c>
      <c r="Q106" s="45" t="s">
        <v>1628</v>
      </c>
      <c r="R106" s="45" t="s">
        <v>1629</v>
      </c>
      <c r="S106" s="46" t="s">
        <v>1630</v>
      </c>
      <c r="T106" s="45" t="s">
        <v>1627</v>
      </c>
      <c r="U106" s="46" t="s">
        <v>121</v>
      </c>
      <c r="V106" s="49"/>
    </row>
    <row r="107" hidden="1" spans="1:22">
      <c r="A107" s="37">
        <v>540425201718002</v>
      </c>
      <c r="B107" s="38" t="s">
        <v>20</v>
      </c>
      <c r="C107" s="484" t="s">
        <v>1828</v>
      </c>
      <c r="D107" s="40" t="s">
        <v>1829</v>
      </c>
      <c r="E107" s="41">
        <v>43344</v>
      </c>
      <c r="F107" s="40" t="s">
        <v>984</v>
      </c>
      <c r="G107" s="40" t="s">
        <v>1642</v>
      </c>
      <c r="H107" s="42">
        <v>20</v>
      </c>
      <c r="I107" s="43">
        <v>1</v>
      </c>
      <c r="J107" s="48">
        <v>10236715.68</v>
      </c>
      <c r="K107" s="44">
        <v>3241626.63</v>
      </c>
      <c r="L107" s="44">
        <v>6995089.05</v>
      </c>
      <c r="M107" s="45" t="s">
        <v>1625</v>
      </c>
      <c r="N107" s="46" t="s">
        <v>1643</v>
      </c>
      <c r="O107" s="45" t="s">
        <v>1426</v>
      </c>
      <c r="P107" s="45" t="s">
        <v>1627</v>
      </c>
      <c r="Q107" s="45" t="s">
        <v>1628</v>
      </c>
      <c r="R107" s="45" t="s">
        <v>1629</v>
      </c>
      <c r="S107" s="46" t="s">
        <v>1630</v>
      </c>
      <c r="T107" s="45" t="s">
        <v>1627</v>
      </c>
      <c r="U107" s="46" t="s">
        <v>121</v>
      </c>
      <c r="V107" s="49"/>
    </row>
    <row r="108" hidden="1" spans="1:22">
      <c r="A108" s="37">
        <v>540425201718002</v>
      </c>
      <c r="B108" s="38" t="s">
        <v>20</v>
      </c>
      <c r="C108" s="484" t="s">
        <v>1830</v>
      </c>
      <c r="D108" s="40" t="s">
        <v>1831</v>
      </c>
      <c r="E108" s="41">
        <v>43344</v>
      </c>
      <c r="F108" s="40" t="s">
        <v>984</v>
      </c>
      <c r="G108" s="40" t="s">
        <v>1642</v>
      </c>
      <c r="H108" s="42">
        <v>20</v>
      </c>
      <c r="I108" s="43">
        <v>1</v>
      </c>
      <c r="J108" s="48">
        <v>190366.75</v>
      </c>
      <c r="K108" s="44">
        <v>60282.8</v>
      </c>
      <c r="L108" s="44">
        <v>130083.95</v>
      </c>
      <c r="M108" s="45" t="s">
        <v>1625</v>
      </c>
      <c r="N108" s="46" t="s">
        <v>1643</v>
      </c>
      <c r="O108" s="45" t="s">
        <v>1426</v>
      </c>
      <c r="P108" s="45" t="s">
        <v>1627</v>
      </c>
      <c r="Q108" s="45" t="s">
        <v>1628</v>
      </c>
      <c r="R108" s="45" t="s">
        <v>1629</v>
      </c>
      <c r="S108" s="46" t="s">
        <v>1630</v>
      </c>
      <c r="T108" s="45" t="s">
        <v>1627</v>
      </c>
      <c r="U108" s="46" t="s">
        <v>121</v>
      </c>
      <c r="V108" s="49"/>
    </row>
    <row r="109" hidden="1" spans="1:22">
      <c r="A109" s="37">
        <v>540425201918003</v>
      </c>
      <c r="B109" s="38" t="s">
        <v>20</v>
      </c>
      <c r="C109" s="484" t="s">
        <v>1832</v>
      </c>
      <c r="D109" s="40" t="s">
        <v>1827</v>
      </c>
      <c r="E109" s="41">
        <v>44105</v>
      </c>
      <c r="F109" s="40" t="s">
        <v>984</v>
      </c>
      <c r="G109" s="40" t="s">
        <v>1642</v>
      </c>
      <c r="H109" s="42">
        <v>20</v>
      </c>
      <c r="I109" s="43">
        <v>1</v>
      </c>
      <c r="J109" s="48">
        <v>3541011.49</v>
      </c>
      <c r="K109" s="44">
        <v>752464.94</v>
      </c>
      <c r="L109" s="44">
        <v>2788546.55</v>
      </c>
      <c r="M109" s="45" t="s">
        <v>1625</v>
      </c>
      <c r="N109" s="46" t="s">
        <v>1643</v>
      </c>
      <c r="O109" s="45" t="s">
        <v>1426</v>
      </c>
      <c r="P109" s="45" t="s">
        <v>1627</v>
      </c>
      <c r="Q109" s="45" t="s">
        <v>1628</v>
      </c>
      <c r="R109" s="45" t="s">
        <v>1629</v>
      </c>
      <c r="S109" s="46" t="s">
        <v>1630</v>
      </c>
      <c r="T109" s="45" t="s">
        <v>1627</v>
      </c>
      <c r="U109" s="46" t="s">
        <v>121</v>
      </c>
      <c r="V109" s="49"/>
    </row>
    <row r="110" hidden="1" spans="1:22">
      <c r="A110" s="37">
        <v>540425201918003</v>
      </c>
      <c r="B110" s="38" t="s">
        <v>20</v>
      </c>
      <c r="C110" s="484" t="s">
        <v>1833</v>
      </c>
      <c r="D110" s="40" t="s">
        <v>1829</v>
      </c>
      <c r="E110" s="41">
        <v>44105</v>
      </c>
      <c r="F110" s="40" t="s">
        <v>984</v>
      </c>
      <c r="G110" s="40" t="s">
        <v>1642</v>
      </c>
      <c r="H110" s="42">
        <v>20</v>
      </c>
      <c r="I110" s="43">
        <v>1</v>
      </c>
      <c r="J110" s="48">
        <v>3242062.55</v>
      </c>
      <c r="K110" s="44">
        <v>688938.29</v>
      </c>
      <c r="L110" s="44">
        <v>2553124.26</v>
      </c>
      <c r="M110" s="45" t="s">
        <v>1625</v>
      </c>
      <c r="N110" s="46" t="s">
        <v>1643</v>
      </c>
      <c r="O110" s="45" t="s">
        <v>1426</v>
      </c>
      <c r="P110" s="45" t="s">
        <v>1627</v>
      </c>
      <c r="Q110" s="45" t="s">
        <v>1628</v>
      </c>
      <c r="R110" s="45" t="s">
        <v>1629</v>
      </c>
      <c r="S110" s="46" t="s">
        <v>1630</v>
      </c>
      <c r="T110" s="45" t="s">
        <v>1627</v>
      </c>
      <c r="U110" s="46" t="s">
        <v>121</v>
      </c>
      <c r="V110" s="49"/>
    </row>
    <row r="111" hidden="1" spans="1:22">
      <c r="A111" s="37">
        <v>540425201918003</v>
      </c>
      <c r="B111" s="38" t="s">
        <v>20</v>
      </c>
      <c r="C111" s="484" t="s">
        <v>1834</v>
      </c>
      <c r="D111" s="40" t="s">
        <v>1835</v>
      </c>
      <c r="E111" s="41">
        <v>44105</v>
      </c>
      <c r="F111" s="40" t="s">
        <v>984</v>
      </c>
      <c r="G111" s="40" t="s">
        <v>1642</v>
      </c>
      <c r="H111" s="42">
        <v>20</v>
      </c>
      <c r="I111" s="43">
        <v>1</v>
      </c>
      <c r="J111" s="48">
        <v>6610042.41</v>
      </c>
      <c r="K111" s="44">
        <v>1404634.01</v>
      </c>
      <c r="L111" s="44">
        <v>5205408.4</v>
      </c>
      <c r="M111" s="45" t="s">
        <v>1625</v>
      </c>
      <c r="N111" s="46" t="s">
        <v>1643</v>
      </c>
      <c r="O111" s="45" t="s">
        <v>1426</v>
      </c>
      <c r="P111" s="45" t="s">
        <v>1627</v>
      </c>
      <c r="Q111" s="45" t="s">
        <v>1628</v>
      </c>
      <c r="R111" s="45" t="s">
        <v>1629</v>
      </c>
      <c r="S111" s="46" t="s">
        <v>1630</v>
      </c>
      <c r="T111" s="45" t="s">
        <v>1627</v>
      </c>
      <c r="U111" s="46" t="s">
        <v>121</v>
      </c>
      <c r="V111" s="49"/>
    </row>
    <row r="112" hidden="1" spans="1:22">
      <c r="A112" s="37">
        <v>540425201918003</v>
      </c>
      <c r="B112" s="38" t="s">
        <v>20</v>
      </c>
      <c r="C112" s="484" t="s">
        <v>1836</v>
      </c>
      <c r="D112" s="40" t="s">
        <v>1837</v>
      </c>
      <c r="E112" s="41">
        <v>44105</v>
      </c>
      <c r="F112" s="40" t="s">
        <v>984</v>
      </c>
      <c r="G112" s="40" t="s">
        <v>1642</v>
      </c>
      <c r="H112" s="42">
        <v>20</v>
      </c>
      <c r="I112" s="43">
        <v>1</v>
      </c>
      <c r="J112" s="48">
        <v>2992626.82</v>
      </c>
      <c r="K112" s="44">
        <v>635933.2</v>
      </c>
      <c r="L112" s="44">
        <v>2356693.62</v>
      </c>
      <c r="M112" s="45" t="s">
        <v>1625</v>
      </c>
      <c r="N112" s="46" t="s">
        <v>1643</v>
      </c>
      <c r="O112" s="45" t="s">
        <v>1426</v>
      </c>
      <c r="P112" s="45" t="s">
        <v>1627</v>
      </c>
      <c r="Q112" s="45" t="s">
        <v>1628</v>
      </c>
      <c r="R112" s="45" t="s">
        <v>1629</v>
      </c>
      <c r="S112" s="46" t="s">
        <v>1630</v>
      </c>
      <c r="T112" s="45" t="s">
        <v>1627</v>
      </c>
      <c r="U112" s="46" t="s">
        <v>121</v>
      </c>
      <c r="V112" s="49"/>
    </row>
    <row r="113" hidden="1" spans="1:22">
      <c r="A113" s="37">
        <v>540425201918003</v>
      </c>
      <c r="B113" s="38" t="s">
        <v>20</v>
      </c>
      <c r="C113" s="484" t="s">
        <v>1838</v>
      </c>
      <c r="D113" s="40" t="s">
        <v>1839</v>
      </c>
      <c r="E113" s="41">
        <v>44105</v>
      </c>
      <c r="F113" s="40" t="s">
        <v>984</v>
      </c>
      <c r="G113" s="40" t="s">
        <v>1642</v>
      </c>
      <c r="H113" s="42">
        <v>20</v>
      </c>
      <c r="I113" s="43">
        <v>1</v>
      </c>
      <c r="J113" s="48">
        <v>2551587.46</v>
      </c>
      <c r="K113" s="44">
        <v>542212.34</v>
      </c>
      <c r="L113" s="44">
        <v>2009375.12</v>
      </c>
      <c r="M113" s="45" t="s">
        <v>1625</v>
      </c>
      <c r="N113" s="46" t="s">
        <v>1643</v>
      </c>
      <c r="O113" s="45" t="s">
        <v>1426</v>
      </c>
      <c r="P113" s="45" t="s">
        <v>1627</v>
      </c>
      <c r="Q113" s="45" t="s">
        <v>1628</v>
      </c>
      <c r="R113" s="45" t="s">
        <v>1629</v>
      </c>
      <c r="S113" s="46" t="s">
        <v>1630</v>
      </c>
      <c r="T113" s="45" t="s">
        <v>1627</v>
      </c>
      <c r="U113" s="46" t="s">
        <v>121</v>
      </c>
      <c r="V113" s="49"/>
    </row>
    <row r="114" hidden="1" spans="1:22">
      <c r="A114" s="37">
        <v>540425201918003</v>
      </c>
      <c r="B114" s="38" t="s">
        <v>20</v>
      </c>
      <c r="C114" s="484" t="s">
        <v>1840</v>
      </c>
      <c r="D114" s="40" t="s">
        <v>1841</v>
      </c>
      <c r="E114" s="41">
        <v>44105</v>
      </c>
      <c r="F114" s="40" t="s">
        <v>984</v>
      </c>
      <c r="G114" s="40" t="s">
        <v>1642</v>
      </c>
      <c r="H114" s="42">
        <v>20</v>
      </c>
      <c r="I114" s="43">
        <v>1</v>
      </c>
      <c r="J114" s="48">
        <v>5606269.27</v>
      </c>
      <c r="K114" s="44">
        <v>1191332.22</v>
      </c>
      <c r="L114" s="44">
        <v>4414937.05</v>
      </c>
      <c r="M114" s="45" t="s">
        <v>1625</v>
      </c>
      <c r="N114" s="46" t="s">
        <v>1643</v>
      </c>
      <c r="O114" s="45" t="s">
        <v>1426</v>
      </c>
      <c r="P114" s="45" t="s">
        <v>1627</v>
      </c>
      <c r="Q114" s="45" t="s">
        <v>1628</v>
      </c>
      <c r="R114" s="45" t="s">
        <v>1629</v>
      </c>
      <c r="S114" s="46" t="s">
        <v>1630</v>
      </c>
      <c r="T114" s="45" t="s">
        <v>1627</v>
      </c>
      <c r="U114" s="46" t="s">
        <v>121</v>
      </c>
      <c r="V114" s="49"/>
    </row>
    <row r="115" hidden="1" spans="1:22">
      <c r="A115" s="37">
        <v>540425201918003</v>
      </c>
      <c r="B115" s="38" t="s">
        <v>20</v>
      </c>
      <c r="C115" s="484" t="s">
        <v>1842</v>
      </c>
      <c r="D115" s="40" t="s">
        <v>1843</v>
      </c>
      <c r="E115" s="41">
        <v>44105</v>
      </c>
      <c r="F115" s="40" t="s">
        <v>984</v>
      </c>
      <c r="G115" s="40" t="s">
        <v>1642</v>
      </c>
      <c r="H115" s="42">
        <v>20</v>
      </c>
      <c r="I115" s="43">
        <v>1</v>
      </c>
      <c r="J115" s="48">
        <v>216400</v>
      </c>
      <c r="K115" s="44">
        <v>45985</v>
      </c>
      <c r="L115" s="44">
        <v>170415</v>
      </c>
      <c r="M115" s="45" t="s">
        <v>1625</v>
      </c>
      <c r="N115" s="46" t="s">
        <v>1643</v>
      </c>
      <c r="O115" s="45" t="s">
        <v>1426</v>
      </c>
      <c r="P115" s="45" t="s">
        <v>1627</v>
      </c>
      <c r="Q115" s="45" t="s">
        <v>1628</v>
      </c>
      <c r="R115" s="45" t="s">
        <v>1629</v>
      </c>
      <c r="S115" s="46" t="s">
        <v>1630</v>
      </c>
      <c r="T115" s="45" t="s">
        <v>1627</v>
      </c>
      <c r="U115" s="46" t="s">
        <v>121</v>
      </c>
      <c r="V115" s="49"/>
    </row>
    <row r="116" hidden="1" spans="1:22">
      <c r="A116" s="37">
        <v>540425202204009</v>
      </c>
      <c r="B116" s="38" t="s">
        <v>20</v>
      </c>
      <c r="C116" s="484" t="s">
        <v>1844</v>
      </c>
      <c r="D116" s="40" t="s">
        <v>1845</v>
      </c>
      <c r="E116" s="41">
        <v>45078</v>
      </c>
      <c r="F116" s="40" t="s">
        <v>1729</v>
      </c>
      <c r="G116" s="40" t="s">
        <v>1651</v>
      </c>
      <c r="H116" s="42">
        <v>20</v>
      </c>
      <c r="I116" s="43">
        <v>1</v>
      </c>
      <c r="J116" s="48">
        <v>942468.4</v>
      </c>
      <c r="K116" s="44">
        <v>74612.08</v>
      </c>
      <c r="L116" s="44">
        <v>867856.32</v>
      </c>
      <c r="M116" s="45" t="s">
        <v>1625</v>
      </c>
      <c r="N116" s="46" t="s">
        <v>1626</v>
      </c>
      <c r="O116" s="45" t="s">
        <v>1421</v>
      </c>
      <c r="P116" s="45" t="s">
        <v>1627</v>
      </c>
      <c r="Q116" s="45" t="s">
        <v>1628</v>
      </c>
      <c r="R116" s="45" t="s">
        <v>1629</v>
      </c>
      <c r="S116" s="46" t="s">
        <v>1846</v>
      </c>
      <c r="T116" s="51"/>
      <c r="U116" s="46" t="s">
        <v>1444</v>
      </c>
      <c r="V116" s="49"/>
    </row>
    <row r="117" hidden="1" spans="1:22">
      <c r="A117" s="37">
        <v>540425201907012</v>
      </c>
      <c r="B117" s="38" t="s">
        <v>20</v>
      </c>
      <c r="C117" s="484" t="s">
        <v>1847</v>
      </c>
      <c r="D117" s="40" t="s">
        <v>1698</v>
      </c>
      <c r="E117" s="41">
        <v>43952</v>
      </c>
      <c r="F117" s="40" t="s">
        <v>1848</v>
      </c>
      <c r="G117" s="40" t="s">
        <v>1642</v>
      </c>
      <c r="H117" s="42">
        <v>20</v>
      </c>
      <c r="I117" s="43">
        <v>1</v>
      </c>
      <c r="J117" s="48">
        <v>143333.33</v>
      </c>
      <c r="K117" s="44">
        <v>33444.44</v>
      </c>
      <c r="L117" s="44">
        <v>109888.89</v>
      </c>
      <c r="M117" s="45" t="s">
        <v>1625</v>
      </c>
      <c r="N117" s="46" t="s">
        <v>1643</v>
      </c>
      <c r="O117" s="45" t="s">
        <v>1421</v>
      </c>
      <c r="P117" s="45" t="s">
        <v>1627</v>
      </c>
      <c r="Q117" s="45" t="s">
        <v>1628</v>
      </c>
      <c r="R117" s="45" t="s">
        <v>1629</v>
      </c>
      <c r="S117" s="46" t="s">
        <v>1630</v>
      </c>
      <c r="T117" s="45" t="s">
        <v>1627</v>
      </c>
      <c r="U117" s="46" t="s">
        <v>1449</v>
      </c>
      <c r="V117" s="49"/>
    </row>
    <row r="118" hidden="1" spans="1:22">
      <c r="A118" s="37">
        <v>540425201907012</v>
      </c>
      <c r="B118" s="38" t="s">
        <v>20</v>
      </c>
      <c r="C118" s="484" t="s">
        <v>1849</v>
      </c>
      <c r="D118" s="40" t="s">
        <v>1850</v>
      </c>
      <c r="E118" s="41">
        <v>43952</v>
      </c>
      <c r="F118" s="40" t="s">
        <v>1848</v>
      </c>
      <c r="G118" s="40" t="s">
        <v>1642</v>
      </c>
      <c r="H118" s="42">
        <v>20</v>
      </c>
      <c r="I118" s="43">
        <v>1</v>
      </c>
      <c r="J118" s="48">
        <v>55000</v>
      </c>
      <c r="K118" s="44">
        <v>12833.33</v>
      </c>
      <c r="L118" s="44">
        <v>42166.67</v>
      </c>
      <c r="M118" s="45" t="s">
        <v>1625</v>
      </c>
      <c r="N118" s="46" t="s">
        <v>1643</v>
      </c>
      <c r="O118" s="45" t="s">
        <v>1421</v>
      </c>
      <c r="P118" s="45" t="s">
        <v>1627</v>
      </c>
      <c r="Q118" s="45" t="s">
        <v>1628</v>
      </c>
      <c r="R118" s="45" t="s">
        <v>1629</v>
      </c>
      <c r="S118" s="46" t="s">
        <v>1630</v>
      </c>
      <c r="T118" s="45" t="s">
        <v>1627</v>
      </c>
      <c r="U118" s="46" t="s">
        <v>1449</v>
      </c>
      <c r="V118" s="49"/>
    </row>
    <row r="119" hidden="1" spans="1:22">
      <c r="A119" s="37">
        <v>540425201907012</v>
      </c>
      <c r="B119" s="38" t="s">
        <v>20</v>
      </c>
      <c r="C119" s="484" t="s">
        <v>1851</v>
      </c>
      <c r="D119" s="40" t="s">
        <v>1819</v>
      </c>
      <c r="E119" s="41">
        <v>43952</v>
      </c>
      <c r="F119" s="40" t="s">
        <v>1848</v>
      </c>
      <c r="G119" s="40" t="s">
        <v>1642</v>
      </c>
      <c r="H119" s="42">
        <v>20</v>
      </c>
      <c r="I119" s="43">
        <v>1</v>
      </c>
      <c r="J119" s="48">
        <v>36666.67</v>
      </c>
      <c r="K119" s="44">
        <v>8555.56</v>
      </c>
      <c r="L119" s="44">
        <v>28111.11</v>
      </c>
      <c r="M119" s="45" t="s">
        <v>1625</v>
      </c>
      <c r="N119" s="46" t="s">
        <v>1643</v>
      </c>
      <c r="O119" s="45" t="s">
        <v>1421</v>
      </c>
      <c r="P119" s="45" t="s">
        <v>1627</v>
      </c>
      <c r="Q119" s="45" t="s">
        <v>1628</v>
      </c>
      <c r="R119" s="45" t="s">
        <v>1629</v>
      </c>
      <c r="S119" s="46" t="s">
        <v>1630</v>
      </c>
      <c r="T119" s="45" t="s">
        <v>1627</v>
      </c>
      <c r="U119" s="46" t="s">
        <v>1449</v>
      </c>
      <c r="V119" s="49"/>
    </row>
    <row r="120" hidden="1" spans="1:22">
      <c r="A120" s="37">
        <v>540425201907012</v>
      </c>
      <c r="B120" s="38" t="s">
        <v>20</v>
      </c>
      <c r="C120" s="484" t="s">
        <v>1852</v>
      </c>
      <c r="D120" s="40" t="s">
        <v>1744</v>
      </c>
      <c r="E120" s="41">
        <v>43952</v>
      </c>
      <c r="F120" s="40" t="s">
        <v>1848</v>
      </c>
      <c r="G120" s="40" t="s">
        <v>1647</v>
      </c>
      <c r="H120" s="42">
        <v>20</v>
      </c>
      <c r="I120" s="43">
        <v>1</v>
      </c>
      <c r="J120" s="48">
        <v>2700</v>
      </c>
      <c r="K120" s="44">
        <v>630</v>
      </c>
      <c r="L120" s="44">
        <v>2070</v>
      </c>
      <c r="M120" s="45" t="s">
        <v>1625</v>
      </c>
      <c r="N120" s="46" t="s">
        <v>1643</v>
      </c>
      <c r="O120" s="45" t="s">
        <v>1421</v>
      </c>
      <c r="P120" s="45" t="s">
        <v>1627</v>
      </c>
      <c r="Q120" s="45" t="s">
        <v>1628</v>
      </c>
      <c r="R120" s="45" t="s">
        <v>1629</v>
      </c>
      <c r="S120" s="46" t="s">
        <v>1630</v>
      </c>
      <c r="T120" s="45" t="s">
        <v>1627</v>
      </c>
      <c r="U120" s="46" t="s">
        <v>1449</v>
      </c>
      <c r="V120" s="49"/>
    </row>
    <row r="121" hidden="1" spans="1:22">
      <c r="A121" s="37">
        <v>540425201907012</v>
      </c>
      <c r="B121" s="38" t="s">
        <v>20</v>
      </c>
      <c r="C121" s="484" t="s">
        <v>1853</v>
      </c>
      <c r="D121" s="40" t="s">
        <v>1704</v>
      </c>
      <c r="E121" s="41">
        <v>43952</v>
      </c>
      <c r="F121" s="40" t="s">
        <v>1848</v>
      </c>
      <c r="G121" s="40" t="s">
        <v>1675</v>
      </c>
      <c r="H121" s="42">
        <v>5</v>
      </c>
      <c r="I121" s="43">
        <v>1</v>
      </c>
      <c r="J121" s="48">
        <v>10000</v>
      </c>
      <c r="K121" s="44">
        <v>9333.33</v>
      </c>
      <c r="L121" s="44">
        <v>666.67</v>
      </c>
      <c r="M121" s="45" t="s">
        <v>1625</v>
      </c>
      <c r="N121" s="46" t="s">
        <v>1652</v>
      </c>
      <c r="O121" s="45" t="s">
        <v>1421</v>
      </c>
      <c r="P121" s="45" t="s">
        <v>1627</v>
      </c>
      <c r="Q121" s="45" t="s">
        <v>1628</v>
      </c>
      <c r="R121" s="45" t="s">
        <v>1629</v>
      </c>
      <c r="S121" s="46" t="s">
        <v>1630</v>
      </c>
      <c r="T121" s="45" t="s">
        <v>1627</v>
      </c>
      <c r="U121" s="46" t="s">
        <v>1449</v>
      </c>
      <c r="V121" s="49"/>
    </row>
    <row r="122" hidden="1" spans="1:22">
      <c r="A122" s="37">
        <v>540425201907012</v>
      </c>
      <c r="B122" s="38" t="s">
        <v>20</v>
      </c>
      <c r="C122" s="484" t="s">
        <v>1854</v>
      </c>
      <c r="D122" s="40" t="s">
        <v>1707</v>
      </c>
      <c r="E122" s="41">
        <v>43952</v>
      </c>
      <c r="F122" s="40" t="s">
        <v>1848</v>
      </c>
      <c r="G122" s="40" t="s">
        <v>1675</v>
      </c>
      <c r="H122" s="42">
        <v>5</v>
      </c>
      <c r="I122" s="43">
        <v>1</v>
      </c>
      <c r="J122" s="48">
        <v>7800</v>
      </c>
      <c r="K122" s="44">
        <v>7280</v>
      </c>
      <c r="L122" s="44">
        <v>520</v>
      </c>
      <c r="M122" s="45" t="s">
        <v>1625</v>
      </c>
      <c r="N122" s="46" t="s">
        <v>1652</v>
      </c>
      <c r="O122" s="45" t="s">
        <v>1421</v>
      </c>
      <c r="P122" s="45" t="s">
        <v>1687</v>
      </c>
      <c r="Q122" s="45" t="s">
        <v>1688</v>
      </c>
      <c r="R122" s="45" t="s">
        <v>1687</v>
      </c>
      <c r="S122" s="46" t="s">
        <v>1630</v>
      </c>
      <c r="T122" s="45" t="s">
        <v>1636</v>
      </c>
      <c r="U122" s="46" t="s">
        <v>1449</v>
      </c>
      <c r="V122" s="49"/>
    </row>
    <row r="123" hidden="1" spans="1:22">
      <c r="A123" s="37">
        <v>540425201907012</v>
      </c>
      <c r="B123" s="38" t="s">
        <v>20</v>
      </c>
      <c r="C123" s="484" t="s">
        <v>1855</v>
      </c>
      <c r="D123" s="40" t="s">
        <v>957</v>
      </c>
      <c r="E123" s="41">
        <v>43952</v>
      </c>
      <c r="F123" s="40" t="s">
        <v>1848</v>
      </c>
      <c r="G123" s="40" t="s">
        <v>1684</v>
      </c>
      <c r="H123" s="42">
        <v>3</v>
      </c>
      <c r="I123" s="43">
        <v>63</v>
      </c>
      <c r="J123" s="48">
        <v>244500</v>
      </c>
      <c r="K123" s="44">
        <v>244500</v>
      </c>
      <c r="L123" s="44">
        <v>0</v>
      </c>
      <c r="M123" s="45" t="s">
        <v>1685</v>
      </c>
      <c r="N123" s="46" t="s">
        <v>1686</v>
      </c>
      <c r="O123" s="45" t="s">
        <v>1421</v>
      </c>
      <c r="P123" s="45" t="s">
        <v>1687</v>
      </c>
      <c r="Q123" s="45" t="s">
        <v>1688</v>
      </c>
      <c r="R123" s="45" t="s">
        <v>1689</v>
      </c>
      <c r="S123" s="46" t="s">
        <v>1630</v>
      </c>
      <c r="T123" s="45" t="s">
        <v>1636</v>
      </c>
      <c r="U123" s="46" t="s">
        <v>1449</v>
      </c>
      <c r="V123" s="49"/>
    </row>
    <row r="124" hidden="1" spans="1:22">
      <c r="A124" s="37">
        <v>540425201715001</v>
      </c>
      <c r="B124" s="38" t="s">
        <v>20</v>
      </c>
      <c r="C124" s="484" t="s">
        <v>1856</v>
      </c>
      <c r="D124" s="40" t="s">
        <v>1857</v>
      </c>
      <c r="E124" s="41">
        <v>43252</v>
      </c>
      <c r="F124" s="40" t="s">
        <v>1858</v>
      </c>
      <c r="G124" s="40" t="s">
        <v>1642</v>
      </c>
      <c r="H124" s="42">
        <v>20</v>
      </c>
      <c r="I124" s="43">
        <v>1</v>
      </c>
      <c r="J124" s="48">
        <v>850759.99</v>
      </c>
      <c r="K124" s="44">
        <v>280041.83</v>
      </c>
      <c r="L124" s="44">
        <v>570718.16</v>
      </c>
      <c r="M124" s="45" t="s">
        <v>1625</v>
      </c>
      <c r="N124" s="46" t="s">
        <v>1643</v>
      </c>
      <c r="O124" s="45" t="s">
        <v>1421</v>
      </c>
      <c r="P124" s="45" t="s">
        <v>1627</v>
      </c>
      <c r="Q124" s="45" t="s">
        <v>1628</v>
      </c>
      <c r="R124" s="45" t="s">
        <v>1629</v>
      </c>
      <c r="S124" s="46" t="s">
        <v>1630</v>
      </c>
      <c r="T124" s="45" t="s">
        <v>1627</v>
      </c>
      <c r="U124" s="46" t="s">
        <v>1453</v>
      </c>
      <c r="V124" s="49"/>
    </row>
    <row r="125" hidden="1" spans="1:22">
      <c r="A125" s="37">
        <v>540425201715001</v>
      </c>
      <c r="B125" s="38" t="s">
        <v>20</v>
      </c>
      <c r="C125" s="484" t="s">
        <v>1859</v>
      </c>
      <c r="D125" s="40" t="s">
        <v>1860</v>
      </c>
      <c r="E125" s="41">
        <v>43252</v>
      </c>
      <c r="F125" s="40" t="s">
        <v>1858</v>
      </c>
      <c r="G125" s="40" t="s">
        <v>1651</v>
      </c>
      <c r="H125" s="42">
        <v>10</v>
      </c>
      <c r="I125" s="43">
        <v>1</v>
      </c>
      <c r="J125" s="48">
        <v>235300</v>
      </c>
      <c r="K125" s="44">
        <v>154905.83</v>
      </c>
      <c r="L125" s="44">
        <v>80394.17</v>
      </c>
      <c r="M125" s="45" t="s">
        <v>1625</v>
      </c>
      <c r="N125" s="46" t="s">
        <v>1626</v>
      </c>
      <c r="O125" s="45" t="s">
        <v>1421</v>
      </c>
      <c r="P125" s="45" t="s">
        <v>1627</v>
      </c>
      <c r="Q125" s="45" t="s">
        <v>1628</v>
      </c>
      <c r="R125" s="45" t="s">
        <v>1629</v>
      </c>
      <c r="S125" s="46" t="s">
        <v>1630</v>
      </c>
      <c r="T125" s="45" t="s">
        <v>1627</v>
      </c>
      <c r="U125" s="46" t="s">
        <v>1453</v>
      </c>
      <c r="V125" s="49"/>
    </row>
    <row r="126" hidden="1" spans="1:22">
      <c r="A126" s="37">
        <v>540425201715001</v>
      </c>
      <c r="B126" s="38" t="s">
        <v>20</v>
      </c>
      <c r="C126" s="484" t="s">
        <v>1861</v>
      </c>
      <c r="D126" s="40" t="s">
        <v>1862</v>
      </c>
      <c r="E126" s="41">
        <v>43252</v>
      </c>
      <c r="F126" s="40" t="s">
        <v>1858</v>
      </c>
      <c r="G126" s="40" t="s">
        <v>1651</v>
      </c>
      <c r="H126" s="42">
        <v>10</v>
      </c>
      <c r="I126" s="43">
        <v>1</v>
      </c>
      <c r="J126" s="48">
        <v>120000</v>
      </c>
      <c r="K126" s="44">
        <v>79000</v>
      </c>
      <c r="L126" s="44">
        <v>41000</v>
      </c>
      <c r="M126" s="45" t="s">
        <v>1625</v>
      </c>
      <c r="N126" s="46" t="s">
        <v>1626</v>
      </c>
      <c r="O126" s="45" t="s">
        <v>1421</v>
      </c>
      <c r="P126" s="45" t="s">
        <v>1627</v>
      </c>
      <c r="Q126" s="45" t="s">
        <v>1628</v>
      </c>
      <c r="R126" s="45" t="s">
        <v>1629</v>
      </c>
      <c r="S126" s="46" t="s">
        <v>1630</v>
      </c>
      <c r="T126" s="45" t="s">
        <v>1627</v>
      </c>
      <c r="U126" s="46" t="s">
        <v>1453</v>
      </c>
      <c r="V126" s="49"/>
    </row>
    <row r="127" hidden="1" spans="1:22">
      <c r="A127" s="37">
        <v>540425201715001</v>
      </c>
      <c r="B127" s="38" t="s">
        <v>20</v>
      </c>
      <c r="C127" s="484" t="s">
        <v>1863</v>
      </c>
      <c r="D127" s="40" t="s">
        <v>1864</v>
      </c>
      <c r="E127" s="41">
        <v>43252</v>
      </c>
      <c r="F127" s="40" t="s">
        <v>1858</v>
      </c>
      <c r="G127" s="40" t="s">
        <v>1865</v>
      </c>
      <c r="H127" s="42">
        <v>10</v>
      </c>
      <c r="I127" s="43">
        <v>6000</v>
      </c>
      <c r="J127" s="48">
        <v>54000</v>
      </c>
      <c r="K127" s="44">
        <v>35550</v>
      </c>
      <c r="L127" s="44">
        <v>18450</v>
      </c>
      <c r="M127" s="45" t="s">
        <v>1685</v>
      </c>
      <c r="N127" s="46" t="s">
        <v>1866</v>
      </c>
      <c r="O127" s="45" t="s">
        <v>1421</v>
      </c>
      <c r="P127" s="45" t="s">
        <v>1627</v>
      </c>
      <c r="Q127" s="45" t="s">
        <v>1628</v>
      </c>
      <c r="R127" s="45" t="s">
        <v>1629</v>
      </c>
      <c r="S127" s="46" t="s">
        <v>1630</v>
      </c>
      <c r="T127" s="45" t="s">
        <v>1627</v>
      </c>
      <c r="U127" s="46" t="s">
        <v>1453</v>
      </c>
      <c r="V127" s="49"/>
    </row>
    <row r="128" hidden="1" spans="1:22">
      <c r="A128" s="37">
        <v>540425202115006</v>
      </c>
      <c r="B128" s="38" t="s">
        <v>20</v>
      </c>
      <c r="C128" s="484" t="s">
        <v>1867</v>
      </c>
      <c r="D128" s="40" t="s">
        <v>979</v>
      </c>
      <c r="E128" s="41">
        <v>44562</v>
      </c>
      <c r="F128" s="40" t="s">
        <v>1858</v>
      </c>
      <c r="G128" s="40" t="s">
        <v>1868</v>
      </c>
      <c r="H128" s="42">
        <v>10</v>
      </c>
      <c r="I128" s="43">
        <v>100</v>
      </c>
      <c r="J128" s="48">
        <v>2294800</v>
      </c>
      <c r="K128" s="44">
        <v>688440</v>
      </c>
      <c r="L128" s="44">
        <v>1606360</v>
      </c>
      <c r="M128" s="45" t="s">
        <v>1685</v>
      </c>
      <c r="N128" s="46" t="s">
        <v>1866</v>
      </c>
      <c r="O128" s="45" t="s">
        <v>1421</v>
      </c>
      <c r="P128" s="45" t="s">
        <v>1627</v>
      </c>
      <c r="Q128" s="45" t="s">
        <v>1628</v>
      </c>
      <c r="R128" s="45" t="s">
        <v>1629</v>
      </c>
      <c r="S128" s="46" t="s">
        <v>1630</v>
      </c>
      <c r="T128" s="45" t="s">
        <v>1627</v>
      </c>
      <c r="U128" s="46" t="s">
        <v>1453</v>
      </c>
      <c r="V128" s="52" t="s">
        <v>1869</v>
      </c>
    </row>
    <row r="129" hidden="1" spans="1:22">
      <c r="A129" s="37">
        <v>540425202115004</v>
      </c>
      <c r="B129" s="38" t="s">
        <v>20</v>
      </c>
      <c r="C129" s="484" t="s">
        <v>1870</v>
      </c>
      <c r="D129" s="40" t="s">
        <v>1871</v>
      </c>
      <c r="E129" s="41">
        <v>44501</v>
      </c>
      <c r="F129" s="40" t="s">
        <v>1858</v>
      </c>
      <c r="G129" s="40" t="s">
        <v>1872</v>
      </c>
      <c r="H129" s="42">
        <v>10</v>
      </c>
      <c r="I129" s="43">
        <v>1</v>
      </c>
      <c r="J129" s="48">
        <v>115200</v>
      </c>
      <c r="K129" s="44">
        <v>36480</v>
      </c>
      <c r="L129" s="44">
        <v>78720</v>
      </c>
      <c r="M129" s="45" t="s">
        <v>1625</v>
      </c>
      <c r="N129" s="46" t="s">
        <v>1626</v>
      </c>
      <c r="O129" s="45" t="s">
        <v>1421</v>
      </c>
      <c r="P129" s="45" t="s">
        <v>1627</v>
      </c>
      <c r="Q129" s="45" t="s">
        <v>1628</v>
      </c>
      <c r="R129" s="45" t="s">
        <v>1629</v>
      </c>
      <c r="S129" s="46" t="s">
        <v>1846</v>
      </c>
      <c r="T129" s="45"/>
      <c r="U129" s="46" t="s">
        <v>1453</v>
      </c>
      <c r="V129" s="49"/>
    </row>
    <row r="130" hidden="1" spans="1:22">
      <c r="A130" s="37">
        <v>540425202117013</v>
      </c>
      <c r="B130" s="38" t="s">
        <v>20</v>
      </c>
      <c r="C130" s="484" t="s">
        <v>1873</v>
      </c>
      <c r="D130" s="40" t="s">
        <v>1874</v>
      </c>
      <c r="E130" s="41">
        <v>44501</v>
      </c>
      <c r="F130" s="40" t="s">
        <v>1858</v>
      </c>
      <c r="G130" s="40" t="s">
        <v>1647</v>
      </c>
      <c r="H130" s="42">
        <v>10</v>
      </c>
      <c r="I130" s="43">
        <v>1</v>
      </c>
      <c r="J130" s="48">
        <v>52000</v>
      </c>
      <c r="K130" s="44">
        <v>16466.67</v>
      </c>
      <c r="L130" s="44">
        <v>35533.33</v>
      </c>
      <c r="M130" s="45" t="s">
        <v>1625</v>
      </c>
      <c r="N130" s="46" t="s">
        <v>1626</v>
      </c>
      <c r="O130" s="45" t="s">
        <v>1421</v>
      </c>
      <c r="P130" s="45" t="s">
        <v>1627</v>
      </c>
      <c r="Q130" s="45" t="s">
        <v>1628</v>
      </c>
      <c r="R130" s="45" t="s">
        <v>1629</v>
      </c>
      <c r="S130" s="46" t="s">
        <v>1846</v>
      </c>
      <c r="T130" s="45"/>
      <c r="U130" s="46" t="s">
        <v>1453</v>
      </c>
      <c r="V130" s="49"/>
    </row>
    <row r="131" hidden="1" spans="1:22">
      <c r="A131" s="37">
        <v>540425202117013</v>
      </c>
      <c r="B131" s="38" t="s">
        <v>20</v>
      </c>
      <c r="C131" s="484" t="s">
        <v>1875</v>
      </c>
      <c r="D131" s="40" t="s">
        <v>1876</v>
      </c>
      <c r="E131" s="41">
        <v>44501</v>
      </c>
      <c r="F131" s="40" t="s">
        <v>1858</v>
      </c>
      <c r="G131" s="40" t="s">
        <v>1877</v>
      </c>
      <c r="H131" s="42">
        <v>10</v>
      </c>
      <c r="I131" s="43">
        <v>1</v>
      </c>
      <c r="J131" s="48">
        <v>184700</v>
      </c>
      <c r="K131" s="44">
        <v>58488.33</v>
      </c>
      <c r="L131" s="44">
        <v>126211.67</v>
      </c>
      <c r="M131" s="45" t="s">
        <v>1625</v>
      </c>
      <c r="N131" s="46" t="s">
        <v>1626</v>
      </c>
      <c r="O131" s="45" t="s">
        <v>1421</v>
      </c>
      <c r="P131" s="45" t="s">
        <v>1627</v>
      </c>
      <c r="Q131" s="45" t="s">
        <v>1628</v>
      </c>
      <c r="R131" s="45" t="s">
        <v>1878</v>
      </c>
      <c r="S131" s="46" t="s">
        <v>1846</v>
      </c>
      <c r="T131" s="45"/>
      <c r="U131" s="46" t="s">
        <v>1453</v>
      </c>
      <c r="V131" s="49"/>
    </row>
    <row r="132" hidden="1" spans="1:22">
      <c r="A132" s="37">
        <v>540425202117013</v>
      </c>
      <c r="B132" s="38" t="s">
        <v>20</v>
      </c>
      <c r="C132" s="484" t="s">
        <v>1879</v>
      </c>
      <c r="D132" s="40" t="s">
        <v>1880</v>
      </c>
      <c r="E132" s="41">
        <v>44501</v>
      </c>
      <c r="F132" s="40" t="s">
        <v>1858</v>
      </c>
      <c r="G132" s="40" t="s">
        <v>1881</v>
      </c>
      <c r="H132" s="42">
        <v>10</v>
      </c>
      <c r="I132" s="43">
        <v>1</v>
      </c>
      <c r="J132" s="48">
        <v>23300</v>
      </c>
      <c r="K132" s="44">
        <v>7378.33</v>
      </c>
      <c r="L132" s="44">
        <v>15921.67</v>
      </c>
      <c r="M132" s="45" t="s">
        <v>1625</v>
      </c>
      <c r="N132" s="46" t="s">
        <v>1626</v>
      </c>
      <c r="O132" s="45" t="s">
        <v>1421</v>
      </c>
      <c r="P132" s="45" t="s">
        <v>1627</v>
      </c>
      <c r="Q132" s="45" t="s">
        <v>1628</v>
      </c>
      <c r="R132" s="45" t="s">
        <v>1878</v>
      </c>
      <c r="S132" s="46" t="s">
        <v>1846</v>
      </c>
      <c r="T132" s="45"/>
      <c r="U132" s="46" t="s">
        <v>1453</v>
      </c>
      <c r="V132" s="49"/>
    </row>
    <row r="133" hidden="1" spans="1:22">
      <c r="A133" s="37">
        <v>540425202117013</v>
      </c>
      <c r="B133" s="38" t="s">
        <v>20</v>
      </c>
      <c r="C133" s="484" t="s">
        <v>1882</v>
      </c>
      <c r="D133" s="40" t="s">
        <v>1883</v>
      </c>
      <c r="E133" s="41">
        <v>44501</v>
      </c>
      <c r="F133" s="40" t="s">
        <v>1858</v>
      </c>
      <c r="G133" s="40" t="s">
        <v>1884</v>
      </c>
      <c r="H133" s="42">
        <v>10</v>
      </c>
      <c r="I133" s="43">
        <v>1</v>
      </c>
      <c r="J133" s="48">
        <v>12300</v>
      </c>
      <c r="K133" s="44">
        <v>3895</v>
      </c>
      <c r="L133" s="44">
        <v>8405</v>
      </c>
      <c r="M133" s="45" t="s">
        <v>1625</v>
      </c>
      <c r="N133" s="46" t="s">
        <v>1626</v>
      </c>
      <c r="O133" s="45" t="s">
        <v>1421</v>
      </c>
      <c r="P133" s="45" t="s">
        <v>1627</v>
      </c>
      <c r="Q133" s="45" t="s">
        <v>1628</v>
      </c>
      <c r="R133" s="45" t="s">
        <v>1878</v>
      </c>
      <c r="S133" s="46" t="s">
        <v>1846</v>
      </c>
      <c r="T133" s="45"/>
      <c r="U133" s="46" t="s">
        <v>1453</v>
      </c>
      <c r="V133" s="49"/>
    </row>
    <row r="134" hidden="1" spans="1:22">
      <c r="A134" s="37">
        <v>540425202117013</v>
      </c>
      <c r="B134" s="38" t="s">
        <v>20</v>
      </c>
      <c r="C134" s="484" t="s">
        <v>1885</v>
      </c>
      <c r="D134" s="40" t="s">
        <v>1886</v>
      </c>
      <c r="E134" s="41">
        <v>44501</v>
      </c>
      <c r="F134" s="40" t="s">
        <v>1858</v>
      </c>
      <c r="G134" s="40" t="s">
        <v>1647</v>
      </c>
      <c r="H134" s="42">
        <v>10</v>
      </c>
      <c r="I134" s="43">
        <v>1</v>
      </c>
      <c r="J134" s="48">
        <v>62700</v>
      </c>
      <c r="K134" s="44">
        <v>19855</v>
      </c>
      <c r="L134" s="44">
        <v>42845</v>
      </c>
      <c r="M134" s="45" t="s">
        <v>1625</v>
      </c>
      <c r="N134" s="46" t="s">
        <v>1626</v>
      </c>
      <c r="O134" s="45" t="s">
        <v>1421</v>
      </c>
      <c r="P134" s="45" t="s">
        <v>1627</v>
      </c>
      <c r="Q134" s="45" t="s">
        <v>1628</v>
      </c>
      <c r="R134" s="45" t="s">
        <v>1878</v>
      </c>
      <c r="S134" s="46" t="s">
        <v>1846</v>
      </c>
      <c r="T134" s="45"/>
      <c r="U134" s="46" t="s">
        <v>1453</v>
      </c>
      <c r="V134" s="49"/>
    </row>
    <row r="135" hidden="1" spans="1:22">
      <c r="A135" s="37">
        <v>540425202117013</v>
      </c>
      <c r="B135" s="38" t="s">
        <v>20</v>
      </c>
      <c r="C135" s="484" t="s">
        <v>1887</v>
      </c>
      <c r="D135" s="40" t="s">
        <v>1886</v>
      </c>
      <c r="E135" s="41">
        <v>44501</v>
      </c>
      <c r="F135" s="40" t="s">
        <v>1858</v>
      </c>
      <c r="G135" s="40" t="s">
        <v>1647</v>
      </c>
      <c r="H135" s="42">
        <v>10</v>
      </c>
      <c r="I135" s="43">
        <v>1</v>
      </c>
      <c r="J135" s="48">
        <v>62700</v>
      </c>
      <c r="K135" s="44">
        <v>19855</v>
      </c>
      <c r="L135" s="44">
        <v>42845</v>
      </c>
      <c r="M135" s="45" t="s">
        <v>1625</v>
      </c>
      <c r="N135" s="46" t="s">
        <v>1626</v>
      </c>
      <c r="O135" s="45" t="s">
        <v>1421</v>
      </c>
      <c r="P135" s="45" t="s">
        <v>1627</v>
      </c>
      <c r="Q135" s="45" t="s">
        <v>1628</v>
      </c>
      <c r="R135" s="45" t="s">
        <v>1878</v>
      </c>
      <c r="S135" s="46" t="s">
        <v>1846</v>
      </c>
      <c r="T135" s="45"/>
      <c r="U135" s="46" t="s">
        <v>1453</v>
      </c>
      <c r="V135" s="49"/>
    </row>
    <row r="136" hidden="1" spans="1:22">
      <c r="A136" s="37">
        <v>540425202117013</v>
      </c>
      <c r="B136" s="38" t="s">
        <v>20</v>
      </c>
      <c r="C136" s="484" t="s">
        <v>1888</v>
      </c>
      <c r="D136" s="40" t="s">
        <v>1889</v>
      </c>
      <c r="E136" s="41">
        <v>44501</v>
      </c>
      <c r="F136" s="40" t="s">
        <v>1858</v>
      </c>
      <c r="G136" s="40" t="s">
        <v>1624</v>
      </c>
      <c r="H136" s="42">
        <v>10</v>
      </c>
      <c r="I136" s="43">
        <v>1</v>
      </c>
      <c r="J136" s="48">
        <v>13075</v>
      </c>
      <c r="K136" s="44">
        <v>4140.42</v>
      </c>
      <c r="L136" s="44">
        <v>8934.58</v>
      </c>
      <c r="M136" s="45" t="s">
        <v>1625</v>
      </c>
      <c r="N136" s="46" t="s">
        <v>1626</v>
      </c>
      <c r="O136" s="45" t="s">
        <v>1421</v>
      </c>
      <c r="P136" s="45" t="s">
        <v>1687</v>
      </c>
      <c r="Q136" s="45" t="s">
        <v>1688</v>
      </c>
      <c r="R136" s="45" t="s">
        <v>1687</v>
      </c>
      <c r="S136" s="46" t="s">
        <v>1846</v>
      </c>
      <c r="T136" s="45"/>
      <c r="U136" s="46" t="s">
        <v>1453</v>
      </c>
      <c r="V136" s="49"/>
    </row>
    <row r="137" hidden="1" spans="1:22">
      <c r="A137" s="37">
        <v>540425202117013</v>
      </c>
      <c r="B137" s="38" t="s">
        <v>20</v>
      </c>
      <c r="C137" s="484" t="s">
        <v>1890</v>
      </c>
      <c r="D137" s="40" t="s">
        <v>1889</v>
      </c>
      <c r="E137" s="41">
        <v>44501</v>
      </c>
      <c r="F137" s="40" t="s">
        <v>1858</v>
      </c>
      <c r="G137" s="40" t="s">
        <v>1624</v>
      </c>
      <c r="H137" s="42">
        <v>10</v>
      </c>
      <c r="I137" s="43">
        <v>1</v>
      </c>
      <c r="J137" s="48">
        <v>13075</v>
      </c>
      <c r="K137" s="44">
        <v>4140.42</v>
      </c>
      <c r="L137" s="44">
        <v>8934.58</v>
      </c>
      <c r="M137" s="45" t="s">
        <v>1625</v>
      </c>
      <c r="N137" s="46" t="s">
        <v>1626</v>
      </c>
      <c r="O137" s="45" t="s">
        <v>1421</v>
      </c>
      <c r="P137" s="45" t="s">
        <v>1687</v>
      </c>
      <c r="Q137" s="45" t="s">
        <v>1688</v>
      </c>
      <c r="R137" s="45" t="s">
        <v>1687</v>
      </c>
      <c r="S137" s="46" t="s">
        <v>1846</v>
      </c>
      <c r="T137" s="45"/>
      <c r="U137" s="46" t="s">
        <v>1453</v>
      </c>
      <c r="V137" s="49"/>
    </row>
    <row r="138" hidden="1" spans="1:22">
      <c r="A138" s="37">
        <v>540425202117013</v>
      </c>
      <c r="B138" s="38" t="s">
        <v>20</v>
      </c>
      <c r="C138" s="484" t="s">
        <v>1891</v>
      </c>
      <c r="D138" s="40" t="s">
        <v>1889</v>
      </c>
      <c r="E138" s="41">
        <v>44501</v>
      </c>
      <c r="F138" s="40" t="s">
        <v>1858</v>
      </c>
      <c r="G138" s="40" t="s">
        <v>1624</v>
      </c>
      <c r="H138" s="42">
        <v>10</v>
      </c>
      <c r="I138" s="43">
        <v>1</v>
      </c>
      <c r="J138" s="48">
        <v>13075</v>
      </c>
      <c r="K138" s="44">
        <v>4140.42</v>
      </c>
      <c r="L138" s="44">
        <v>8934.58</v>
      </c>
      <c r="M138" s="45" t="s">
        <v>1625</v>
      </c>
      <c r="N138" s="46" t="s">
        <v>1626</v>
      </c>
      <c r="O138" s="45" t="s">
        <v>1421</v>
      </c>
      <c r="P138" s="45" t="s">
        <v>1687</v>
      </c>
      <c r="Q138" s="45" t="s">
        <v>1688</v>
      </c>
      <c r="R138" s="45" t="s">
        <v>1687</v>
      </c>
      <c r="S138" s="46" t="s">
        <v>1846</v>
      </c>
      <c r="T138" s="45"/>
      <c r="U138" s="46" t="s">
        <v>1453</v>
      </c>
      <c r="V138" s="49"/>
    </row>
    <row r="139" hidden="1" spans="1:22">
      <c r="A139" s="37">
        <v>540425202117013</v>
      </c>
      <c r="B139" s="38" t="s">
        <v>20</v>
      </c>
      <c r="C139" s="484" t="s">
        <v>1892</v>
      </c>
      <c r="D139" s="40" t="s">
        <v>1889</v>
      </c>
      <c r="E139" s="41">
        <v>44501</v>
      </c>
      <c r="F139" s="40" t="s">
        <v>1858</v>
      </c>
      <c r="G139" s="40" t="s">
        <v>1624</v>
      </c>
      <c r="H139" s="42">
        <v>10</v>
      </c>
      <c r="I139" s="43">
        <v>1</v>
      </c>
      <c r="J139" s="48">
        <v>13075</v>
      </c>
      <c r="K139" s="44">
        <v>4140.42</v>
      </c>
      <c r="L139" s="44">
        <v>8934.58</v>
      </c>
      <c r="M139" s="45" t="s">
        <v>1625</v>
      </c>
      <c r="N139" s="46" t="s">
        <v>1626</v>
      </c>
      <c r="O139" s="45" t="s">
        <v>1421</v>
      </c>
      <c r="P139" s="45" t="s">
        <v>1687</v>
      </c>
      <c r="Q139" s="45" t="s">
        <v>1688</v>
      </c>
      <c r="R139" s="45" t="s">
        <v>1687</v>
      </c>
      <c r="S139" s="46" t="s">
        <v>1846</v>
      </c>
      <c r="T139" s="45"/>
      <c r="U139" s="46" t="s">
        <v>1453</v>
      </c>
      <c r="V139" s="49"/>
    </row>
    <row r="140" hidden="1" spans="1:22">
      <c r="A140" s="37">
        <v>540425202019030</v>
      </c>
      <c r="B140" s="38" t="s">
        <v>20</v>
      </c>
      <c r="C140" s="484" t="s">
        <v>1893</v>
      </c>
      <c r="D140" s="40" t="s">
        <v>1894</v>
      </c>
      <c r="E140" s="41">
        <v>43831</v>
      </c>
      <c r="F140" s="40" t="s">
        <v>1699</v>
      </c>
      <c r="G140" s="40" t="s">
        <v>1895</v>
      </c>
      <c r="H140" s="42">
        <v>10</v>
      </c>
      <c r="I140" s="43">
        <v>1</v>
      </c>
      <c r="J140" s="48">
        <v>336600</v>
      </c>
      <c r="K140" s="44">
        <v>168300</v>
      </c>
      <c r="L140" s="44">
        <v>168300</v>
      </c>
      <c r="M140" s="45" t="s">
        <v>1625</v>
      </c>
      <c r="N140" s="46" t="s">
        <v>1626</v>
      </c>
      <c r="O140" s="45" t="s">
        <v>1421</v>
      </c>
      <c r="P140" s="45" t="s">
        <v>1627</v>
      </c>
      <c r="Q140" s="45" t="s">
        <v>1628</v>
      </c>
      <c r="R140" s="45" t="s">
        <v>1878</v>
      </c>
      <c r="S140" s="46" t="s">
        <v>1630</v>
      </c>
      <c r="T140" s="45" t="s">
        <v>1627</v>
      </c>
      <c r="U140" s="46" t="s">
        <v>1447</v>
      </c>
      <c r="V140" s="49"/>
    </row>
    <row r="141" hidden="1" spans="1:22">
      <c r="A141" s="37">
        <v>540425202019030</v>
      </c>
      <c r="B141" s="38" t="s">
        <v>20</v>
      </c>
      <c r="C141" s="484" t="s">
        <v>1896</v>
      </c>
      <c r="D141" s="40" t="s">
        <v>1897</v>
      </c>
      <c r="E141" s="41">
        <v>43831</v>
      </c>
      <c r="F141" s="40" t="s">
        <v>1699</v>
      </c>
      <c r="G141" s="40" t="s">
        <v>1898</v>
      </c>
      <c r="H141" s="42">
        <v>10</v>
      </c>
      <c r="I141" s="43">
        <v>1</v>
      </c>
      <c r="J141" s="48">
        <v>263400</v>
      </c>
      <c r="K141" s="44">
        <v>131700</v>
      </c>
      <c r="L141" s="44">
        <v>131700</v>
      </c>
      <c r="M141" s="45" t="s">
        <v>1625</v>
      </c>
      <c r="N141" s="46" t="s">
        <v>1626</v>
      </c>
      <c r="O141" s="45" t="s">
        <v>1421</v>
      </c>
      <c r="P141" s="45" t="s">
        <v>1627</v>
      </c>
      <c r="Q141" s="45" t="s">
        <v>1628</v>
      </c>
      <c r="R141" s="45" t="s">
        <v>1878</v>
      </c>
      <c r="S141" s="46" t="s">
        <v>1630</v>
      </c>
      <c r="T141" s="45" t="s">
        <v>1627</v>
      </c>
      <c r="U141" s="46" t="s">
        <v>1447</v>
      </c>
      <c r="V141" s="49"/>
    </row>
    <row r="142" hidden="1" spans="1:22">
      <c r="A142" s="37">
        <v>540425202315008</v>
      </c>
      <c r="B142" s="38" t="s">
        <v>20</v>
      </c>
      <c r="C142" s="484" t="s">
        <v>1899</v>
      </c>
      <c r="D142" s="40" t="s">
        <v>1900</v>
      </c>
      <c r="E142" s="41">
        <v>45231</v>
      </c>
      <c r="F142" s="40" t="s">
        <v>1848</v>
      </c>
      <c r="G142" s="40" t="s">
        <v>1901</v>
      </c>
      <c r="H142" s="42"/>
      <c r="I142" s="43">
        <v>1</v>
      </c>
      <c r="J142" s="48">
        <v>1400000</v>
      </c>
      <c r="K142" s="44" t="s">
        <v>1460</v>
      </c>
      <c r="L142" s="44">
        <v>0</v>
      </c>
      <c r="M142" s="45" t="s">
        <v>1902</v>
      </c>
      <c r="N142" s="46" t="s">
        <v>1903</v>
      </c>
      <c r="O142" s="45" t="s">
        <v>1421</v>
      </c>
      <c r="P142" s="45" t="s">
        <v>1627</v>
      </c>
      <c r="Q142" s="45" t="s">
        <v>1628</v>
      </c>
      <c r="R142" s="45" t="s">
        <v>1878</v>
      </c>
      <c r="S142" s="46" t="s">
        <v>1630</v>
      </c>
      <c r="T142" s="45" t="s">
        <v>1627</v>
      </c>
      <c r="U142" s="46" t="s">
        <v>1451</v>
      </c>
      <c r="V142" s="49"/>
    </row>
    <row r="143" hidden="1" spans="1:22">
      <c r="A143" s="37">
        <v>540425202212029</v>
      </c>
      <c r="B143" s="38" t="s">
        <v>20</v>
      </c>
      <c r="C143" s="485" t="s">
        <v>1904</v>
      </c>
      <c r="D143" s="40" t="s">
        <v>1905</v>
      </c>
      <c r="E143" s="41">
        <v>45017</v>
      </c>
      <c r="F143" s="40" t="s">
        <v>1906</v>
      </c>
      <c r="G143" s="40" t="s">
        <v>1642</v>
      </c>
      <c r="H143" s="42">
        <v>20</v>
      </c>
      <c r="I143" s="43">
        <v>1</v>
      </c>
      <c r="J143" s="48">
        <v>167800</v>
      </c>
      <c r="K143" s="44">
        <v>14682.5</v>
      </c>
      <c r="L143" s="44">
        <v>153117.5</v>
      </c>
      <c r="M143" s="53" t="s">
        <v>1625</v>
      </c>
      <c r="N143" s="46" t="s">
        <v>1643</v>
      </c>
      <c r="O143" s="45" t="s">
        <v>1421</v>
      </c>
      <c r="P143" s="45" t="s">
        <v>1627</v>
      </c>
      <c r="Q143" s="45" t="s">
        <v>1628</v>
      </c>
      <c r="R143" s="45" t="s">
        <v>1629</v>
      </c>
      <c r="S143" s="46" t="s">
        <v>1846</v>
      </c>
      <c r="T143" s="45"/>
      <c r="U143" s="46" t="s">
        <v>1455</v>
      </c>
      <c r="V143" s="49"/>
    </row>
    <row r="144" hidden="1" spans="1:22">
      <c r="A144" s="37">
        <v>540425202212029</v>
      </c>
      <c r="B144" s="38" t="s">
        <v>20</v>
      </c>
      <c r="C144" s="485" t="s">
        <v>1907</v>
      </c>
      <c r="D144" s="40" t="s">
        <v>1908</v>
      </c>
      <c r="E144" s="41">
        <v>45017</v>
      </c>
      <c r="F144" s="40" t="s">
        <v>1906</v>
      </c>
      <c r="G144" s="40" t="s">
        <v>1624</v>
      </c>
      <c r="H144" s="42">
        <v>10</v>
      </c>
      <c r="I144" s="43">
        <v>1</v>
      </c>
      <c r="J144" s="48">
        <v>39500</v>
      </c>
      <c r="K144" s="44">
        <v>6912.5</v>
      </c>
      <c r="L144" s="44">
        <v>32587.5</v>
      </c>
      <c r="M144" s="53" t="s">
        <v>1625</v>
      </c>
      <c r="N144" s="46" t="s">
        <v>1626</v>
      </c>
      <c r="O144" s="45" t="s">
        <v>1421</v>
      </c>
      <c r="P144" s="45" t="s">
        <v>1627</v>
      </c>
      <c r="Q144" s="45" t="s">
        <v>1628</v>
      </c>
      <c r="R144" s="45" t="s">
        <v>1629</v>
      </c>
      <c r="S144" s="46" t="s">
        <v>1846</v>
      </c>
      <c r="T144" s="45"/>
      <c r="U144" s="46" t="s">
        <v>1455</v>
      </c>
      <c r="V144" s="49"/>
    </row>
    <row r="145" hidden="1" spans="1:22">
      <c r="A145" s="37">
        <v>540425202212029</v>
      </c>
      <c r="B145" s="38" t="s">
        <v>20</v>
      </c>
      <c r="C145" s="485" t="s">
        <v>1909</v>
      </c>
      <c r="D145" s="40" t="s">
        <v>1910</v>
      </c>
      <c r="E145" s="41">
        <v>45017</v>
      </c>
      <c r="F145" s="40" t="s">
        <v>1906</v>
      </c>
      <c r="G145" s="40" t="s">
        <v>1624</v>
      </c>
      <c r="H145" s="42">
        <v>10</v>
      </c>
      <c r="I145" s="43">
        <v>1</v>
      </c>
      <c r="J145" s="48">
        <v>20300</v>
      </c>
      <c r="K145" s="44">
        <v>3552.5</v>
      </c>
      <c r="L145" s="44">
        <v>16747.5</v>
      </c>
      <c r="M145" s="53" t="s">
        <v>1625</v>
      </c>
      <c r="N145" s="46" t="s">
        <v>1626</v>
      </c>
      <c r="O145" s="45" t="s">
        <v>1421</v>
      </c>
      <c r="P145" s="45" t="s">
        <v>1627</v>
      </c>
      <c r="Q145" s="45" t="s">
        <v>1628</v>
      </c>
      <c r="R145" s="45" t="s">
        <v>1629</v>
      </c>
      <c r="S145" s="46" t="s">
        <v>1846</v>
      </c>
      <c r="T145" s="45"/>
      <c r="U145" s="46" t="s">
        <v>1455</v>
      </c>
      <c r="V145" s="49"/>
    </row>
    <row r="146" hidden="1" spans="1:22">
      <c r="A146" s="37">
        <v>540425202212029</v>
      </c>
      <c r="B146" s="38" t="s">
        <v>20</v>
      </c>
      <c r="C146" s="485" t="s">
        <v>1911</v>
      </c>
      <c r="D146" s="40" t="s">
        <v>1912</v>
      </c>
      <c r="E146" s="41">
        <v>45017</v>
      </c>
      <c r="F146" s="40" t="s">
        <v>1906</v>
      </c>
      <c r="G146" s="40" t="s">
        <v>1642</v>
      </c>
      <c r="H146" s="42">
        <v>20</v>
      </c>
      <c r="I146" s="43">
        <v>1</v>
      </c>
      <c r="J146" s="48">
        <v>141700</v>
      </c>
      <c r="K146" s="44">
        <v>12398.75</v>
      </c>
      <c r="L146" s="44">
        <v>129301.25</v>
      </c>
      <c r="M146" s="53" t="s">
        <v>1625</v>
      </c>
      <c r="N146" s="46" t="s">
        <v>1626</v>
      </c>
      <c r="O146" s="45" t="s">
        <v>1421</v>
      </c>
      <c r="P146" s="45" t="s">
        <v>1627</v>
      </c>
      <c r="Q146" s="45" t="s">
        <v>1628</v>
      </c>
      <c r="R146" s="45" t="s">
        <v>1629</v>
      </c>
      <c r="S146" s="46" t="s">
        <v>1846</v>
      </c>
      <c r="T146" s="45"/>
      <c r="U146" s="46" t="s">
        <v>1455</v>
      </c>
      <c r="V146" s="49"/>
    </row>
    <row r="147" hidden="1" spans="1:22">
      <c r="A147" s="37">
        <v>540425202212029</v>
      </c>
      <c r="B147" s="38" t="s">
        <v>20</v>
      </c>
      <c r="C147" s="485" t="s">
        <v>1913</v>
      </c>
      <c r="D147" s="40" t="s">
        <v>1914</v>
      </c>
      <c r="E147" s="41">
        <v>45017</v>
      </c>
      <c r="F147" s="40" t="s">
        <v>1906</v>
      </c>
      <c r="G147" s="40" t="s">
        <v>1915</v>
      </c>
      <c r="H147" s="42">
        <v>10</v>
      </c>
      <c r="I147" s="43">
        <v>1</v>
      </c>
      <c r="J147" s="48">
        <v>1195900</v>
      </c>
      <c r="K147" s="44">
        <v>209282.5</v>
      </c>
      <c r="L147" s="44">
        <v>986617.5</v>
      </c>
      <c r="M147" s="53" t="s">
        <v>1625</v>
      </c>
      <c r="N147" s="46" t="s">
        <v>1626</v>
      </c>
      <c r="O147" s="45" t="s">
        <v>1421</v>
      </c>
      <c r="P147" s="45" t="s">
        <v>1627</v>
      </c>
      <c r="Q147" s="45" t="s">
        <v>1628</v>
      </c>
      <c r="R147" s="45" t="s">
        <v>1629</v>
      </c>
      <c r="S147" s="46" t="s">
        <v>1846</v>
      </c>
      <c r="T147" s="45"/>
      <c r="U147" s="46" t="s">
        <v>1455</v>
      </c>
      <c r="V147" s="49"/>
    </row>
    <row r="148" hidden="1" spans="1:22">
      <c r="A148" s="37">
        <v>540425202212029</v>
      </c>
      <c r="B148" s="38" t="s">
        <v>20</v>
      </c>
      <c r="C148" s="485" t="s">
        <v>1916</v>
      </c>
      <c r="D148" s="40" t="s">
        <v>1917</v>
      </c>
      <c r="E148" s="41">
        <v>45017</v>
      </c>
      <c r="F148" s="40" t="s">
        <v>1906</v>
      </c>
      <c r="G148" s="40" t="s">
        <v>1918</v>
      </c>
      <c r="H148" s="42">
        <v>10</v>
      </c>
      <c r="I148" s="43">
        <v>1</v>
      </c>
      <c r="J148" s="48">
        <v>148200</v>
      </c>
      <c r="K148" s="44">
        <v>25935</v>
      </c>
      <c r="L148" s="44">
        <v>122265</v>
      </c>
      <c r="M148" s="53" t="s">
        <v>1625</v>
      </c>
      <c r="N148" s="46" t="s">
        <v>1626</v>
      </c>
      <c r="O148" s="45" t="s">
        <v>1421</v>
      </c>
      <c r="P148" s="45" t="s">
        <v>1627</v>
      </c>
      <c r="Q148" s="45" t="s">
        <v>1628</v>
      </c>
      <c r="R148" s="45" t="s">
        <v>1629</v>
      </c>
      <c r="S148" s="46" t="s">
        <v>1846</v>
      </c>
      <c r="T148" s="45"/>
      <c r="U148" s="46" t="s">
        <v>1455</v>
      </c>
      <c r="V148" s="49"/>
    </row>
    <row r="149" hidden="1" spans="1:22">
      <c r="A149" s="37">
        <v>540425202212029</v>
      </c>
      <c r="B149" s="38" t="s">
        <v>20</v>
      </c>
      <c r="C149" s="485" t="s">
        <v>1919</v>
      </c>
      <c r="D149" s="40" t="s">
        <v>1920</v>
      </c>
      <c r="E149" s="41">
        <v>45017</v>
      </c>
      <c r="F149" s="40" t="s">
        <v>1906</v>
      </c>
      <c r="G149" s="40" t="s">
        <v>1921</v>
      </c>
      <c r="H149" s="42">
        <v>10</v>
      </c>
      <c r="I149" s="43">
        <v>1</v>
      </c>
      <c r="J149" s="48">
        <v>137100</v>
      </c>
      <c r="K149" s="44">
        <v>23992.5</v>
      </c>
      <c r="L149" s="44">
        <v>113107.5</v>
      </c>
      <c r="M149" s="53" t="s">
        <v>1625</v>
      </c>
      <c r="N149" s="46" t="s">
        <v>1626</v>
      </c>
      <c r="O149" s="45" t="s">
        <v>1421</v>
      </c>
      <c r="P149" s="45" t="s">
        <v>1627</v>
      </c>
      <c r="Q149" s="45" t="s">
        <v>1628</v>
      </c>
      <c r="R149" s="45" t="s">
        <v>1629</v>
      </c>
      <c r="S149" s="46" t="s">
        <v>1846</v>
      </c>
      <c r="T149" s="45"/>
      <c r="U149" s="46" t="s">
        <v>1455</v>
      </c>
      <c r="V149" s="49"/>
    </row>
    <row r="150" hidden="1" spans="1:22">
      <c r="A150" s="37">
        <v>540425202212029</v>
      </c>
      <c r="B150" s="38" t="s">
        <v>20</v>
      </c>
      <c r="C150" s="485" t="s">
        <v>1922</v>
      </c>
      <c r="D150" s="40" t="s">
        <v>1923</v>
      </c>
      <c r="E150" s="41">
        <v>45017</v>
      </c>
      <c r="F150" s="40" t="s">
        <v>1906</v>
      </c>
      <c r="G150" s="40" t="s">
        <v>1924</v>
      </c>
      <c r="H150" s="42">
        <v>10</v>
      </c>
      <c r="I150" s="43">
        <v>1</v>
      </c>
      <c r="J150" s="48">
        <v>62100</v>
      </c>
      <c r="K150" s="44">
        <v>10867.5</v>
      </c>
      <c r="L150" s="44">
        <v>51232.5</v>
      </c>
      <c r="M150" s="53" t="s">
        <v>1625</v>
      </c>
      <c r="N150" s="46" t="s">
        <v>1626</v>
      </c>
      <c r="O150" s="45" t="s">
        <v>1421</v>
      </c>
      <c r="P150" s="45" t="s">
        <v>1627</v>
      </c>
      <c r="Q150" s="45" t="s">
        <v>1628</v>
      </c>
      <c r="R150" s="45" t="s">
        <v>1629</v>
      </c>
      <c r="S150" s="46" t="s">
        <v>1846</v>
      </c>
      <c r="T150" s="45"/>
      <c r="U150" s="46" t="s">
        <v>1455</v>
      </c>
      <c r="V150" s="49"/>
    </row>
    <row r="151" hidden="1" spans="1:22">
      <c r="A151" s="37">
        <v>540425202212029</v>
      </c>
      <c r="B151" s="38" t="s">
        <v>20</v>
      </c>
      <c r="C151" s="485" t="s">
        <v>1925</v>
      </c>
      <c r="D151" s="40" t="s">
        <v>1926</v>
      </c>
      <c r="E151" s="41">
        <v>45017</v>
      </c>
      <c r="F151" s="40" t="s">
        <v>1906</v>
      </c>
      <c r="G151" s="40" t="s">
        <v>1927</v>
      </c>
      <c r="H151" s="42">
        <v>10</v>
      </c>
      <c r="I151" s="43">
        <v>1</v>
      </c>
      <c r="J151" s="48">
        <v>99900</v>
      </c>
      <c r="K151" s="44">
        <v>17482.5</v>
      </c>
      <c r="L151" s="44">
        <v>82417.5</v>
      </c>
      <c r="M151" s="53" t="s">
        <v>1625</v>
      </c>
      <c r="N151" s="46" t="s">
        <v>1626</v>
      </c>
      <c r="O151" s="45" t="s">
        <v>1421</v>
      </c>
      <c r="P151" s="45" t="s">
        <v>1627</v>
      </c>
      <c r="Q151" s="45" t="s">
        <v>1628</v>
      </c>
      <c r="R151" s="45" t="s">
        <v>1629</v>
      </c>
      <c r="S151" s="46" t="s">
        <v>1846</v>
      </c>
      <c r="T151" s="45"/>
      <c r="U151" s="46" t="s">
        <v>1455</v>
      </c>
      <c r="V151" s="49"/>
    </row>
    <row r="152" hidden="1" spans="1:22">
      <c r="A152" s="37">
        <v>540425202012020</v>
      </c>
      <c r="B152" s="38" t="s">
        <v>20</v>
      </c>
      <c r="C152" s="485" t="s">
        <v>1928</v>
      </c>
      <c r="D152" s="40" t="s">
        <v>1929</v>
      </c>
      <c r="E152" s="41">
        <v>44075</v>
      </c>
      <c r="F152" s="40" t="s">
        <v>1906</v>
      </c>
      <c r="G152" s="40" t="s">
        <v>1868</v>
      </c>
      <c r="H152" s="42">
        <v>10</v>
      </c>
      <c r="I152" s="43">
        <v>266.46</v>
      </c>
      <c r="J152" s="48">
        <v>405900</v>
      </c>
      <c r="K152" s="44">
        <v>175890</v>
      </c>
      <c r="L152" s="44">
        <v>230010</v>
      </c>
      <c r="M152" s="53" t="s">
        <v>1685</v>
      </c>
      <c r="N152" s="46" t="s">
        <v>1866</v>
      </c>
      <c r="O152" s="45" t="s">
        <v>1421</v>
      </c>
      <c r="P152" s="53" t="s">
        <v>1705</v>
      </c>
      <c r="Q152" s="45" t="s">
        <v>1628</v>
      </c>
      <c r="R152" s="45" t="s">
        <v>1629</v>
      </c>
      <c r="S152" s="46" t="s">
        <v>1630</v>
      </c>
      <c r="T152" s="45" t="s">
        <v>1627</v>
      </c>
      <c r="U152" s="46" t="s">
        <v>1455</v>
      </c>
      <c r="V152" s="49"/>
    </row>
    <row r="153" hidden="1" spans="1:22">
      <c r="A153" s="37">
        <v>540425201812003</v>
      </c>
      <c r="B153" s="38" t="s">
        <v>20</v>
      </c>
      <c r="C153" s="486" t="s">
        <v>1930</v>
      </c>
      <c r="D153" s="40" t="s">
        <v>1929</v>
      </c>
      <c r="E153" s="41">
        <v>43497</v>
      </c>
      <c r="F153" s="40" t="s">
        <v>1931</v>
      </c>
      <c r="G153" s="40" t="s">
        <v>1868</v>
      </c>
      <c r="H153" s="42">
        <v>10</v>
      </c>
      <c r="I153" s="43">
        <v>290.82</v>
      </c>
      <c r="J153" s="48">
        <v>3660500</v>
      </c>
      <c r="K153" s="44">
        <v>2165795.83</v>
      </c>
      <c r="L153" s="44">
        <v>1494704.17</v>
      </c>
      <c r="M153" s="53" t="s">
        <v>1685</v>
      </c>
      <c r="N153" s="46" t="s">
        <v>1866</v>
      </c>
      <c r="O153" s="45" t="s">
        <v>1426</v>
      </c>
      <c r="P153" s="53" t="s">
        <v>1705</v>
      </c>
      <c r="Q153" s="45" t="s">
        <v>1688</v>
      </c>
      <c r="R153" s="45" t="s">
        <v>1689</v>
      </c>
      <c r="S153" s="46" t="s">
        <v>1630</v>
      </c>
      <c r="T153" s="53" t="s">
        <v>1636</v>
      </c>
      <c r="U153" s="46" t="s">
        <v>121</v>
      </c>
      <c r="V153" s="49"/>
    </row>
    <row r="154" hidden="1" spans="1:22">
      <c r="A154" s="37">
        <v>540425201812003</v>
      </c>
      <c r="B154" s="38" t="s">
        <v>20</v>
      </c>
      <c r="C154" s="487" t="s">
        <v>1932</v>
      </c>
      <c r="D154" s="40" t="s">
        <v>1744</v>
      </c>
      <c r="E154" s="41">
        <v>43497</v>
      </c>
      <c r="F154" s="40" t="s">
        <v>1931</v>
      </c>
      <c r="G154" s="40" t="s">
        <v>1647</v>
      </c>
      <c r="H154" s="42">
        <v>10</v>
      </c>
      <c r="I154" s="43">
        <v>1</v>
      </c>
      <c r="J154" s="48">
        <v>81900</v>
      </c>
      <c r="K154" s="44">
        <v>48457.5</v>
      </c>
      <c r="L154" s="44">
        <v>33442.5</v>
      </c>
      <c r="M154" s="53" t="s">
        <v>1625</v>
      </c>
      <c r="N154" s="46" t="s">
        <v>1626</v>
      </c>
      <c r="O154" s="45" t="s">
        <v>1426</v>
      </c>
      <c r="P154" s="53" t="s">
        <v>1627</v>
      </c>
      <c r="Q154" s="53" t="s">
        <v>1688</v>
      </c>
      <c r="R154" s="53" t="s">
        <v>1636</v>
      </c>
      <c r="S154" s="46" t="s">
        <v>1630</v>
      </c>
      <c r="T154" s="53" t="s">
        <v>1636</v>
      </c>
      <c r="U154" s="46" t="s">
        <v>121</v>
      </c>
      <c r="V154" s="49"/>
    </row>
    <row r="155" hidden="1" spans="1:22">
      <c r="A155" s="37">
        <v>540425201812003</v>
      </c>
      <c r="B155" s="38" t="s">
        <v>20</v>
      </c>
      <c r="C155" s="487" t="s">
        <v>1933</v>
      </c>
      <c r="D155" s="40" t="s">
        <v>1934</v>
      </c>
      <c r="E155" s="41">
        <v>43497</v>
      </c>
      <c r="F155" s="40" t="s">
        <v>1931</v>
      </c>
      <c r="G155" s="40" t="s">
        <v>1647</v>
      </c>
      <c r="H155" s="42">
        <v>10</v>
      </c>
      <c r="I155" s="43">
        <v>1</v>
      </c>
      <c r="J155" s="48">
        <v>5300</v>
      </c>
      <c r="K155" s="44">
        <v>3135.83</v>
      </c>
      <c r="L155" s="44">
        <v>2164.17</v>
      </c>
      <c r="M155" s="53" t="s">
        <v>1625</v>
      </c>
      <c r="N155" s="46" t="s">
        <v>1626</v>
      </c>
      <c r="O155" s="45" t="s">
        <v>1426</v>
      </c>
      <c r="P155" s="53" t="s">
        <v>1627</v>
      </c>
      <c r="Q155" s="53" t="s">
        <v>1688</v>
      </c>
      <c r="R155" s="53" t="s">
        <v>1636</v>
      </c>
      <c r="S155" s="46" t="s">
        <v>1630</v>
      </c>
      <c r="T155" s="53" t="s">
        <v>1636</v>
      </c>
      <c r="U155" s="46" t="s">
        <v>121</v>
      </c>
      <c r="V155" s="49"/>
    </row>
    <row r="156" hidden="1" spans="1:22">
      <c r="A156" s="37">
        <v>540425201812003</v>
      </c>
      <c r="B156" s="38" t="s">
        <v>20</v>
      </c>
      <c r="C156" s="487" t="s">
        <v>1935</v>
      </c>
      <c r="D156" s="40" t="s">
        <v>1936</v>
      </c>
      <c r="E156" s="41">
        <v>43497</v>
      </c>
      <c r="F156" s="40" t="s">
        <v>1931</v>
      </c>
      <c r="G156" s="40" t="s">
        <v>1937</v>
      </c>
      <c r="H156" s="42">
        <v>10</v>
      </c>
      <c r="I156" s="43">
        <v>1</v>
      </c>
      <c r="J156" s="48">
        <v>662700</v>
      </c>
      <c r="K156" s="44">
        <v>392097.5</v>
      </c>
      <c r="L156" s="44">
        <v>270602.5</v>
      </c>
      <c r="M156" s="53" t="s">
        <v>1625</v>
      </c>
      <c r="N156" s="46" t="s">
        <v>1626</v>
      </c>
      <c r="O156" s="45" t="s">
        <v>1426</v>
      </c>
      <c r="P156" s="53" t="s">
        <v>1627</v>
      </c>
      <c r="Q156" s="53" t="s">
        <v>1688</v>
      </c>
      <c r="R156" s="53" t="s">
        <v>1636</v>
      </c>
      <c r="S156" s="46" t="s">
        <v>1630</v>
      </c>
      <c r="T156" s="53" t="s">
        <v>1636</v>
      </c>
      <c r="U156" s="46" t="s">
        <v>121</v>
      </c>
      <c r="V156" s="49"/>
    </row>
    <row r="157" hidden="1" spans="1:22">
      <c r="A157" s="37">
        <v>540425201812003</v>
      </c>
      <c r="B157" s="38" t="s">
        <v>20</v>
      </c>
      <c r="C157" s="487" t="s">
        <v>1938</v>
      </c>
      <c r="D157" s="40" t="s">
        <v>1939</v>
      </c>
      <c r="E157" s="41">
        <v>43497</v>
      </c>
      <c r="F157" s="40" t="s">
        <v>1931</v>
      </c>
      <c r="G157" s="40" t="s">
        <v>1940</v>
      </c>
      <c r="H157" s="42">
        <v>5</v>
      </c>
      <c r="I157" s="43">
        <v>4</v>
      </c>
      <c r="J157" s="48">
        <v>6000</v>
      </c>
      <c r="K157" s="44">
        <v>6000</v>
      </c>
      <c r="L157" s="44">
        <v>0</v>
      </c>
      <c r="M157" s="53" t="s">
        <v>1625</v>
      </c>
      <c r="N157" s="46" t="s">
        <v>1652</v>
      </c>
      <c r="O157" s="45" t="s">
        <v>1426</v>
      </c>
      <c r="P157" s="53" t="s">
        <v>1627</v>
      </c>
      <c r="Q157" s="53" t="s">
        <v>1688</v>
      </c>
      <c r="R157" s="53" t="s">
        <v>1636</v>
      </c>
      <c r="S157" s="46" t="s">
        <v>1630</v>
      </c>
      <c r="T157" s="53" t="s">
        <v>1636</v>
      </c>
      <c r="U157" s="46" t="s">
        <v>121</v>
      </c>
      <c r="V157" s="49"/>
    </row>
    <row r="158" hidden="1" spans="1:22">
      <c r="A158" s="37">
        <v>540425201812003</v>
      </c>
      <c r="B158" s="38" t="s">
        <v>20</v>
      </c>
      <c r="C158" s="487" t="s">
        <v>1941</v>
      </c>
      <c r="D158" s="40" t="s">
        <v>1942</v>
      </c>
      <c r="E158" s="41">
        <v>43497</v>
      </c>
      <c r="F158" s="40" t="s">
        <v>1931</v>
      </c>
      <c r="G158" s="40" t="s">
        <v>1675</v>
      </c>
      <c r="H158" s="42">
        <v>5</v>
      </c>
      <c r="I158" s="43">
        <v>4</v>
      </c>
      <c r="J158" s="48">
        <v>10000</v>
      </c>
      <c r="K158" s="44">
        <v>10000</v>
      </c>
      <c r="L158" s="44">
        <v>0</v>
      </c>
      <c r="M158" s="53" t="s">
        <v>1625</v>
      </c>
      <c r="N158" s="46" t="s">
        <v>1652</v>
      </c>
      <c r="O158" s="45" t="s">
        <v>1426</v>
      </c>
      <c r="P158" s="53" t="s">
        <v>1627</v>
      </c>
      <c r="Q158" s="53" t="s">
        <v>1688</v>
      </c>
      <c r="R158" s="53" t="s">
        <v>1636</v>
      </c>
      <c r="S158" s="46" t="s">
        <v>1630</v>
      </c>
      <c r="T158" s="53" t="s">
        <v>1636</v>
      </c>
      <c r="U158" s="46" t="s">
        <v>121</v>
      </c>
      <c r="V158" s="49"/>
    </row>
    <row r="159" hidden="1" spans="1:22">
      <c r="A159" s="37">
        <v>540425201812003</v>
      </c>
      <c r="B159" s="38" t="s">
        <v>20</v>
      </c>
      <c r="C159" s="487" t="s">
        <v>1943</v>
      </c>
      <c r="D159" s="40" t="s">
        <v>1944</v>
      </c>
      <c r="E159" s="41">
        <v>43497</v>
      </c>
      <c r="F159" s="40" t="s">
        <v>1931</v>
      </c>
      <c r="G159" s="40" t="s">
        <v>1675</v>
      </c>
      <c r="H159" s="42">
        <v>5</v>
      </c>
      <c r="I159" s="43">
        <v>4</v>
      </c>
      <c r="J159" s="48">
        <v>60000</v>
      </c>
      <c r="K159" s="44">
        <v>60000</v>
      </c>
      <c r="L159" s="44">
        <v>0</v>
      </c>
      <c r="M159" s="53" t="s">
        <v>1625</v>
      </c>
      <c r="N159" s="46" t="s">
        <v>1652</v>
      </c>
      <c r="O159" s="45" t="s">
        <v>1426</v>
      </c>
      <c r="P159" s="53" t="s">
        <v>1627</v>
      </c>
      <c r="Q159" s="53" t="s">
        <v>1688</v>
      </c>
      <c r="R159" s="53" t="s">
        <v>1636</v>
      </c>
      <c r="S159" s="46" t="s">
        <v>1630</v>
      </c>
      <c r="T159" s="53" t="s">
        <v>1636</v>
      </c>
      <c r="U159" s="46" t="s">
        <v>121</v>
      </c>
      <c r="V159" s="49"/>
    </row>
    <row r="160" hidden="1" spans="1:22">
      <c r="A160" s="37">
        <v>540425201812003</v>
      </c>
      <c r="B160" s="38" t="s">
        <v>20</v>
      </c>
      <c r="C160" s="487" t="s">
        <v>1945</v>
      </c>
      <c r="D160" s="40" t="s">
        <v>1946</v>
      </c>
      <c r="E160" s="41">
        <v>43497</v>
      </c>
      <c r="F160" s="40" t="s">
        <v>1931</v>
      </c>
      <c r="G160" s="40" t="s">
        <v>1675</v>
      </c>
      <c r="H160" s="42">
        <v>5</v>
      </c>
      <c r="I160" s="43">
        <v>2</v>
      </c>
      <c r="J160" s="48">
        <v>6400</v>
      </c>
      <c r="K160" s="44">
        <v>6400</v>
      </c>
      <c r="L160" s="44">
        <v>0</v>
      </c>
      <c r="M160" s="53" t="s">
        <v>1625</v>
      </c>
      <c r="N160" s="46" t="s">
        <v>1652</v>
      </c>
      <c r="O160" s="45" t="s">
        <v>1426</v>
      </c>
      <c r="P160" s="53" t="s">
        <v>1627</v>
      </c>
      <c r="Q160" s="53" t="s">
        <v>1688</v>
      </c>
      <c r="R160" s="53" t="s">
        <v>1636</v>
      </c>
      <c r="S160" s="46" t="s">
        <v>1630</v>
      </c>
      <c r="T160" s="53" t="s">
        <v>1636</v>
      </c>
      <c r="U160" s="46" t="s">
        <v>121</v>
      </c>
      <c r="V160" s="49"/>
    </row>
    <row r="161" hidden="1" spans="1:22">
      <c r="A161" s="37">
        <v>540425202212024</v>
      </c>
      <c r="B161" s="38" t="s">
        <v>20</v>
      </c>
      <c r="C161" s="55" t="s">
        <v>1947</v>
      </c>
      <c r="D161" s="40" t="s">
        <v>1929</v>
      </c>
      <c r="E161" s="41">
        <v>45292</v>
      </c>
      <c r="F161" s="40" t="s">
        <v>1948</v>
      </c>
      <c r="G161" s="40" t="s">
        <v>1868</v>
      </c>
      <c r="H161" s="42">
        <v>10</v>
      </c>
      <c r="I161" s="43">
        <v>487</v>
      </c>
      <c r="J161" s="48">
        <v>8452031.36</v>
      </c>
      <c r="K161" s="44">
        <v>845203.14</v>
      </c>
      <c r="L161" s="44">
        <v>7606828.22</v>
      </c>
      <c r="M161" s="53" t="s">
        <v>1685</v>
      </c>
      <c r="N161" s="46" t="s">
        <v>1866</v>
      </c>
      <c r="O161" s="45" t="s">
        <v>1421</v>
      </c>
      <c r="P161" s="53" t="s">
        <v>1705</v>
      </c>
      <c r="Q161" s="53" t="s">
        <v>1628</v>
      </c>
      <c r="R161" s="53" t="s">
        <v>1629</v>
      </c>
      <c r="S161" s="46" t="s">
        <v>1630</v>
      </c>
      <c r="T161" s="53" t="s">
        <v>1700</v>
      </c>
      <c r="U161" s="46" t="s">
        <v>1492</v>
      </c>
      <c r="V161" s="49"/>
    </row>
    <row r="162" hidden="1" spans="1:22">
      <c r="A162" s="37">
        <v>540425202012017</v>
      </c>
      <c r="B162" s="38" t="s">
        <v>20</v>
      </c>
      <c r="C162" s="55" t="s">
        <v>1949</v>
      </c>
      <c r="D162" s="40" t="s">
        <v>1929</v>
      </c>
      <c r="E162" s="41">
        <v>43862</v>
      </c>
      <c r="F162" s="40" t="s">
        <v>1950</v>
      </c>
      <c r="G162" s="40" t="s">
        <v>1868</v>
      </c>
      <c r="H162" s="42">
        <v>10</v>
      </c>
      <c r="I162" s="43">
        <v>133.32</v>
      </c>
      <c r="J162" s="48">
        <v>1264600</v>
      </c>
      <c r="K162" s="44">
        <v>621761.67</v>
      </c>
      <c r="L162" s="44">
        <v>642838.33</v>
      </c>
      <c r="M162" s="53" t="s">
        <v>1685</v>
      </c>
      <c r="N162" s="46" t="s">
        <v>1866</v>
      </c>
      <c r="O162" s="45" t="s">
        <v>1421</v>
      </c>
      <c r="P162" s="53" t="s">
        <v>1705</v>
      </c>
      <c r="Q162" s="53" t="s">
        <v>1628</v>
      </c>
      <c r="R162" s="53" t="s">
        <v>1629</v>
      </c>
      <c r="S162" s="46" t="s">
        <v>1630</v>
      </c>
      <c r="T162" s="53" t="s">
        <v>1700</v>
      </c>
      <c r="U162" s="46" t="s">
        <v>1498</v>
      </c>
      <c r="V162" s="49"/>
    </row>
    <row r="163" hidden="1" spans="1:22">
      <c r="A163" s="37">
        <v>540425202012017</v>
      </c>
      <c r="B163" s="38" t="s">
        <v>20</v>
      </c>
      <c r="C163" s="55" t="s">
        <v>1949</v>
      </c>
      <c r="D163" s="40" t="s">
        <v>1951</v>
      </c>
      <c r="E163" s="41">
        <v>45047</v>
      </c>
      <c r="F163" s="40" t="s">
        <v>1950</v>
      </c>
      <c r="G163" s="40" t="s">
        <v>1647</v>
      </c>
      <c r="H163" s="42">
        <v>10</v>
      </c>
      <c r="I163" s="43">
        <v>1</v>
      </c>
      <c r="J163" s="44">
        <v>73200</v>
      </c>
      <c r="K163" s="44">
        <v>12200</v>
      </c>
      <c r="L163" s="44">
        <v>61000</v>
      </c>
      <c r="M163" s="53" t="s">
        <v>1625</v>
      </c>
      <c r="N163" s="46" t="s">
        <v>1626</v>
      </c>
      <c r="O163" s="45" t="s">
        <v>1421</v>
      </c>
      <c r="P163" s="53" t="s">
        <v>1627</v>
      </c>
      <c r="Q163" s="53" t="s">
        <v>1628</v>
      </c>
      <c r="R163" s="53" t="s">
        <v>1629</v>
      </c>
      <c r="S163" s="46" t="s">
        <v>1630</v>
      </c>
      <c r="T163" s="53" t="s">
        <v>1700</v>
      </c>
      <c r="U163" s="46" t="s">
        <v>1498</v>
      </c>
      <c r="V163" s="49"/>
    </row>
    <row r="164" hidden="1" spans="1:22">
      <c r="A164" s="37">
        <v>540425202012017</v>
      </c>
      <c r="B164" s="38" t="s">
        <v>20</v>
      </c>
      <c r="C164" s="55" t="s">
        <v>1952</v>
      </c>
      <c r="D164" s="40" t="s">
        <v>1953</v>
      </c>
      <c r="E164" s="41">
        <v>45047</v>
      </c>
      <c r="F164" s="40" t="s">
        <v>1950</v>
      </c>
      <c r="G164" s="40" t="s">
        <v>1647</v>
      </c>
      <c r="H164" s="42">
        <v>10</v>
      </c>
      <c r="I164" s="43">
        <v>1</v>
      </c>
      <c r="J164" s="44">
        <v>108100</v>
      </c>
      <c r="K164" s="44">
        <v>18016.67</v>
      </c>
      <c r="L164" s="44">
        <v>90083.33</v>
      </c>
      <c r="M164" s="53" t="s">
        <v>1625</v>
      </c>
      <c r="N164" s="46" t="s">
        <v>1626</v>
      </c>
      <c r="O164" s="45" t="s">
        <v>1421</v>
      </c>
      <c r="P164" s="53" t="s">
        <v>1627</v>
      </c>
      <c r="Q164" s="53" t="s">
        <v>1628</v>
      </c>
      <c r="R164" s="53" t="s">
        <v>1629</v>
      </c>
      <c r="S164" s="46" t="s">
        <v>1630</v>
      </c>
      <c r="T164" s="53" t="s">
        <v>1700</v>
      </c>
      <c r="U164" s="46" t="s">
        <v>1498</v>
      </c>
      <c r="V164" s="49"/>
    </row>
    <row r="165" hidden="1" spans="1:22">
      <c r="A165" s="37">
        <v>540425202012017</v>
      </c>
      <c r="B165" s="38" t="s">
        <v>20</v>
      </c>
      <c r="C165" s="55" t="s">
        <v>1954</v>
      </c>
      <c r="D165" s="56" t="s">
        <v>1929</v>
      </c>
      <c r="E165" s="41">
        <v>45047</v>
      </c>
      <c r="F165" s="40" t="s">
        <v>1950</v>
      </c>
      <c r="G165" s="40" t="s">
        <v>1868</v>
      </c>
      <c r="H165" s="42">
        <v>10</v>
      </c>
      <c r="I165" s="43">
        <v>220.72</v>
      </c>
      <c r="J165" s="44">
        <v>1457300</v>
      </c>
      <c r="K165" s="44">
        <v>242883.33</v>
      </c>
      <c r="L165" s="44">
        <v>1214416.67</v>
      </c>
      <c r="M165" s="53" t="s">
        <v>1685</v>
      </c>
      <c r="N165" s="46" t="s">
        <v>1866</v>
      </c>
      <c r="O165" s="45" t="s">
        <v>1421</v>
      </c>
      <c r="P165" s="53" t="s">
        <v>1705</v>
      </c>
      <c r="Q165" s="53" t="s">
        <v>1628</v>
      </c>
      <c r="R165" s="53" t="s">
        <v>1629</v>
      </c>
      <c r="S165" s="46" t="s">
        <v>1630</v>
      </c>
      <c r="T165" s="53" t="s">
        <v>1700</v>
      </c>
      <c r="U165" s="46" t="s">
        <v>1498</v>
      </c>
      <c r="V165" s="49"/>
    </row>
    <row r="166" hidden="1" spans="1:22">
      <c r="A166" s="37">
        <v>540425202012017</v>
      </c>
      <c r="B166" s="38" t="s">
        <v>20</v>
      </c>
      <c r="C166" s="55" t="s">
        <v>1955</v>
      </c>
      <c r="D166" s="40" t="s">
        <v>1956</v>
      </c>
      <c r="E166" s="41">
        <v>45047</v>
      </c>
      <c r="F166" s="40" t="s">
        <v>1950</v>
      </c>
      <c r="G166" s="40" t="s">
        <v>1957</v>
      </c>
      <c r="H166" s="42">
        <v>10</v>
      </c>
      <c r="I166" s="43">
        <v>1</v>
      </c>
      <c r="J166" s="44">
        <v>326900</v>
      </c>
      <c r="K166" s="44">
        <v>54483.33</v>
      </c>
      <c r="L166" s="44">
        <v>272416.67</v>
      </c>
      <c r="M166" s="53" t="s">
        <v>1625</v>
      </c>
      <c r="N166" s="46" t="s">
        <v>1626</v>
      </c>
      <c r="O166" s="45" t="s">
        <v>1421</v>
      </c>
      <c r="P166" s="53" t="s">
        <v>1705</v>
      </c>
      <c r="Q166" s="53" t="s">
        <v>1628</v>
      </c>
      <c r="R166" s="53" t="s">
        <v>1629</v>
      </c>
      <c r="S166" s="46" t="s">
        <v>1630</v>
      </c>
      <c r="T166" s="53" t="s">
        <v>1700</v>
      </c>
      <c r="U166" s="46" t="s">
        <v>1498</v>
      </c>
      <c r="V166" s="49"/>
    </row>
    <row r="167" hidden="1" spans="1:22">
      <c r="A167" s="37">
        <v>540425202012017</v>
      </c>
      <c r="B167" s="38" t="s">
        <v>20</v>
      </c>
      <c r="C167" s="55" t="s">
        <v>1958</v>
      </c>
      <c r="D167" s="40" t="s">
        <v>1843</v>
      </c>
      <c r="E167" s="41">
        <v>45047</v>
      </c>
      <c r="F167" s="40" t="s">
        <v>1950</v>
      </c>
      <c r="G167" s="40" t="s">
        <v>1624</v>
      </c>
      <c r="H167" s="42">
        <v>10</v>
      </c>
      <c r="I167" s="43">
        <v>1</v>
      </c>
      <c r="J167" s="44">
        <v>13800</v>
      </c>
      <c r="K167" s="44">
        <v>2300</v>
      </c>
      <c r="L167" s="44">
        <v>11500</v>
      </c>
      <c r="M167" s="53" t="s">
        <v>1625</v>
      </c>
      <c r="N167" s="46" t="s">
        <v>1626</v>
      </c>
      <c r="O167" s="45" t="s">
        <v>1421</v>
      </c>
      <c r="P167" s="53" t="s">
        <v>1705</v>
      </c>
      <c r="Q167" s="53" t="s">
        <v>1628</v>
      </c>
      <c r="R167" s="53" t="s">
        <v>1629</v>
      </c>
      <c r="S167" s="46" t="s">
        <v>1630</v>
      </c>
      <c r="T167" s="53" t="s">
        <v>1700</v>
      </c>
      <c r="U167" s="46" t="s">
        <v>1498</v>
      </c>
      <c r="V167" s="49"/>
    </row>
    <row r="168" hidden="1" spans="1:22">
      <c r="A168" s="37">
        <v>540425201912014</v>
      </c>
      <c r="B168" s="38" t="s">
        <v>20</v>
      </c>
      <c r="C168" s="55" t="s">
        <v>1959</v>
      </c>
      <c r="D168" s="40" t="s">
        <v>1960</v>
      </c>
      <c r="E168" s="41">
        <v>43922</v>
      </c>
      <c r="F168" s="40" t="s">
        <v>1961</v>
      </c>
      <c r="G168" s="40" t="s">
        <v>1647</v>
      </c>
      <c r="H168" s="42">
        <v>10</v>
      </c>
      <c r="I168" s="43">
        <v>1</v>
      </c>
      <c r="J168" s="44">
        <v>191000</v>
      </c>
      <c r="K168" s="44">
        <v>90725</v>
      </c>
      <c r="L168" s="44">
        <v>100275</v>
      </c>
      <c r="M168" s="53" t="s">
        <v>1625</v>
      </c>
      <c r="N168" s="46" t="s">
        <v>1626</v>
      </c>
      <c r="O168" s="45" t="s">
        <v>1421</v>
      </c>
      <c r="P168" s="53" t="s">
        <v>1627</v>
      </c>
      <c r="Q168" s="53" t="s">
        <v>1628</v>
      </c>
      <c r="R168" s="53" t="s">
        <v>1629</v>
      </c>
      <c r="S168" s="46" t="s">
        <v>1630</v>
      </c>
      <c r="T168" s="53" t="s">
        <v>1700</v>
      </c>
      <c r="U168" s="46" t="s">
        <v>1487</v>
      </c>
      <c r="V168" s="49"/>
    </row>
    <row r="169" hidden="1" spans="1:22">
      <c r="A169" s="37">
        <v>540425201912014</v>
      </c>
      <c r="B169" s="38" t="s">
        <v>20</v>
      </c>
      <c r="C169" s="55" t="s">
        <v>1962</v>
      </c>
      <c r="D169" s="40" t="s">
        <v>1929</v>
      </c>
      <c r="E169" s="41">
        <v>43922</v>
      </c>
      <c r="F169" s="40" t="s">
        <v>1961</v>
      </c>
      <c r="G169" s="40" t="s">
        <v>1868</v>
      </c>
      <c r="H169" s="42">
        <v>10</v>
      </c>
      <c r="I169" s="43">
        <v>350.63</v>
      </c>
      <c r="J169" s="44">
        <v>1268500</v>
      </c>
      <c r="K169" s="44">
        <v>602537.5</v>
      </c>
      <c r="L169" s="44">
        <v>665962.5</v>
      </c>
      <c r="M169" s="53" t="s">
        <v>1685</v>
      </c>
      <c r="N169" s="46" t="s">
        <v>1866</v>
      </c>
      <c r="O169" s="45" t="s">
        <v>1421</v>
      </c>
      <c r="P169" s="53" t="s">
        <v>1705</v>
      </c>
      <c r="Q169" s="53" t="s">
        <v>1628</v>
      </c>
      <c r="R169" s="53" t="s">
        <v>1629</v>
      </c>
      <c r="S169" s="46" t="s">
        <v>1630</v>
      </c>
      <c r="T169" s="53" t="s">
        <v>1700</v>
      </c>
      <c r="U169" s="46" t="s">
        <v>1487</v>
      </c>
      <c r="V169" s="49"/>
    </row>
    <row r="170" hidden="1" spans="1:22">
      <c r="A170" s="37">
        <v>540425201912014</v>
      </c>
      <c r="B170" s="38" t="s">
        <v>20</v>
      </c>
      <c r="C170" s="55" t="s">
        <v>1963</v>
      </c>
      <c r="D170" s="40" t="s">
        <v>1956</v>
      </c>
      <c r="E170" s="41">
        <v>43922</v>
      </c>
      <c r="F170" s="40" t="s">
        <v>1961</v>
      </c>
      <c r="G170" s="40" t="s">
        <v>1964</v>
      </c>
      <c r="H170" s="42">
        <v>10</v>
      </c>
      <c r="I170" s="43">
        <v>1</v>
      </c>
      <c r="J170" s="44">
        <v>342500</v>
      </c>
      <c r="K170" s="44">
        <v>162687.5</v>
      </c>
      <c r="L170" s="44">
        <v>179812.5</v>
      </c>
      <c r="M170" s="53" t="s">
        <v>1625</v>
      </c>
      <c r="N170" s="46" t="s">
        <v>1626</v>
      </c>
      <c r="O170" s="45" t="s">
        <v>1421</v>
      </c>
      <c r="P170" s="53" t="s">
        <v>1705</v>
      </c>
      <c r="Q170" s="53" t="s">
        <v>1628</v>
      </c>
      <c r="R170" s="53" t="s">
        <v>1629</v>
      </c>
      <c r="S170" s="46" t="s">
        <v>1630</v>
      </c>
      <c r="T170" s="53" t="s">
        <v>1700</v>
      </c>
      <c r="U170" s="46" t="s">
        <v>1487</v>
      </c>
      <c r="V170" s="49"/>
    </row>
    <row r="171" hidden="1" spans="1:22">
      <c r="A171" s="37">
        <v>540425201912014</v>
      </c>
      <c r="B171" s="38" t="s">
        <v>20</v>
      </c>
      <c r="C171" s="55" t="s">
        <v>1965</v>
      </c>
      <c r="D171" s="40" t="s">
        <v>1843</v>
      </c>
      <c r="E171" s="41">
        <v>43922</v>
      </c>
      <c r="F171" s="40" t="s">
        <v>1961</v>
      </c>
      <c r="G171" s="40" t="s">
        <v>1624</v>
      </c>
      <c r="H171" s="42">
        <v>10</v>
      </c>
      <c r="I171" s="43">
        <v>1</v>
      </c>
      <c r="J171" s="44">
        <v>13300</v>
      </c>
      <c r="K171" s="44">
        <v>6317.5</v>
      </c>
      <c r="L171" s="44">
        <v>6982.5</v>
      </c>
      <c r="M171" s="53" t="s">
        <v>1625</v>
      </c>
      <c r="N171" s="46" t="s">
        <v>1626</v>
      </c>
      <c r="O171" s="45" t="s">
        <v>1421</v>
      </c>
      <c r="P171" s="53" t="s">
        <v>1705</v>
      </c>
      <c r="Q171" s="53" t="s">
        <v>1628</v>
      </c>
      <c r="R171" s="53" t="s">
        <v>1629</v>
      </c>
      <c r="S171" s="46" t="s">
        <v>1630</v>
      </c>
      <c r="T171" s="53" t="s">
        <v>1700</v>
      </c>
      <c r="U171" s="46" t="s">
        <v>1487</v>
      </c>
      <c r="V171" s="49"/>
    </row>
    <row r="172" hidden="1" spans="1:22">
      <c r="A172" s="37">
        <v>540425201912014</v>
      </c>
      <c r="B172" s="38" t="s">
        <v>20</v>
      </c>
      <c r="C172" s="55" t="s">
        <v>1966</v>
      </c>
      <c r="D172" s="40" t="s">
        <v>1939</v>
      </c>
      <c r="E172" s="41">
        <v>43922</v>
      </c>
      <c r="F172" s="40" t="s">
        <v>1961</v>
      </c>
      <c r="G172" s="40" t="s">
        <v>1675</v>
      </c>
      <c r="H172" s="42">
        <v>5</v>
      </c>
      <c r="I172" s="43">
        <v>2</v>
      </c>
      <c r="J172" s="44">
        <v>3600</v>
      </c>
      <c r="K172" s="44">
        <v>3420</v>
      </c>
      <c r="L172" s="44">
        <v>180</v>
      </c>
      <c r="M172" s="53" t="s">
        <v>1625</v>
      </c>
      <c r="N172" s="46" t="s">
        <v>1652</v>
      </c>
      <c r="O172" s="45" t="s">
        <v>1421</v>
      </c>
      <c r="P172" s="53" t="s">
        <v>1705</v>
      </c>
      <c r="Q172" s="53" t="s">
        <v>1628</v>
      </c>
      <c r="R172" s="53" t="s">
        <v>1629</v>
      </c>
      <c r="S172" s="46" t="s">
        <v>1630</v>
      </c>
      <c r="T172" s="53" t="s">
        <v>1700</v>
      </c>
      <c r="U172" s="46" t="s">
        <v>1487</v>
      </c>
      <c r="V172" s="49"/>
    </row>
    <row r="173" hidden="1" spans="1:22">
      <c r="A173" s="37">
        <v>540425201712009</v>
      </c>
      <c r="B173" s="38" t="s">
        <v>20</v>
      </c>
      <c r="C173" s="55" t="s">
        <v>1967</v>
      </c>
      <c r="D173" s="40" t="s">
        <v>1929</v>
      </c>
      <c r="E173" s="41">
        <v>43101</v>
      </c>
      <c r="F173" s="40" t="s">
        <v>1968</v>
      </c>
      <c r="G173" s="40" t="s">
        <v>1868</v>
      </c>
      <c r="H173" s="42">
        <v>10</v>
      </c>
      <c r="I173" s="43">
        <v>83</v>
      </c>
      <c r="J173" s="48">
        <v>6007000</v>
      </c>
      <c r="K173" s="44">
        <v>4204900</v>
      </c>
      <c r="L173" s="44">
        <v>1802100</v>
      </c>
      <c r="M173" s="53" t="s">
        <v>1685</v>
      </c>
      <c r="N173" s="46" t="s">
        <v>1866</v>
      </c>
      <c r="O173" s="45" t="s">
        <v>1421</v>
      </c>
      <c r="P173" s="53" t="s">
        <v>1705</v>
      </c>
      <c r="Q173" s="53" t="s">
        <v>1969</v>
      </c>
      <c r="R173" s="45" t="s">
        <v>1689</v>
      </c>
      <c r="S173" s="46" t="s">
        <v>1630</v>
      </c>
      <c r="T173" s="53" t="s">
        <v>1636</v>
      </c>
      <c r="U173" s="46" t="s">
        <v>1489</v>
      </c>
      <c r="V173" s="52" t="s">
        <v>1464</v>
      </c>
    </row>
    <row r="174" hidden="1" spans="1:22">
      <c r="A174" s="37">
        <v>540425201912011</v>
      </c>
      <c r="B174" s="38" t="s">
        <v>20</v>
      </c>
      <c r="C174" s="55" t="s">
        <v>1970</v>
      </c>
      <c r="D174" s="40" t="s">
        <v>1971</v>
      </c>
      <c r="E174" s="41">
        <v>43891</v>
      </c>
      <c r="F174" s="40" t="s">
        <v>1968</v>
      </c>
      <c r="G174" s="40" t="s">
        <v>1647</v>
      </c>
      <c r="H174" s="42">
        <v>10</v>
      </c>
      <c r="I174" s="43">
        <v>1</v>
      </c>
      <c r="J174" s="44">
        <v>109200</v>
      </c>
      <c r="K174" s="44">
        <v>52780</v>
      </c>
      <c r="L174" s="44">
        <v>56420</v>
      </c>
      <c r="M174" s="53" t="s">
        <v>1625</v>
      </c>
      <c r="N174" s="46" t="s">
        <v>1626</v>
      </c>
      <c r="O174" s="45" t="s">
        <v>1421</v>
      </c>
      <c r="P174" s="53" t="s">
        <v>1627</v>
      </c>
      <c r="Q174" s="53" t="s">
        <v>1969</v>
      </c>
      <c r="R174" s="45" t="s">
        <v>1636</v>
      </c>
      <c r="S174" s="46" t="s">
        <v>1630</v>
      </c>
      <c r="T174" s="53" t="s">
        <v>1636</v>
      </c>
      <c r="U174" s="46" t="s">
        <v>1489</v>
      </c>
      <c r="V174" s="49"/>
    </row>
    <row r="175" hidden="1" spans="1:22">
      <c r="A175" s="37">
        <v>540425201912011</v>
      </c>
      <c r="B175" s="38" t="s">
        <v>20</v>
      </c>
      <c r="C175" s="55" t="s">
        <v>1972</v>
      </c>
      <c r="D175" s="40" t="s">
        <v>1929</v>
      </c>
      <c r="E175" s="41">
        <v>43891</v>
      </c>
      <c r="F175" s="40" t="s">
        <v>1968</v>
      </c>
      <c r="G175" s="40" t="s">
        <v>1868</v>
      </c>
      <c r="H175" s="42">
        <v>10</v>
      </c>
      <c r="I175" s="43">
        <v>0</v>
      </c>
      <c r="J175" s="44">
        <v>1157200</v>
      </c>
      <c r="K175" s="44">
        <v>559313.33</v>
      </c>
      <c r="L175" s="44">
        <v>597886.67</v>
      </c>
      <c r="M175" s="53" t="s">
        <v>1685</v>
      </c>
      <c r="N175" s="46" t="s">
        <v>1866</v>
      </c>
      <c r="O175" s="45" t="s">
        <v>1421</v>
      </c>
      <c r="P175" s="53" t="s">
        <v>1687</v>
      </c>
      <c r="Q175" s="53" t="s">
        <v>1969</v>
      </c>
      <c r="R175" s="45" t="s">
        <v>1689</v>
      </c>
      <c r="S175" s="46" t="s">
        <v>1630</v>
      </c>
      <c r="T175" s="53" t="s">
        <v>1636</v>
      </c>
      <c r="U175" s="46" t="s">
        <v>1489</v>
      </c>
      <c r="V175" s="49"/>
    </row>
    <row r="176" hidden="1" spans="1:22">
      <c r="A176" s="37">
        <v>540425201912011</v>
      </c>
      <c r="B176" s="38" t="s">
        <v>20</v>
      </c>
      <c r="C176" s="55" t="s">
        <v>1973</v>
      </c>
      <c r="D176" s="40" t="s">
        <v>1956</v>
      </c>
      <c r="E176" s="41">
        <v>43891</v>
      </c>
      <c r="F176" s="40" t="s">
        <v>1968</v>
      </c>
      <c r="G176" s="40" t="s">
        <v>1974</v>
      </c>
      <c r="H176" s="42">
        <v>10</v>
      </c>
      <c r="I176" s="43">
        <v>1</v>
      </c>
      <c r="J176" s="44">
        <v>108700</v>
      </c>
      <c r="K176" s="44">
        <v>52538.33</v>
      </c>
      <c r="L176" s="44">
        <v>56161.67</v>
      </c>
      <c r="M176" s="53" t="s">
        <v>1625</v>
      </c>
      <c r="N176" s="46" t="s">
        <v>1626</v>
      </c>
      <c r="O176" s="45" t="s">
        <v>1421</v>
      </c>
      <c r="P176" s="53" t="s">
        <v>1705</v>
      </c>
      <c r="Q176" s="53" t="s">
        <v>1969</v>
      </c>
      <c r="R176" s="53" t="s">
        <v>1687</v>
      </c>
      <c r="S176" s="46" t="s">
        <v>1630</v>
      </c>
      <c r="T176" s="53" t="s">
        <v>1636</v>
      </c>
      <c r="U176" s="46" t="s">
        <v>1489</v>
      </c>
      <c r="V176" s="49"/>
    </row>
    <row r="177" hidden="1" spans="1:22">
      <c r="A177" s="37">
        <v>540425201912011</v>
      </c>
      <c r="B177" s="38" t="s">
        <v>20</v>
      </c>
      <c r="C177" s="55" t="s">
        <v>1975</v>
      </c>
      <c r="D177" s="40" t="s">
        <v>1843</v>
      </c>
      <c r="E177" s="41">
        <v>43891</v>
      </c>
      <c r="F177" s="40" t="s">
        <v>1968</v>
      </c>
      <c r="G177" s="40" t="s">
        <v>1624</v>
      </c>
      <c r="H177" s="42">
        <v>10</v>
      </c>
      <c r="I177" s="43">
        <v>1</v>
      </c>
      <c r="J177" s="44">
        <v>4400</v>
      </c>
      <c r="K177" s="44">
        <v>2126.67</v>
      </c>
      <c r="L177" s="44">
        <v>2273.33</v>
      </c>
      <c r="M177" s="53" t="s">
        <v>1625</v>
      </c>
      <c r="N177" s="46" t="s">
        <v>1626</v>
      </c>
      <c r="O177" s="45" t="s">
        <v>1421</v>
      </c>
      <c r="P177" s="53" t="s">
        <v>1705</v>
      </c>
      <c r="Q177" s="53" t="s">
        <v>1969</v>
      </c>
      <c r="R177" s="53" t="s">
        <v>1687</v>
      </c>
      <c r="S177" s="46" t="s">
        <v>1630</v>
      </c>
      <c r="T177" s="53" t="s">
        <v>1636</v>
      </c>
      <c r="U177" s="46" t="s">
        <v>1489</v>
      </c>
      <c r="V177" s="49"/>
    </row>
    <row r="178" hidden="1" spans="1:22">
      <c r="A178" s="37">
        <v>540425201712009</v>
      </c>
      <c r="B178" s="38" t="s">
        <v>20</v>
      </c>
      <c r="C178" s="55" t="s">
        <v>1967</v>
      </c>
      <c r="D178" s="40" t="s">
        <v>1929</v>
      </c>
      <c r="E178" s="41">
        <v>43466</v>
      </c>
      <c r="F178" s="40" t="s">
        <v>1968</v>
      </c>
      <c r="G178" s="40" t="s">
        <v>1868</v>
      </c>
      <c r="H178" s="42">
        <v>10</v>
      </c>
      <c r="I178" s="43">
        <v>0</v>
      </c>
      <c r="J178" s="48">
        <v>6007000</v>
      </c>
      <c r="K178" s="44">
        <v>6007000</v>
      </c>
      <c r="L178" s="44">
        <v>0</v>
      </c>
      <c r="M178" s="53" t="s">
        <v>1685</v>
      </c>
      <c r="N178" s="46" t="s">
        <v>1866</v>
      </c>
      <c r="O178" s="45" t="s">
        <v>1421</v>
      </c>
      <c r="P178" s="53" t="s">
        <v>1687</v>
      </c>
      <c r="Q178" s="53" t="s">
        <v>1969</v>
      </c>
      <c r="R178" s="45" t="s">
        <v>1689</v>
      </c>
      <c r="S178" s="46" t="s">
        <v>1630</v>
      </c>
      <c r="T178" s="53" t="s">
        <v>1636</v>
      </c>
      <c r="U178" s="46" t="s">
        <v>1489</v>
      </c>
      <c r="V178" s="49"/>
    </row>
    <row r="179" hidden="1" spans="1:22">
      <c r="A179" s="37">
        <v>540425202321004</v>
      </c>
      <c r="B179" s="38" t="s">
        <v>20</v>
      </c>
      <c r="C179" s="55" t="s">
        <v>1976</v>
      </c>
      <c r="D179" s="40" t="s">
        <v>1977</v>
      </c>
      <c r="E179" s="41">
        <v>45139</v>
      </c>
      <c r="F179" s="40" t="s">
        <v>1978</v>
      </c>
      <c r="G179" s="40" t="s">
        <v>1624</v>
      </c>
      <c r="H179" s="42">
        <v>10</v>
      </c>
      <c r="I179" s="43">
        <v>387831</v>
      </c>
      <c r="J179" s="48">
        <v>3851300</v>
      </c>
      <c r="K179" s="44">
        <v>545600.83</v>
      </c>
      <c r="L179" s="44">
        <v>3305699.17</v>
      </c>
      <c r="M179" s="53" t="s">
        <v>1685</v>
      </c>
      <c r="N179" s="46" t="s">
        <v>1866</v>
      </c>
      <c r="O179" s="45" t="s">
        <v>1421</v>
      </c>
      <c r="P179" s="53" t="s">
        <v>1705</v>
      </c>
      <c r="Q179" s="53" t="s">
        <v>1969</v>
      </c>
      <c r="R179" s="53" t="s">
        <v>1979</v>
      </c>
      <c r="S179" s="46" t="s">
        <v>1630</v>
      </c>
      <c r="T179" s="45" t="s">
        <v>1700</v>
      </c>
      <c r="U179" s="46" t="s">
        <v>1475</v>
      </c>
      <c r="V179" s="49"/>
    </row>
    <row r="180" hidden="1" spans="1:22">
      <c r="A180" s="37">
        <v>540425202321004</v>
      </c>
      <c r="B180" s="38" t="s">
        <v>20</v>
      </c>
      <c r="C180" s="55" t="s">
        <v>1980</v>
      </c>
      <c r="D180" s="40" t="s">
        <v>1981</v>
      </c>
      <c r="E180" s="41">
        <v>45139</v>
      </c>
      <c r="F180" s="40" t="s">
        <v>1978</v>
      </c>
      <c r="G180" s="40" t="s">
        <v>1647</v>
      </c>
      <c r="H180" s="42">
        <v>10</v>
      </c>
      <c r="I180" s="43">
        <v>1</v>
      </c>
      <c r="J180" s="48">
        <v>263800</v>
      </c>
      <c r="K180" s="44">
        <v>37371.67</v>
      </c>
      <c r="L180" s="44">
        <v>226428.33</v>
      </c>
      <c r="M180" s="53" t="s">
        <v>1625</v>
      </c>
      <c r="N180" s="46" t="s">
        <v>1626</v>
      </c>
      <c r="O180" s="45" t="s">
        <v>1421</v>
      </c>
      <c r="P180" s="53" t="s">
        <v>1687</v>
      </c>
      <c r="Q180" s="53" t="s">
        <v>1969</v>
      </c>
      <c r="R180" s="53" t="s">
        <v>1687</v>
      </c>
      <c r="S180" s="46" t="s">
        <v>1630</v>
      </c>
      <c r="T180" s="53" t="s">
        <v>1636</v>
      </c>
      <c r="U180" s="46" t="s">
        <v>1475</v>
      </c>
      <c r="V180" s="52" t="s">
        <v>1982</v>
      </c>
    </row>
    <row r="181" hidden="1" spans="1:22">
      <c r="A181" s="37">
        <v>540425201812008</v>
      </c>
      <c r="B181" s="38" t="s">
        <v>20</v>
      </c>
      <c r="C181" s="55" t="s">
        <v>1983</v>
      </c>
      <c r="D181" s="40" t="s">
        <v>1929</v>
      </c>
      <c r="E181" s="41">
        <v>43466</v>
      </c>
      <c r="F181" s="40" t="s">
        <v>1984</v>
      </c>
      <c r="G181" s="40" t="s">
        <v>1868</v>
      </c>
      <c r="H181" s="42">
        <v>10</v>
      </c>
      <c r="I181" s="43">
        <v>158</v>
      </c>
      <c r="J181" s="48">
        <v>1058700</v>
      </c>
      <c r="K181" s="44">
        <v>635220</v>
      </c>
      <c r="L181" s="44">
        <v>423480</v>
      </c>
      <c r="M181" s="53" t="s">
        <v>1685</v>
      </c>
      <c r="N181" s="46" t="s">
        <v>1866</v>
      </c>
      <c r="O181" s="45" t="s">
        <v>1421</v>
      </c>
      <c r="P181" s="53" t="s">
        <v>1687</v>
      </c>
      <c r="Q181" s="53" t="s">
        <v>1969</v>
      </c>
      <c r="R181" s="45" t="s">
        <v>1689</v>
      </c>
      <c r="S181" s="46" t="s">
        <v>1846</v>
      </c>
      <c r="T181" s="53" t="s">
        <v>1636</v>
      </c>
      <c r="U181" s="46" t="s">
        <v>1482</v>
      </c>
      <c r="V181" s="52" t="s">
        <v>1985</v>
      </c>
    </row>
    <row r="182" hidden="1" spans="1:22">
      <c r="A182" s="37">
        <v>540425202012015</v>
      </c>
      <c r="B182" s="38" t="s">
        <v>20</v>
      </c>
      <c r="C182" s="55" t="s">
        <v>1986</v>
      </c>
      <c r="D182" s="40" t="s">
        <v>1987</v>
      </c>
      <c r="E182" s="41">
        <v>44228</v>
      </c>
      <c r="F182" s="40" t="s">
        <v>1984</v>
      </c>
      <c r="G182" s="40" t="s">
        <v>1647</v>
      </c>
      <c r="H182" s="42">
        <v>10</v>
      </c>
      <c r="I182" s="43">
        <v>1</v>
      </c>
      <c r="J182" s="44">
        <v>184500</v>
      </c>
      <c r="K182" s="44">
        <v>72262.5</v>
      </c>
      <c r="L182" s="44">
        <v>112237.5</v>
      </c>
      <c r="M182" s="53" t="s">
        <v>1625</v>
      </c>
      <c r="N182" s="46" t="s">
        <v>1626</v>
      </c>
      <c r="O182" s="45" t="s">
        <v>1421</v>
      </c>
      <c r="P182" s="53" t="s">
        <v>1627</v>
      </c>
      <c r="Q182" s="53" t="s">
        <v>1628</v>
      </c>
      <c r="R182" s="53" t="s">
        <v>1629</v>
      </c>
      <c r="S182" s="46" t="s">
        <v>1630</v>
      </c>
      <c r="T182" s="53" t="s">
        <v>1700</v>
      </c>
      <c r="U182" s="46" t="s">
        <v>1482</v>
      </c>
      <c r="V182" s="49"/>
    </row>
    <row r="183" hidden="1" spans="1:22">
      <c r="A183" s="37">
        <v>540425202012015</v>
      </c>
      <c r="B183" s="38" t="s">
        <v>20</v>
      </c>
      <c r="C183" s="55" t="s">
        <v>1988</v>
      </c>
      <c r="D183" s="40" t="s">
        <v>1929</v>
      </c>
      <c r="E183" s="41">
        <v>44228</v>
      </c>
      <c r="F183" s="40" t="s">
        <v>1984</v>
      </c>
      <c r="G183" s="40" t="s">
        <v>1868</v>
      </c>
      <c r="H183" s="42">
        <v>10</v>
      </c>
      <c r="I183" s="43">
        <v>936.78</v>
      </c>
      <c r="J183" s="44">
        <v>2598350</v>
      </c>
      <c r="K183" s="44">
        <v>1017687.08</v>
      </c>
      <c r="L183" s="44">
        <v>1580662.92</v>
      </c>
      <c r="M183" s="53" t="s">
        <v>1685</v>
      </c>
      <c r="N183" s="46" t="s">
        <v>1866</v>
      </c>
      <c r="O183" s="45" t="s">
        <v>1421</v>
      </c>
      <c r="P183" s="53" t="s">
        <v>1705</v>
      </c>
      <c r="Q183" s="53" t="s">
        <v>1628</v>
      </c>
      <c r="R183" s="53" t="s">
        <v>1629</v>
      </c>
      <c r="S183" s="46" t="s">
        <v>1630</v>
      </c>
      <c r="T183" s="53" t="s">
        <v>1700</v>
      </c>
      <c r="U183" s="46" t="s">
        <v>1482</v>
      </c>
      <c r="V183" s="49"/>
    </row>
    <row r="184" hidden="1" spans="1:22">
      <c r="A184" s="37">
        <v>540425202012015</v>
      </c>
      <c r="B184" s="38" t="s">
        <v>20</v>
      </c>
      <c r="C184" s="55" t="s">
        <v>1989</v>
      </c>
      <c r="D184" s="40" t="s">
        <v>1956</v>
      </c>
      <c r="E184" s="41">
        <v>44228</v>
      </c>
      <c r="F184" s="40" t="s">
        <v>1984</v>
      </c>
      <c r="G184" s="40" t="s">
        <v>1990</v>
      </c>
      <c r="H184" s="42">
        <v>10</v>
      </c>
      <c r="I184" s="43">
        <v>1</v>
      </c>
      <c r="J184" s="44">
        <v>667300</v>
      </c>
      <c r="K184" s="44">
        <v>261359.17</v>
      </c>
      <c r="L184" s="44">
        <v>405940.83</v>
      </c>
      <c r="M184" s="53" t="s">
        <v>1625</v>
      </c>
      <c r="N184" s="46" t="s">
        <v>1626</v>
      </c>
      <c r="O184" s="45" t="s">
        <v>1421</v>
      </c>
      <c r="P184" s="53" t="s">
        <v>1705</v>
      </c>
      <c r="Q184" s="53" t="s">
        <v>1628</v>
      </c>
      <c r="R184" s="53" t="s">
        <v>1629</v>
      </c>
      <c r="S184" s="46" t="s">
        <v>1630</v>
      </c>
      <c r="T184" s="53" t="s">
        <v>1700</v>
      </c>
      <c r="U184" s="46" t="s">
        <v>1482</v>
      </c>
      <c r="V184" s="49"/>
    </row>
    <row r="185" hidden="1" spans="1:22">
      <c r="A185" s="37">
        <v>540425202012015</v>
      </c>
      <c r="B185" s="38" t="s">
        <v>20</v>
      </c>
      <c r="C185" s="55" t="s">
        <v>1991</v>
      </c>
      <c r="D185" s="40" t="s">
        <v>1843</v>
      </c>
      <c r="E185" s="41">
        <v>44228</v>
      </c>
      <c r="F185" s="40" t="s">
        <v>1984</v>
      </c>
      <c r="G185" s="40" t="s">
        <v>1647</v>
      </c>
      <c r="H185" s="42">
        <v>10</v>
      </c>
      <c r="I185" s="43">
        <v>2</v>
      </c>
      <c r="J185" s="44">
        <v>14100</v>
      </c>
      <c r="K185" s="44">
        <v>5522.5</v>
      </c>
      <c r="L185" s="44">
        <v>8577.5</v>
      </c>
      <c r="M185" s="53" t="s">
        <v>1625</v>
      </c>
      <c r="N185" s="46" t="s">
        <v>1626</v>
      </c>
      <c r="O185" s="45" t="s">
        <v>1421</v>
      </c>
      <c r="P185" s="53" t="s">
        <v>1705</v>
      </c>
      <c r="Q185" s="53" t="s">
        <v>1628</v>
      </c>
      <c r="R185" s="53" t="s">
        <v>1629</v>
      </c>
      <c r="S185" s="46" t="s">
        <v>1630</v>
      </c>
      <c r="T185" s="53" t="s">
        <v>1700</v>
      </c>
      <c r="U185" s="46" t="s">
        <v>1482</v>
      </c>
      <c r="V185" s="49"/>
    </row>
    <row r="186" hidden="1" spans="1:22">
      <c r="A186" s="37">
        <v>540425202112021</v>
      </c>
      <c r="B186" s="38" t="s">
        <v>20</v>
      </c>
      <c r="C186" s="55" t="s">
        <v>1992</v>
      </c>
      <c r="D186" s="40" t="s">
        <v>1993</v>
      </c>
      <c r="E186" s="41">
        <v>44593</v>
      </c>
      <c r="F186" s="40" t="s">
        <v>1984</v>
      </c>
      <c r="G186" s="40" t="s">
        <v>1642</v>
      </c>
      <c r="H186" s="42">
        <v>20</v>
      </c>
      <c r="I186" s="43">
        <v>1</v>
      </c>
      <c r="J186" s="48">
        <v>2617500</v>
      </c>
      <c r="K186" s="44">
        <v>381718.75</v>
      </c>
      <c r="L186" s="44">
        <v>2235781.25</v>
      </c>
      <c r="M186" s="53" t="s">
        <v>1625</v>
      </c>
      <c r="N186" s="46" t="s">
        <v>1643</v>
      </c>
      <c r="O186" s="45" t="s">
        <v>1421</v>
      </c>
      <c r="P186" s="53" t="s">
        <v>1627</v>
      </c>
      <c r="Q186" s="53" t="s">
        <v>1628</v>
      </c>
      <c r="R186" s="53" t="s">
        <v>1629</v>
      </c>
      <c r="S186" s="46" t="s">
        <v>1630</v>
      </c>
      <c r="T186" s="53" t="s">
        <v>1700</v>
      </c>
      <c r="U186" s="46" t="s">
        <v>1482</v>
      </c>
      <c r="V186" s="52" t="s">
        <v>1994</v>
      </c>
    </row>
    <row r="187" hidden="1" spans="1:22">
      <c r="A187" s="37">
        <v>540425201812008</v>
      </c>
      <c r="B187" s="38" t="s">
        <v>20</v>
      </c>
      <c r="C187" s="55" t="s">
        <v>1983</v>
      </c>
      <c r="D187" s="40" t="s">
        <v>1929</v>
      </c>
      <c r="E187" s="41">
        <v>43101</v>
      </c>
      <c r="F187" s="40" t="s">
        <v>1984</v>
      </c>
      <c r="G187" s="40" t="s">
        <v>1868</v>
      </c>
      <c r="H187" s="42">
        <v>10</v>
      </c>
      <c r="I187" s="43">
        <v>174.94</v>
      </c>
      <c r="J187" s="48">
        <v>1435824</v>
      </c>
      <c r="K187" s="44">
        <v>1005076.8</v>
      </c>
      <c r="L187" s="44">
        <v>430747.2</v>
      </c>
      <c r="M187" s="53" t="s">
        <v>1685</v>
      </c>
      <c r="N187" s="46" t="s">
        <v>1866</v>
      </c>
      <c r="O187" s="45" t="s">
        <v>1421</v>
      </c>
      <c r="P187" s="53" t="s">
        <v>1705</v>
      </c>
      <c r="Q187" s="53" t="s">
        <v>1969</v>
      </c>
      <c r="R187" s="45" t="s">
        <v>1689</v>
      </c>
      <c r="S187" s="46" t="s">
        <v>1630</v>
      </c>
      <c r="T187" s="53" t="s">
        <v>1700</v>
      </c>
      <c r="U187" s="46" t="s">
        <v>1482</v>
      </c>
      <c r="V187" s="52" t="s">
        <v>1484</v>
      </c>
    </row>
    <row r="188" hidden="1" spans="1:22">
      <c r="A188" s="37">
        <v>540425202212025</v>
      </c>
      <c r="B188" s="38" t="s">
        <v>20</v>
      </c>
      <c r="C188" s="55" t="s">
        <v>1995</v>
      </c>
      <c r="D188" s="40" t="s">
        <v>1971</v>
      </c>
      <c r="E188" s="41">
        <v>45078</v>
      </c>
      <c r="F188" s="40" t="s">
        <v>1996</v>
      </c>
      <c r="G188" s="40" t="s">
        <v>1647</v>
      </c>
      <c r="H188" s="42">
        <v>10</v>
      </c>
      <c r="I188" s="43">
        <v>1</v>
      </c>
      <c r="J188" s="48">
        <v>105400</v>
      </c>
      <c r="K188" s="44">
        <v>16688.33</v>
      </c>
      <c r="L188" s="44">
        <v>88711.67</v>
      </c>
      <c r="M188" s="53" t="s">
        <v>1625</v>
      </c>
      <c r="N188" s="46" t="s">
        <v>1626</v>
      </c>
      <c r="O188" s="45" t="s">
        <v>1421</v>
      </c>
      <c r="P188" s="53" t="s">
        <v>1627</v>
      </c>
      <c r="Q188" s="53" t="s">
        <v>1628</v>
      </c>
      <c r="R188" s="53" t="s">
        <v>1629</v>
      </c>
      <c r="S188" s="46" t="s">
        <v>1630</v>
      </c>
      <c r="T188" s="53" t="s">
        <v>1700</v>
      </c>
      <c r="U188" s="46" t="s">
        <v>1477</v>
      </c>
      <c r="V188" s="49"/>
    </row>
    <row r="189" hidden="1" spans="1:22">
      <c r="A189" s="37">
        <v>540425202212025</v>
      </c>
      <c r="B189" s="38" t="s">
        <v>20</v>
      </c>
      <c r="C189" s="55" t="s">
        <v>1997</v>
      </c>
      <c r="D189" s="40" t="s">
        <v>1929</v>
      </c>
      <c r="E189" s="41">
        <v>45078</v>
      </c>
      <c r="F189" s="40" t="s">
        <v>1996</v>
      </c>
      <c r="G189" s="40" t="s">
        <v>1868</v>
      </c>
      <c r="H189" s="42">
        <v>10</v>
      </c>
      <c r="I189" s="43">
        <v>315</v>
      </c>
      <c r="J189" s="48">
        <v>880750</v>
      </c>
      <c r="K189" s="44">
        <v>139452.08</v>
      </c>
      <c r="L189" s="44">
        <v>741297.92</v>
      </c>
      <c r="M189" s="53" t="s">
        <v>1685</v>
      </c>
      <c r="N189" s="46" t="s">
        <v>1866</v>
      </c>
      <c r="O189" s="45" t="s">
        <v>1421</v>
      </c>
      <c r="P189" s="53" t="s">
        <v>1705</v>
      </c>
      <c r="Q189" s="53" t="s">
        <v>1628</v>
      </c>
      <c r="R189" s="53" t="s">
        <v>1629</v>
      </c>
      <c r="S189" s="46" t="s">
        <v>1630</v>
      </c>
      <c r="T189" s="53" t="s">
        <v>1700</v>
      </c>
      <c r="U189" s="46" t="s">
        <v>1477</v>
      </c>
      <c r="V189" s="49"/>
    </row>
    <row r="190" hidden="1" spans="1:22">
      <c r="A190" s="37">
        <v>540425202212025</v>
      </c>
      <c r="B190" s="38" t="s">
        <v>20</v>
      </c>
      <c r="C190" s="55" t="s">
        <v>1998</v>
      </c>
      <c r="D190" s="40" t="s">
        <v>1956</v>
      </c>
      <c r="E190" s="41">
        <v>45078</v>
      </c>
      <c r="F190" s="40" t="s">
        <v>1996</v>
      </c>
      <c r="G190" s="40" t="s">
        <v>1999</v>
      </c>
      <c r="H190" s="42">
        <v>10</v>
      </c>
      <c r="I190" s="43">
        <v>1</v>
      </c>
      <c r="J190" s="48">
        <v>183700</v>
      </c>
      <c r="K190" s="44">
        <v>29085.83</v>
      </c>
      <c r="L190" s="44">
        <v>154614.17</v>
      </c>
      <c r="M190" s="53" t="s">
        <v>1625</v>
      </c>
      <c r="N190" s="46" t="s">
        <v>1626</v>
      </c>
      <c r="O190" s="45" t="s">
        <v>1421</v>
      </c>
      <c r="P190" s="53" t="s">
        <v>1705</v>
      </c>
      <c r="Q190" s="53" t="s">
        <v>1628</v>
      </c>
      <c r="R190" s="53" t="s">
        <v>1629</v>
      </c>
      <c r="S190" s="46" t="s">
        <v>1630</v>
      </c>
      <c r="T190" s="53" t="s">
        <v>1700</v>
      </c>
      <c r="U190" s="46" t="s">
        <v>1477</v>
      </c>
      <c r="V190" s="49"/>
    </row>
    <row r="191" hidden="1" spans="1:22">
      <c r="A191" s="37">
        <v>540425202212025</v>
      </c>
      <c r="B191" s="38" t="s">
        <v>20</v>
      </c>
      <c r="C191" s="55" t="s">
        <v>2000</v>
      </c>
      <c r="D191" s="40" t="s">
        <v>1843</v>
      </c>
      <c r="E191" s="41">
        <v>45078</v>
      </c>
      <c r="F191" s="40" t="s">
        <v>1996</v>
      </c>
      <c r="G191" s="40" t="s">
        <v>1647</v>
      </c>
      <c r="H191" s="42">
        <v>10</v>
      </c>
      <c r="I191" s="43">
        <v>2</v>
      </c>
      <c r="J191" s="48">
        <v>13500</v>
      </c>
      <c r="K191" s="44">
        <v>2137.5</v>
      </c>
      <c r="L191" s="44">
        <v>11362.5</v>
      </c>
      <c r="M191" s="53" t="s">
        <v>1625</v>
      </c>
      <c r="N191" s="46" t="s">
        <v>1626</v>
      </c>
      <c r="O191" s="45" t="s">
        <v>1421</v>
      </c>
      <c r="P191" s="53" t="s">
        <v>1705</v>
      </c>
      <c r="Q191" s="53" t="s">
        <v>1628</v>
      </c>
      <c r="R191" s="53" t="s">
        <v>1629</v>
      </c>
      <c r="S191" s="46" t="s">
        <v>1630</v>
      </c>
      <c r="T191" s="53" t="s">
        <v>1700</v>
      </c>
      <c r="U191" s="46" t="s">
        <v>1477</v>
      </c>
      <c r="V191" s="49"/>
    </row>
    <row r="192" hidden="1" spans="1:22">
      <c r="A192" s="37">
        <v>540425201912012</v>
      </c>
      <c r="B192" s="38" t="s">
        <v>20</v>
      </c>
      <c r="C192" s="55" t="s">
        <v>2001</v>
      </c>
      <c r="D192" s="40" t="s">
        <v>2002</v>
      </c>
      <c r="E192" s="41">
        <v>43862</v>
      </c>
      <c r="F192" s="40" t="s">
        <v>1996</v>
      </c>
      <c r="G192" s="40" t="s">
        <v>1647</v>
      </c>
      <c r="H192" s="42">
        <v>10</v>
      </c>
      <c r="I192" s="43">
        <v>2</v>
      </c>
      <c r="J192" s="48">
        <v>102600</v>
      </c>
      <c r="K192" s="44">
        <v>50445</v>
      </c>
      <c r="L192" s="44">
        <v>52155</v>
      </c>
      <c r="M192" s="53" t="s">
        <v>1625</v>
      </c>
      <c r="N192" s="46" t="s">
        <v>1626</v>
      </c>
      <c r="O192" s="45" t="s">
        <v>1421</v>
      </c>
      <c r="P192" s="53" t="s">
        <v>1627</v>
      </c>
      <c r="Q192" s="53" t="s">
        <v>1628</v>
      </c>
      <c r="R192" s="53" t="s">
        <v>1629</v>
      </c>
      <c r="S192" s="46" t="s">
        <v>1630</v>
      </c>
      <c r="T192" s="53" t="s">
        <v>1700</v>
      </c>
      <c r="U192" s="46" t="s">
        <v>1477</v>
      </c>
      <c r="V192" s="49"/>
    </row>
    <row r="193" hidden="1" spans="1:22">
      <c r="A193" s="37">
        <v>540425201912012</v>
      </c>
      <c r="B193" s="38" t="s">
        <v>20</v>
      </c>
      <c r="C193" s="55" t="s">
        <v>2003</v>
      </c>
      <c r="D193" s="40" t="s">
        <v>1951</v>
      </c>
      <c r="E193" s="41">
        <v>43862</v>
      </c>
      <c r="F193" s="40" t="s">
        <v>1996</v>
      </c>
      <c r="G193" s="40" t="s">
        <v>1647</v>
      </c>
      <c r="H193" s="42">
        <v>10</v>
      </c>
      <c r="I193" s="43">
        <v>1</v>
      </c>
      <c r="J193" s="48">
        <v>79800</v>
      </c>
      <c r="K193" s="44">
        <v>39235</v>
      </c>
      <c r="L193" s="44">
        <v>40565</v>
      </c>
      <c r="M193" s="53" t="s">
        <v>1625</v>
      </c>
      <c r="N193" s="46" t="s">
        <v>1626</v>
      </c>
      <c r="O193" s="45" t="s">
        <v>1421</v>
      </c>
      <c r="P193" s="53" t="s">
        <v>1627</v>
      </c>
      <c r="Q193" s="53" t="s">
        <v>1628</v>
      </c>
      <c r="R193" s="53" t="s">
        <v>1629</v>
      </c>
      <c r="S193" s="46" t="s">
        <v>1630</v>
      </c>
      <c r="T193" s="53" t="s">
        <v>1700</v>
      </c>
      <c r="U193" s="46" t="s">
        <v>1477</v>
      </c>
      <c r="V193" s="49"/>
    </row>
    <row r="194" hidden="1" spans="1:22">
      <c r="A194" s="37">
        <v>540425201912012</v>
      </c>
      <c r="B194" s="38" t="s">
        <v>20</v>
      </c>
      <c r="C194" s="55" t="s">
        <v>2004</v>
      </c>
      <c r="D194" s="40" t="s">
        <v>2005</v>
      </c>
      <c r="E194" s="41">
        <v>43862</v>
      </c>
      <c r="F194" s="40" t="s">
        <v>1996</v>
      </c>
      <c r="G194" s="40" t="s">
        <v>2006</v>
      </c>
      <c r="H194" s="42">
        <v>10</v>
      </c>
      <c r="I194" s="43">
        <v>1</v>
      </c>
      <c r="J194" s="48">
        <v>126900</v>
      </c>
      <c r="K194" s="44">
        <v>62392.5</v>
      </c>
      <c r="L194" s="44">
        <v>64507.5</v>
      </c>
      <c r="M194" s="53" t="s">
        <v>1625</v>
      </c>
      <c r="N194" s="46" t="s">
        <v>1626</v>
      </c>
      <c r="O194" s="45" t="s">
        <v>1421</v>
      </c>
      <c r="P194" s="53" t="s">
        <v>1705</v>
      </c>
      <c r="Q194" s="53" t="s">
        <v>1628</v>
      </c>
      <c r="R194" s="53" t="s">
        <v>1629</v>
      </c>
      <c r="S194" s="46" t="s">
        <v>1630</v>
      </c>
      <c r="T194" s="53" t="s">
        <v>1700</v>
      </c>
      <c r="U194" s="46" t="s">
        <v>1477</v>
      </c>
      <c r="V194" s="49"/>
    </row>
    <row r="195" hidden="1" spans="1:22">
      <c r="A195" s="37">
        <v>540425201912012</v>
      </c>
      <c r="B195" s="38" t="s">
        <v>20</v>
      </c>
      <c r="C195" s="55" t="s">
        <v>2007</v>
      </c>
      <c r="D195" s="40" t="s">
        <v>1843</v>
      </c>
      <c r="E195" s="41">
        <v>43862</v>
      </c>
      <c r="F195" s="40" t="s">
        <v>1996</v>
      </c>
      <c r="G195" s="40" t="s">
        <v>1647</v>
      </c>
      <c r="H195" s="42">
        <v>10</v>
      </c>
      <c r="I195" s="43">
        <v>2</v>
      </c>
      <c r="J195" s="48">
        <v>9300</v>
      </c>
      <c r="K195" s="44">
        <v>4572.5</v>
      </c>
      <c r="L195" s="44">
        <v>4727.5</v>
      </c>
      <c r="M195" s="53" t="s">
        <v>1625</v>
      </c>
      <c r="N195" s="46" t="s">
        <v>1626</v>
      </c>
      <c r="O195" s="45" t="s">
        <v>1421</v>
      </c>
      <c r="P195" s="53" t="s">
        <v>1705</v>
      </c>
      <c r="Q195" s="53" t="s">
        <v>1628</v>
      </c>
      <c r="R195" s="53" t="s">
        <v>1629</v>
      </c>
      <c r="S195" s="46" t="s">
        <v>1630</v>
      </c>
      <c r="T195" s="53" t="s">
        <v>1700</v>
      </c>
      <c r="U195" s="46" t="s">
        <v>1477</v>
      </c>
      <c r="V195" s="49"/>
    </row>
    <row r="196" hidden="1" spans="1:22">
      <c r="A196" s="37">
        <v>540425201912012</v>
      </c>
      <c r="B196" s="38" t="s">
        <v>20</v>
      </c>
      <c r="C196" s="55" t="s">
        <v>2008</v>
      </c>
      <c r="D196" s="40" t="s">
        <v>1929</v>
      </c>
      <c r="E196" s="41">
        <v>43862</v>
      </c>
      <c r="F196" s="40" t="s">
        <v>1996</v>
      </c>
      <c r="G196" s="40" t="s">
        <v>1868</v>
      </c>
      <c r="H196" s="42">
        <v>10</v>
      </c>
      <c r="I196" s="43">
        <v>135.73</v>
      </c>
      <c r="J196" s="48">
        <v>613620</v>
      </c>
      <c r="K196" s="44">
        <v>301696.5</v>
      </c>
      <c r="L196" s="44">
        <v>311923.5</v>
      </c>
      <c r="M196" s="53" t="s">
        <v>1685</v>
      </c>
      <c r="N196" s="46" t="s">
        <v>1866</v>
      </c>
      <c r="O196" s="45" t="s">
        <v>1421</v>
      </c>
      <c r="P196" s="53" t="s">
        <v>1705</v>
      </c>
      <c r="Q196" s="53" t="s">
        <v>1628</v>
      </c>
      <c r="R196" s="53" t="s">
        <v>1629</v>
      </c>
      <c r="S196" s="46" t="s">
        <v>1630</v>
      </c>
      <c r="T196" s="53" t="s">
        <v>1700</v>
      </c>
      <c r="U196" s="46" t="s">
        <v>1477</v>
      </c>
      <c r="V196" s="49"/>
    </row>
    <row r="197" hidden="1" spans="1:22">
      <c r="A197" s="37">
        <v>540425201912013</v>
      </c>
      <c r="B197" s="38" t="s">
        <v>20</v>
      </c>
      <c r="C197" s="55" t="s">
        <v>2009</v>
      </c>
      <c r="D197" s="40" t="s">
        <v>1951</v>
      </c>
      <c r="E197" s="41">
        <v>43831</v>
      </c>
      <c r="F197" s="40" t="s">
        <v>1996</v>
      </c>
      <c r="G197" s="40" t="s">
        <v>1647</v>
      </c>
      <c r="H197" s="42">
        <v>10</v>
      </c>
      <c r="I197" s="43">
        <v>1</v>
      </c>
      <c r="J197" s="48">
        <v>79800</v>
      </c>
      <c r="K197" s="44">
        <v>39900</v>
      </c>
      <c r="L197" s="44">
        <v>39900</v>
      </c>
      <c r="M197" s="53" t="s">
        <v>1625</v>
      </c>
      <c r="N197" s="46" t="s">
        <v>1626</v>
      </c>
      <c r="O197" s="45" t="s">
        <v>1421</v>
      </c>
      <c r="P197" s="53" t="s">
        <v>1627</v>
      </c>
      <c r="Q197" s="53" t="s">
        <v>1969</v>
      </c>
      <c r="R197" s="45" t="s">
        <v>1636</v>
      </c>
      <c r="S197" s="46" t="s">
        <v>1630</v>
      </c>
      <c r="T197" s="53" t="s">
        <v>1700</v>
      </c>
      <c r="U197" s="46" t="s">
        <v>1477</v>
      </c>
      <c r="V197" s="49"/>
    </row>
    <row r="198" hidden="1" spans="1:22">
      <c r="A198" s="37">
        <v>540425201912013</v>
      </c>
      <c r="B198" s="38" t="s">
        <v>20</v>
      </c>
      <c r="C198" s="55" t="s">
        <v>2010</v>
      </c>
      <c r="D198" s="40" t="s">
        <v>1956</v>
      </c>
      <c r="E198" s="41">
        <v>43831</v>
      </c>
      <c r="F198" s="40" t="s">
        <v>1996</v>
      </c>
      <c r="G198" s="40" t="s">
        <v>2006</v>
      </c>
      <c r="H198" s="42">
        <v>10</v>
      </c>
      <c r="I198" s="43">
        <v>1</v>
      </c>
      <c r="J198" s="48">
        <v>126900</v>
      </c>
      <c r="K198" s="44">
        <v>63450</v>
      </c>
      <c r="L198" s="44">
        <v>63450</v>
      </c>
      <c r="M198" s="53" t="s">
        <v>1625</v>
      </c>
      <c r="N198" s="46" t="s">
        <v>1626</v>
      </c>
      <c r="O198" s="45" t="s">
        <v>1421</v>
      </c>
      <c r="P198" s="53" t="s">
        <v>1705</v>
      </c>
      <c r="Q198" s="53" t="s">
        <v>1628</v>
      </c>
      <c r="R198" s="53" t="s">
        <v>1629</v>
      </c>
      <c r="S198" s="46" t="s">
        <v>1630</v>
      </c>
      <c r="T198" s="53" t="s">
        <v>1700</v>
      </c>
      <c r="U198" s="46" t="s">
        <v>1477</v>
      </c>
      <c r="V198" s="49"/>
    </row>
    <row r="199" hidden="1" spans="1:22">
      <c r="A199" s="37">
        <v>540425201912013</v>
      </c>
      <c r="B199" s="38" t="s">
        <v>20</v>
      </c>
      <c r="C199" s="55" t="s">
        <v>2011</v>
      </c>
      <c r="D199" s="40" t="s">
        <v>1929</v>
      </c>
      <c r="E199" s="41">
        <v>43831</v>
      </c>
      <c r="F199" s="40" t="s">
        <v>1996</v>
      </c>
      <c r="G199" s="40" t="s">
        <v>1868</v>
      </c>
      <c r="H199" s="42">
        <v>10</v>
      </c>
      <c r="I199" s="43">
        <v>108.85</v>
      </c>
      <c r="J199" s="48">
        <v>215355</v>
      </c>
      <c r="K199" s="44">
        <v>107677.5</v>
      </c>
      <c r="L199" s="44">
        <v>107677.5</v>
      </c>
      <c r="M199" s="53" t="s">
        <v>1685</v>
      </c>
      <c r="N199" s="46" t="s">
        <v>1866</v>
      </c>
      <c r="O199" s="45" t="s">
        <v>1421</v>
      </c>
      <c r="P199" s="53" t="s">
        <v>1705</v>
      </c>
      <c r="Q199" s="53" t="s">
        <v>1628</v>
      </c>
      <c r="R199" s="53" t="s">
        <v>1629</v>
      </c>
      <c r="S199" s="46" t="s">
        <v>1630</v>
      </c>
      <c r="T199" s="53" t="s">
        <v>1700</v>
      </c>
      <c r="U199" s="46" t="s">
        <v>1477</v>
      </c>
      <c r="V199" s="49"/>
    </row>
    <row r="200" hidden="1" spans="1:22">
      <c r="A200" s="37">
        <v>540425201916009</v>
      </c>
      <c r="B200" s="38" t="s">
        <v>20</v>
      </c>
      <c r="C200" s="55" t="s">
        <v>2012</v>
      </c>
      <c r="D200" s="40" t="s">
        <v>2013</v>
      </c>
      <c r="E200" s="41">
        <v>43862</v>
      </c>
      <c r="F200" s="40" t="s">
        <v>2014</v>
      </c>
      <c r="G200" s="40" t="s">
        <v>1642</v>
      </c>
      <c r="H200" s="42">
        <v>10</v>
      </c>
      <c r="I200" s="43">
        <v>15</v>
      </c>
      <c r="J200" s="48">
        <v>1024800</v>
      </c>
      <c r="K200" s="44">
        <v>503860</v>
      </c>
      <c r="L200" s="44">
        <v>520940</v>
      </c>
      <c r="M200" s="53" t="s">
        <v>1625</v>
      </c>
      <c r="N200" s="46" t="s">
        <v>1626</v>
      </c>
      <c r="O200" s="45" t="s">
        <v>1421</v>
      </c>
      <c r="P200" s="53" t="s">
        <v>1627</v>
      </c>
      <c r="Q200" s="53" t="s">
        <v>1628</v>
      </c>
      <c r="R200" s="53" t="s">
        <v>1629</v>
      </c>
      <c r="S200" s="46" t="s">
        <v>1630</v>
      </c>
      <c r="T200" s="53" t="s">
        <v>1627</v>
      </c>
      <c r="U200" s="46" t="s">
        <v>1473</v>
      </c>
      <c r="V200" s="49"/>
    </row>
    <row r="201" hidden="1" spans="1:22">
      <c r="A201" s="37">
        <v>540425201916009</v>
      </c>
      <c r="B201" s="38" t="s">
        <v>20</v>
      </c>
      <c r="C201" s="55" t="s">
        <v>2015</v>
      </c>
      <c r="D201" s="40" t="s">
        <v>2016</v>
      </c>
      <c r="E201" s="41">
        <v>43862</v>
      </c>
      <c r="F201" s="40" t="s">
        <v>2014</v>
      </c>
      <c r="G201" s="40" t="s">
        <v>1642</v>
      </c>
      <c r="H201" s="42">
        <v>10</v>
      </c>
      <c r="I201" s="43">
        <v>3</v>
      </c>
      <c r="J201" s="48">
        <v>222800</v>
      </c>
      <c r="K201" s="44">
        <v>109543.33</v>
      </c>
      <c r="L201" s="44">
        <v>113256.67</v>
      </c>
      <c r="M201" s="53" t="s">
        <v>1625</v>
      </c>
      <c r="N201" s="46" t="s">
        <v>1626</v>
      </c>
      <c r="O201" s="45" t="s">
        <v>1421</v>
      </c>
      <c r="P201" s="53" t="s">
        <v>1627</v>
      </c>
      <c r="Q201" s="53" t="s">
        <v>1628</v>
      </c>
      <c r="R201" s="53" t="s">
        <v>1629</v>
      </c>
      <c r="S201" s="46" t="s">
        <v>1630</v>
      </c>
      <c r="T201" s="53" t="s">
        <v>1627</v>
      </c>
      <c r="U201" s="46" t="s">
        <v>1473</v>
      </c>
      <c r="V201" s="49"/>
    </row>
    <row r="202" hidden="1" spans="1:22">
      <c r="A202" s="37">
        <v>540425202215007</v>
      </c>
      <c r="B202" s="38" t="s">
        <v>20</v>
      </c>
      <c r="C202" s="55" t="s">
        <v>2017</v>
      </c>
      <c r="D202" s="40" t="s">
        <v>1956</v>
      </c>
      <c r="E202" s="41">
        <v>44958</v>
      </c>
      <c r="F202" s="40" t="s">
        <v>2018</v>
      </c>
      <c r="G202" s="40" t="s">
        <v>2019</v>
      </c>
      <c r="H202" s="42">
        <v>10</v>
      </c>
      <c r="I202" s="43">
        <v>1</v>
      </c>
      <c r="J202" s="48">
        <v>152100</v>
      </c>
      <c r="K202" s="44">
        <v>29152.5</v>
      </c>
      <c r="L202" s="44">
        <v>122947.5</v>
      </c>
      <c r="M202" s="53" t="s">
        <v>1625</v>
      </c>
      <c r="N202" s="46" t="s">
        <v>1626</v>
      </c>
      <c r="O202" s="45" t="s">
        <v>1421</v>
      </c>
      <c r="P202" s="53" t="s">
        <v>1627</v>
      </c>
      <c r="Q202" s="53" t="s">
        <v>1628</v>
      </c>
      <c r="R202" s="53" t="s">
        <v>1629</v>
      </c>
      <c r="S202" s="46" t="s">
        <v>1630</v>
      </c>
      <c r="T202" s="53" t="s">
        <v>1627</v>
      </c>
      <c r="U202" s="46" t="s">
        <v>1469</v>
      </c>
      <c r="V202" s="49"/>
    </row>
    <row r="203" hidden="1" spans="1:22">
      <c r="A203" s="37">
        <v>540425202215007</v>
      </c>
      <c r="B203" s="38" t="s">
        <v>20</v>
      </c>
      <c r="C203" s="55" t="s">
        <v>2020</v>
      </c>
      <c r="D203" s="40" t="s">
        <v>1843</v>
      </c>
      <c r="E203" s="41">
        <v>44958</v>
      </c>
      <c r="F203" s="40" t="s">
        <v>2018</v>
      </c>
      <c r="G203" s="40" t="s">
        <v>1647</v>
      </c>
      <c r="H203" s="42">
        <v>10</v>
      </c>
      <c r="I203" s="43">
        <v>2</v>
      </c>
      <c r="J203" s="48">
        <v>16000</v>
      </c>
      <c r="K203" s="44">
        <v>3066.67</v>
      </c>
      <c r="L203" s="44">
        <v>12933.33</v>
      </c>
      <c r="M203" s="53" t="s">
        <v>1685</v>
      </c>
      <c r="N203" s="46" t="s">
        <v>1866</v>
      </c>
      <c r="O203" s="45" t="s">
        <v>1421</v>
      </c>
      <c r="P203" s="53" t="s">
        <v>1627</v>
      </c>
      <c r="Q203" s="53" t="s">
        <v>1628</v>
      </c>
      <c r="R203" s="53" t="s">
        <v>1629</v>
      </c>
      <c r="S203" s="46" t="s">
        <v>1630</v>
      </c>
      <c r="T203" s="53" t="s">
        <v>1627</v>
      </c>
      <c r="U203" s="46" t="s">
        <v>1469</v>
      </c>
      <c r="V203" s="49"/>
    </row>
    <row r="204" hidden="1" spans="1:22">
      <c r="A204" s="37">
        <v>540425202215007</v>
      </c>
      <c r="B204" s="38" t="s">
        <v>20</v>
      </c>
      <c r="C204" s="55" t="s">
        <v>2021</v>
      </c>
      <c r="D204" s="40" t="s">
        <v>979</v>
      </c>
      <c r="E204" s="41">
        <v>44958</v>
      </c>
      <c r="F204" s="40" t="s">
        <v>2018</v>
      </c>
      <c r="G204" s="40" t="s">
        <v>1868</v>
      </c>
      <c r="H204" s="42">
        <v>10</v>
      </c>
      <c r="I204" s="43">
        <v>800</v>
      </c>
      <c r="J204" s="48">
        <v>522700</v>
      </c>
      <c r="K204" s="44">
        <v>100184.17</v>
      </c>
      <c r="L204" s="44">
        <v>422515.83</v>
      </c>
      <c r="M204" s="53" t="s">
        <v>1625</v>
      </c>
      <c r="N204" s="46" t="s">
        <v>1626</v>
      </c>
      <c r="O204" s="45" t="s">
        <v>1421</v>
      </c>
      <c r="P204" s="53" t="s">
        <v>1627</v>
      </c>
      <c r="Q204" s="53" t="s">
        <v>1628</v>
      </c>
      <c r="R204" s="53" t="s">
        <v>1629</v>
      </c>
      <c r="S204" s="46" t="s">
        <v>1630</v>
      </c>
      <c r="T204" s="53" t="s">
        <v>1627</v>
      </c>
      <c r="U204" s="46" t="s">
        <v>1469</v>
      </c>
      <c r="V204" s="49"/>
    </row>
    <row r="205" hidden="1" spans="1:22">
      <c r="A205" s="37">
        <v>540425202115005</v>
      </c>
      <c r="B205" s="38" t="s">
        <v>20</v>
      </c>
      <c r="C205" s="55" t="s">
        <v>2022</v>
      </c>
      <c r="D205" s="40" t="s">
        <v>2023</v>
      </c>
      <c r="E205" s="41">
        <v>44531</v>
      </c>
      <c r="F205" s="40" t="s">
        <v>2024</v>
      </c>
      <c r="G205" s="40" t="s">
        <v>2025</v>
      </c>
      <c r="H205" s="42">
        <v>10</v>
      </c>
      <c r="I205" s="43">
        <v>1</v>
      </c>
      <c r="J205" s="48">
        <v>471400</v>
      </c>
      <c r="K205" s="44">
        <v>145348.33</v>
      </c>
      <c r="L205" s="44">
        <v>326051.67</v>
      </c>
      <c r="M205" s="53" t="s">
        <v>1625</v>
      </c>
      <c r="N205" s="46" t="s">
        <v>1626</v>
      </c>
      <c r="O205" s="45" t="s">
        <v>1421</v>
      </c>
      <c r="P205" s="53" t="s">
        <v>1627</v>
      </c>
      <c r="Q205" s="53" t="s">
        <v>1628</v>
      </c>
      <c r="R205" s="53" t="s">
        <v>1629</v>
      </c>
      <c r="S205" s="46" t="s">
        <v>1846</v>
      </c>
      <c r="T205" s="53" t="s">
        <v>1627</v>
      </c>
      <c r="U205" s="46" t="s">
        <v>1467</v>
      </c>
      <c r="V205" s="49"/>
    </row>
    <row r="206" hidden="1" spans="1:22">
      <c r="A206" s="37">
        <v>540425202115005</v>
      </c>
      <c r="B206" s="38" t="s">
        <v>20</v>
      </c>
      <c r="C206" s="55" t="s">
        <v>2026</v>
      </c>
      <c r="D206" s="40" t="s">
        <v>2027</v>
      </c>
      <c r="E206" s="41">
        <v>44531</v>
      </c>
      <c r="F206" s="40" t="s">
        <v>2024</v>
      </c>
      <c r="G206" s="40" t="s">
        <v>1651</v>
      </c>
      <c r="H206" s="42">
        <v>10</v>
      </c>
      <c r="I206" s="43">
        <v>1</v>
      </c>
      <c r="J206" s="48">
        <v>246700</v>
      </c>
      <c r="K206" s="44">
        <v>76065.83</v>
      </c>
      <c r="L206" s="44">
        <v>170634.17</v>
      </c>
      <c r="M206" s="53" t="s">
        <v>1625</v>
      </c>
      <c r="N206" s="46" t="s">
        <v>1626</v>
      </c>
      <c r="O206" s="45" t="s">
        <v>1421</v>
      </c>
      <c r="P206" s="53" t="s">
        <v>1627</v>
      </c>
      <c r="Q206" s="53" t="s">
        <v>1628</v>
      </c>
      <c r="R206" s="53" t="s">
        <v>1629</v>
      </c>
      <c r="S206" s="46" t="s">
        <v>1846</v>
      </c>
      <c r="T206" s="53" t="s">
        <v>1627</v>
      </c>
      <c r="U206" s="46" t="s">
        <v>1467</v>
      </c>
      <c r="V206" s="49"/>
    </row>
    <row r="207" hidden="1" spans="1:22">
      <c r="A207" s="37">
        <v>540425202216017</v>
      </c>
      <c r="B207" s="38" t="s">
        <v>20</v>
      </c>
      <c r="C207" s="55" t="s">
        <v>2028</v>
      </c>
      <c r="D207" s="40" t="s">
        <v>2029</v>
      </c>
      <c r="E207" s="41">
        <v>44562</v>
      </c>
      <c r="F207" s="40" t="s">
        <v>2030</v>
      </c>
      <c r="G207" s="40" t="s">
        <v>1647</v>
      </c>
      <c r="H207" s="42">
        <v>10</v>
      </c>
      <c r="I207" s="43">
        <v>1</v>
      </c>
      <c r="J207" s="48">
        <v>24800</v>
      </c>
      <c r="K207" s="44">
        <v>7440</v>
      </c>
      <c r="L207" s="44">
        <v>17360</v>
      </c>
      <c r="M207" s="53" t="s">
        <v>1625</v>
      </c>
      <c r="N207" s="46" t="s">
        <v>1626</v>
      </c>
      <c r="O207" s="45" t="s">
        <v>1421</v>
      </c>
      <c r="P207" s="53" t="s">
        <v>1627</v>
      </c>
      <c r="Q207" s="53" t="s">
        <v>1628</v>
      </c>
      <c r="R207" s="53" t="s">
        <v>1629</v>
      </c>
      <c r="S207" s="46" t="s">
        <v>1630</v>
      </c>
      <c r="T207" s="53" t="s">
        <v>1627</v>
      </c>
      <c r="U207" s="46" t="s">
        <v>1471</v>
      </c>
      <c r="V207" s="49"/>
    </row>
    <row r="208" hidden="1" spans="1:22">
      <c r="A208" s="37">
        <v>540425202216017</v>
      </c>
      <c r="B208" s="38" t="s">
        <v>20</v>
      </c>
      <c r="C208" s="55" t="s">
        <v>2031</v>
      </c>
      <c r="D208" s="40" t="s">
        <v>1934</v>
      </c>
      <c r="E208" s="41">
        <v>44562</v>
      </c>
      <c r="F208" s="40" t="s">
        <v>2030</v>
      </c>
      <c r="G208" s="40" t="s">
        <v>1647</v>
      </c>
      <c r="H208" s="42">
        <v>10</v>
      </c>
      <c r="I208" s="43">
        <v>1</v>
      </c>
      <c r="J208" s="48">
        <v>116800</v>
      </c>
      <c r="K208" s="44">
        <v>35040</v>
      </c>
      <c r="L208" s="44">
        <v>81760</v>
      </c>
      <c r="M208" s="53" t="s">
        <v>1625</v>
      </c>
      <c r="N208" s="46" t="s">
        <v>1626</v>
      </c>
      <c r="O208" s="45" t="s">
        <v>1421</v>
      </c>
      <c r="P208" s="53" t="s">
        <v>1627</v>
      </c>
      <c r="Q208" s="53" t="s">
        <v>1628</v>
      </c>
      <c r="R208" s="53" t="s">
        <v>1629</v>
      </c>
      <c r="S208" s="46" t="s">
        <v>1630</v>
      </c>
      <c r="T208" s="53" t="s">
        <v>1627</v>
      </c>
      <c r="U208" s="46" t="s">
        <v>1471</v>
      </c>
      <c r="V208" s="49"/>
    </row>
    <row r="209" hidden="1" spans="1:22">
      <c r="A209" s="37">
        <v>540425202216017</v>
      </c>
      <c r="B209" s="38" t="s">
        <v>20</v>
      </c>
      <c r="C209" s="55" t="s">
        <v>2032</v>
      </c>
      <c r="D209" s="40" t="s">
        <v>2033</v>
      </c>
      <c r="E209" s="41">
        <v>44562</v>
      </c>
      <c r="F209" s="40" t="s">
        <v>2030</v>
      </c>
      <c r="G209" s="40" t="s">
        <v>1647</v>
      </c>
      <c r="H209" s="42">
        <v>10</v>
      </c>
      <c r="I209" s="43">
        <v>1</v>
      </c>
      <c r="J209" s="48">
        <v>7500</v>
      </c>
      <c r="K209" s="44">
        <v>2250</v>
      </c>
      <c r="L209" s="44">
        <v>5250</v>
      </c>
      <c r="M209" s="53" t="s">
        <v>1625</v>
      </c>
      <c r="N209" s="46" t="s">
        <v>1626</v>
      </c>
      <c r="O209" s="45" t="s">
        <v>1421</v>
      </c>
      <c r="P209" s="53" t="s">
        <v>1627</v>
      </c>
      <c r="Q209" s="53" t="s">
        <v>1628</v>
      </c>
      <c r="R209" s="53" t="s">
        <v>1629</v>
      </c>
      <c r="S209" s="46" t="s">
        <v>1630</v>
      </c>
      <c r="T209" s="53" t="s">
        <v>1627</v>
      </c>
      <c r="U209" s="46" t="s">
        <v>1471</v>
      </c>
      <c r="V209" s="49"/>
    </row>
    <row r="210" hidden="1" spans="1:22">
      <c r="A210" s="37">
        <v>540425202216017</v>
      </c>
      <c r="B210" s="38" t="s">
        <v>20</v>
      </c>
      <c r="C210" s="55" t="s">
        <v>2034</v>
      </c>
      <c r="D210" s="40" t="s">
        <v>2035</v>
      </c>
      <c r="E210" s="41">
        <v>44562</v>
      </c>
      <c r="F210" s="40" t="s">
        <v>2030</v>
      </c>
      <c r="G210" s="40" t="s">
        <v>2036</v>
      </c>
      <c r="H210" s="42">
        <v>10</v>
      </c>
      <c r="I210" s="43">
        <v>1</v>
      </c>
      <c r="J210" s="48">
        <v>19200</v>
      </c>
      <c r="K210" s="44">
        <v>5760</v>
      </c>
      <c r="L210" s="44">
        <v>13440</v>
      </c>
      <c r="M210" s="53" t="s">
        <v>1625</v>
      </c>
      <c r="N210" s="46" t="s">
        <v>1626</v>
      </c>
      <c r="O210" s="45" t="s">
        <v>1421</v>
      </c>
      <c r="P210" s="53" t="s">
        <v>1705</v>
      </c>
      <c r="Q210" s="53" t="s">
        <v>1628</v>
      </c>
      <c r="R210" s="53" t="s">
        <v>1629</v>
      </c>
      <c r="S210" s="46" t="s">
        <v>1630</v>
      </c>
      <c r="T210" s="53" t="s">
        <v>1627</v>
      </c>
      <c r="U210" s="46" t="s">
        <v>1471</v>
      </c>
      <c r="V210" s="49"/>
    </row>
    <row r="211" hidden="1" spans="1:22">
      <c r="A211" s="37">
        <v>540425202216017</v>
      </c>
      <c r="B211" s="38" t="s">
        <v>20</v>
      </c>
      <c r="C211" s="55" t="s">
        <v>2037</v>
      </c>
      <c r="D211" s="40" t="s">
        <v>2038</v>
      </c>
      <c r="E211" s="41">
        <v>44562</v>
      </c>
      <c r="F211" s="40" t="s">
        <v>2030</v>
      </c>
      <c r="G211" s="40" t="s">
        <v>1881</v>
      </c>
      <c r="H211" s="42">
        <v>10</v>
      </c>
      <c r="I211" s="43">
        <v>1</v>
      </c>
      <c r="J211" s="48">
        <v>56400</v>
      </c>
      <c r="K211" s="44">
        <v>16920</v>
      </c>
      <c r="L211" s="44">
        <v>39480</v>
      </c>
      <c r="M211" s="53" t="s">
        <v>1625</v>
      </c>
      <c r="N211" s="46" t="s">
        <v>1626</v>
      </c>
      <c r="O211" s="45" t="s">
        <v>1421</v>
      </c>
      <c r="P211" s="53" t="s">
        <v>1705</v>
      </c>
      <c r="Q211" s="53" t="s">
        <v>1628</v>
      </c>
      <c r="R211" s="53" t="s">
        <v>1629</v>
      </c>
      <c r="S211" s="46" t="s">
        <v>1630</v>
      </c>
      <c r="T211" s="53" t="s">
        <v>1627</v>
      </c>
      <c r="U211" s="46" t="s">
        <v>1471</v>
      </c>
      <c r="V211" s="49"/>
    </row>
    <row r="212" hidden="1" spans="1:22">
      <c r="A212" s="37">
        <v>540425202216017</v>
      </c>
      <c r="B212" s="38" t="s">
        <v>20</v>
      </c>
      <c r="C212" s="55" t="s">
        <v>2039</v>
      </c>
      <c r="D212" s="40" t="s">
        <v>2040</v>
      </c>
      <c r="E212" s="41">
        <v>44562</v>
      </c>
      <c r="F212" s="40" t="s">
        <v>2030</v>
      </c>
      <c r="G212" s="40" t="s">
        <v>1647</v>
      </c>
      <c r="H212" s="42">
        <v>10</v>
      </c>
      <c r="I212" s="43">
        <v>1</v>
      </c>
      <c r="J212" s="48">
        <v>6700</v>
      </c>
      <c r="K212" s="44">
        <v>2010</v>
      </c>
      <c r="L212" s="44">
        <v>4690</v>
      </c>
      <c r="M212" s="53" t="s">
        <v>1625</v>
      </c>
      <c r="N212" s="46" t="s">
        <v>1626</v>
      </c>
      <c r="O212" s="45" t="s">
        <v>1421</v>
      </c>
      <c r="P212" s="53" t="s">
        <v>1705</v>
      </c>
      <c r="Q212" s="53" t="s">
        <v>1628</v>
      </c>
      <c r="R212" s="53" t="s">
        <v>1629</v>
      </c>
      <c r="S212" s="46" t="s">
        <v>1630</v>
      </c>
      <c r="T212" s="53" t="s">
        <v>1627</v>
      </c>
      <c r="U212" s="46" t="s">
        <v>1471</v>
      </c>
      <c r="V212" s="49"/>
    </row>
    <row r="213" hidden="1" spans="1:22">
      <c r="A213" s="37">
        <v>540425202216017</v>
      </c>
      <c r="B213" s="38" t="s">
        <v>20</v>
      </c>
      <c r="C213" s="55" t="s">
        <v>2041</v>
      </c>
      <c r="D213" s="40" t="s">
        <v>2042</v>
      </c>
      <c r="E213" s="41">
        <v>44562</v>
      </c>
      <c r="F213" s="40" t="s">
        <v>2030</v>
      </c>
      <c r="G213" s="40" t="s">
        <v>2043</v>
      </c>
      <c r="H213" s="42">
        <v>10</v>
      </c>
      <c r="I213" s="43">
        <v>1</v>
      </c>
      <c r="J213" s="48">
        <v>48500</v>
      </c>
      <c r="K213" s="44">
        <v>14550</v>
      </c>
      <c r="L213" s="44">
        <v>33950</v>
      </c>
      <c r="M213" s="53" t="s">
        <v>1625</v>
      </c>
      <c r="N213" s="46" t="s">
        <v>1626</v>
      </c>
      <c r="O213" s="45" t="s">
        <v>1421</v>
      </c>
      <c r="P213" s="53" t="s">
        <v>1705</v>
      </c>
      <c r="Q213" s="53" t="s">
        <v>1628</v>
      </c>
      <c r="R213" s="53" t="s">
        <v>1629</v>
      </c>
      <c r="S213" s="46" t="s">
        <v>1630</v>
      </c>
      <c r="T213" s="53" t="s">
        <v>1627</v>
      </c>
      <c r="U213" s="46" t="s">
        <v>1471</v>
      </c>
      <c r="V213" s="49"/>
    </row>
    <row r="214" hidden="1" spans="1:22">
      <c r="A214" s="37">
        <v>540425202216017</v>
      </c>
      <c r="B214" s="38" t="s">
        <v>20</v>
      </c>
      <c r="C214" s="55" t="s">
        <v>2044</v>
      </c>
      <c r="D214" s="40" t="s">
        <v>2045</v>
      </c>
      <c r="E214" s="41">
        <v>44562</v>
      </c>
      <c r="F214" s="40" t="s">
        <v>2030</v>
      </c>
      <c r="G214" s="40" t="s">
        <v>1642</v>
      </c>
      <c r="H214" s="42">
        <v>20</v>
      </c>
      <c r="I214" s="43">
        <v>1</v>
      </c>
      <c r="J214" s="48">
        <v>176700</v>
      </c>
      <c r="K214" s="44">
        <v>26505</v>
      </c>
      <c r="L214" s="44">
        <v>150195</v>
      </c>
      <c r="M214" s="53" t="s">
        <v>1625</v>
      </c>
      <c r="N214" s="46" t="s">
        <v>1643</v>
      </c>
      <c r="O214" s="45" t="s">
        <v>1421</v>
      </c>
      <c r="P214" s="53" t="s">
        <v>1627</v>
      </c>
      <c r="Q214" s="53" t="s">
        <v>1628</v>
      </c>
      <c r="R214" s="53" t="s">
        <v>1629</v>
      </c>
      <c r="S214" s="46" t="s">
        <v>1630</v>
      </c>
      <c r="T214" s="53" t="s">
        <v>1627</v>
      </c>
      <c r="U214" s="46" t="s">
        <v>1471</v>
      </c>
      <c r="V214" s="49"/>
    </row>
    <row r="215" hidden="1" spans="1:22">
      <c r="A215" s="37">
        <v>540425202216017</v>
      </c>
      <c r="B215" s="38" t="s">
        <v>20</v>
      </c>
      <c r="C215" s="55" t="s">
        <v>2046</v>
      </c>
      <c r="D215" s="40" t="s">
        <v>2047</v>
      </c>
      <c r="E215" s="41">
        <v>44562</v>
      </c>
      <c r="F215" s="40" t="s">
        <v>2030</v>
      </c>
      <c r="G215" s="40" t="s">
        <v>1642</v>
      </c>
      <c r="H215" s="42">
        <v>20</v>
      </c>
      <c r="I215" s="43">
        <v>1</v>
      </c>
      <c r="J215" s="48">
        <v>176700</v>
      </c>
      <c r="K215" s="44">
        <v>26505</v>
      </c>
      <c r="L215" s="44">
        <v>150195</v>
      </c>
      <c r="M215" s="53" t="s">
        <v>1625</v>
      </c>
      <c r="N215" s="46" t="s">
        <v>1643</v>
      </c>
      <c r="O215" s="45" t="s">
        <v>1421</v>
      </c>
      <c r="P215" s="53" t="s">
        <v>1627</v>
      </c>
      <c r="Q215" s="53" t="s">
        <v>1628</v>
      </c>
      <c r="R215" s="53" t="s">
        <v>1629</v>
      </c>
      <c r="S215" s="46" t="s">
        <v>1630</v>
      </c>
      <c r="T215" s="53" t="s">
        <v>1627</v>
      </c>
      <c r="U215" s="46" t="s">
        <v>1471</v>
      </c>
      <c r="V215" s="49"/>
    </row>
    <row r="216" hidden="1" spans="1:22">
      <c r="A216" s="37">
        <v>540425202216017</v>
      </c>
      <c r="B216" s="38" t="s">
        <v>20</v>
      </c>
      <c r="C216" s="55" t="s">
        <v>2048</v>
      </c>
      <c r="D216" s="40" t="s">
        <v>2049</v>
      </c>
      <c r="E216" s="41">
        <v>44562</v>
      </c>
      <c r="F216" s="40" t="s">
        <v>2030</v>
      </c>
      <c r="G216" s="40" t="s">
        <v>1642</v>
      </c>
      <c r="H216" s="42">
        <v>20</v>
      </c>
      <c r="I216" s="43">
        <v>1</v>
      </c>
      <c r="J216" s="48">
        <v>467300</v>
      </c>
      <c r="K216" s="44">
        <v>70095</v>
      </c>
      <c r="L216" s="44">
        <v>397205</v>
      </c>
      <c r="M216" s="53" t="s">
        <v>1625</v>
      </c>
      <c r="N216" s="46" t="s">
        <v>1643</v>
      </c>
      <c r="O216" s="45" t="s">
        <v>1421</v>
      </c>
      <c r="P216" s="53" t="s">
        <v>1627</v>
      </c>
      <c r="Q216" s="53" t="s">
        <v>1628</v>
      </c>
      <c r="R216" s="53" t="s">
        <v>1629</v>
      </c>
      <c r="S216" s="46" t="s">
        <v>1630</v>
      </c>
      <c r="T216" s="53" t="s">
        <v>1627</v>
      </c>
      <c r="U216" s="46" t="s">
        <v>1471</v>
      </c>
      <c r="V216" s="49"/>
    </row>
    <row r="217" hidden="1" spans="1:22">
      <c r="A217" s="37">
        <v>540425202216017</v>
      </c>
      <c r="B217" s="38" t="s">
        <v>20</v>
      </c>
      <c r="C217" s="55" t="s">
        <v>2050</v>
      </c>
      <c r="D217" s="40" t="s">
        <v>1707</v>
      </c>
      <c r="E217" s="41">
        <v>44562</v>
      </c>
      <c r="F217" s="40" t="s">
        <v>2030</v>
      </c>
      <c r="G217" s="40" t="s">
        <v>1675</v>
      </c>
      <c r="H217" s="42">
        <v>5</v>
      </c>
      <c r="I217" s="43">
        <v>2</v>
      </c>
      <c r="J217" s="48">
        <v>42000</v>
      </c>
      <c r="K217" s="44">
        <v>25200</v>
      </c>
      <c r="L217" s="44">
        <v>16800</v>
      </c>
      <c r="M217" s="53" t="s">
        <v>1625</v>
      </c>
      <c r="N217" s="46" t="s">
        <v>1652</v>
      </c>
      <c r="O217" s="45" t="s">
        <v>1421</v>
      </c>
      <c r="P217" s="53" t="s">
        <v>1627</v>
      </c>
      <c r="Q217" s="53" t="s">
        <v>1628</v>
      </c>
      <c r="R217" s="53" t="s">
        <v>1629</v>
      </c>
      <c r="S217" s="46" t="s">
        <v>1630</v>
      </c>
      <c r="T217" s="53" t="s">
        <v>1627</v>
      </c>
      <c r="U217" s="46" t="s">
        <v>1471</v>
      </c>
      <c r="V217" s="49"/>
    </row>
    <row r="218" hidden="1" spans="1:22">
      <c r="A218" s="37">
        <v>540425202216017</v>
      </c>
      <c r="B218" s="38" t="s">
        <v>20</v>
      </c>
      <c r="C218" s="55" t="s">
        <v>2051</v>
      </c>
      <c r="D218" s="40" t="s">
        <v>2052</v>
      </c>
      <c r="E218" s="41">
        <v>44562</v>
      </c>
      <c r="F218" s="40" t="s">
        <v>2030</v>
      </c>
      <c r="G218" s="40" t="s">
        <v>1675</v>
      </c>
      <c r="H218" s="42">
        <v>5</v>
      </c>
      <c r="I218" s="43">
        <v>2</v>
      </c>
      <c r="J218" s="48">
        <v>39200</v>
      </c>
      <c r="K218" s="44">
        <v>23520</v>
      </c>
      <c r="L218" s="44">
        <v>15680</v>
      </c>
      <c r="M218" s="53" t="s">
        <v>1625</v>
      </c>
      <c r="N218" s="46" t="s">
        <v>1652</v>
      </c>
      <c r="O218" s="45" t="s">
        <v>1421</v>
      </c>
      <c r="P218" s="53" t="s">
        <v>1627</v>
      </c>
      <c r="Q218" s="53" t="s">
        <v>1628</v>
      </c>
      <c r="R218" s="53" t="s">
        <v>1629</v>
      </c>
      <c r="S218" s="46" t="s">
        <v>1630</v>
      </c>
      <c r="T218" s="53" t="s">
        <v>1627</v>
      </c>
      <c r="U218" s="46" t="s">
        <v>1471</v>
      </c>
      <c r="V218" s="49"/>
    </row>
    <row r="219" hidden="1" spans="1:22">
      <c r="A219" s="37">
        <v>540425201715002</v>
      </c>
      <c r="B219" s="38" t="s">
        <v>20</v>
      </c>
      <c r="C219" s="55" t="s">
        <v>2053</v>
      </c>
      <c r="D219" s="40" t="s">
        <v>979</v>
      </c>
      <c r="E219" s="41">
        <v>42979</v>
      </c>
      <c r="F219" s="40" t="s">
        <v>2054</v>
      </c>
      <c r="G219" s="40" t="s">
        <v>1868</v>
      </c>
      <c r="H219" s="42">
        <v>10</v>
      </c>
      <c r="I219" s="43">
        <v>956</v>
      </c>
      <c r="J219" s="48"/>
      <c r="K219" s="44">
        <v>0</v>
      </c>
      <c r="L219" s="44">
        <v>0</v>
      </c>
      <c r="M219" s="53" t="s">
        <v>1625</v>
      </c>
      <c r="N219" s="46" t="s">
        <v>1652</v>
      </c>
      <c r="O219" s="45" t="s">
        <v>1421</v>
      </c>
      <c r="P219" s="53" t="s">
        <v>1627</v>
      </c>
      <c r="Q219" s="53" t="s">
        <v>1628</v>
      </c>
      <c r="R219" s="53" t="s">
        <v>1629</v>
      </c>
      <c r="S219" s="46" t="s">
        <v>1630</v>
      </c>
      <c r="T219" s="53" t="s">
        <v>1627</v>
      </c>
      <c r="U219" s="46" t="s">
        <v>1457</v>
      </c>
      <c r="V219" s="52" t="s">
        <v>2055</v>
      </c>
    </row>
    <row r="220" hidden="1" spans="1:22">
      <c r="A220" s="37">
        <v>540425201715002</v>
      </c>
      <c r="B220" s="38" t="s">
        <v>20</v>
      </c>
      <c r="C220" s="55" t="s">
        <v>2056</v>
      </c>
      <c r="D220" s="40" t="s">
        <v>2057</v>
      </c>
      <c r="E220" s="41">
        <v>42979</v>
      </c>
      <c r="F220" s="40" t="s">
        <v>2054</v>
      </c>
      <c r="G220" s="40" t="s">
        <v>1647</v>
      </c>
      <c r="H220" s="42">
        <v>20</v>
      </c>
      <c r="I220" s="43">
        <v>3</v>
      </c>
      <c r="J220" s="48"/>
      <c r="K220" s="44">
        <v>0</v>
      </c>
      <c r="L220" s="44">
        <v>0</v>
      </c>
      <c r="M220" s="53" t="s">
        <v>1625</v>
      </c>
      <c r="N220" s="46" t="s">
        <v>1652</v>
      </c>
      <c r="O220" s="45" t="s">
        <v>1421</v>
      </c>
      <c r="P220" s="53" t="s">
        <v>1627</v>
      </c>
      <c r="Q220" s="53" t="s">
        <v>1628</v>
      </c>
      <c r="R220" s="53" t="s">
        <v>1629</v>
      </c>
      <c r="S220" s="46" t="s">
        <v>1630</v>
      </c>
      <c r="T220" s="53" t="s">
        <v>1627</v>
      </c>
      <c r="U220" s="46" t="s">
        <v>1457</v>
      </c>
      <c r="V220" s="52" t="s">
        <v>2055</v>
      </c>
    </row>
    <row r="221" hidden="1" spans="1:22">
      <c r="A221" s="37">
        <v>540425201715002</v>
      </c>
      <c r="B221" s="38" t="s">
        <v>20</v>
      </c>
      <c r="C221" s="55" t="s">
        <v>2058</v>
      </c>
      <c r="D221" s="40" t="s">
        <v>1799</v>
      </c>
      <c r="E221" s="41">
        <v>42979</v>
      </c>
      <c r="F221" s="40" t="s">
        <v>2054</v>
      </c>
      <c r="G221" s="40" t="s">
        <v>1647</v>
      </c>
      <c r="H221" s="42">
        <v>10</v>
      </c>
      <c r="I221" s="43">
        <v>7</v>
      </c>
      <c r="J221" s="48"/>
      <c r="K221" s="44">
        <v>0</v>
      </c>
      <c r="L221" s="44">
        <v>0</v>
      </c>
      <c r="M221" s="53" t="s">
        <v>1625</v>
      </c>
      <c r="N221" s="46" t="s">
        <v>1652</v>
      </c>
      <c r="O221" s="45" t="s">
        <v>1421</v>
      </c>
      <c r="P221" s="53" t="s">
        <v>1627</v>
      </c>
      <c r="Q221" s="53" t="s">
        <v>1628</v>
      </c>
      <c r="R221" s="53" t="s">
        <v>1629</v>
      </c>
      <c r="S221" s="46" t="s">
        <v>1630</v>
      </c>
      <c r="T221" s="53" t="s">
        <v>1627</v>
      </c>
      <c r="U221" s="46" t="s">
        <v>1457</v>
      </c>
      <c r="V221" s="52" t="s">
        <v>2055</v>
      </c>
    </row>
    <row r="222" hidden="1" spans="1:22">
      <c r="A222" s="37">
        <v>540425201916010</v>
      </c>
      <c r="B222" s="38" t="s">
        <v>20</v>
      </c>
      <c r="C222" s="55" t="s">
        <v>2059</v>
      </c>
      <c r="D222" s="40" t="s">
        <v>2013</v>
      </c>
      <c r="E222" s="41">
        <v>43831</v>
      </c>
      <c r="F222" s="40" t="s">
        <v>1961</v>
      </c>
      <c r="G222" s="40" t="s">
        <v>1647</v>
      </c>
      <c r="H222" s="42">
        <v>10</v>
      </c>
      <c r="I222" s="43">
        <v>6</v>
      </c>
      <c r="J222" s="48">
        <v>346800</v>
      </c>
      <c r="K222" s="44">
        <v>173400</v>
      </c>
      <c r="L222" s="44">
        <v>173400</v>
      </c>
      <c r="M222" s="53" t="s">
        <v>1625</v>
      </c>
      <c r="N222" s="46" t="s">
        <v>1626</v>
      </c>
      <c r="O222" s="45" t="s">
        <v>1421</v>
      </c>
      <c r="P222" s="53" t="s">
        <v>1627</v>
      </c>
      <c r="Q222" s="53" t="s">
        <v>1628</v>
      </c>
      <c r="R222" s="53" t="s">
        <v>1629</v>
      </c>
      <c r="S222" s="46" t="s">
        <v>1630</v>
      </c>
      <c r="T222" s="53" t="s">
        <v>1627</v>
      </c>
      <c r="U222" s="46" t="s">
        <v>1487</v>
      </c>
      <c r="V222" s="49"/>
    </row>
    <row r="223" hidden="1" spans="1:22">
      <c r="A223" s="37">
        <v>540425201919026</v>
      </c>
      <c r="B223" s="38" t="s">
        <v>20</v>
      </c>
      <c r="C223" s="55" t="s">
        <v>2060</v>
      </c>
      <c r="D223" s="40" t="s">
        <v>1744</v>
      </c>
      <c r="E223" s="41">
        <v>43922</v>
      </c>
      <c r="F223" s="40" t="s">
        <v>1984</v>
      </c>
      <c r="G223" s="40" t="s">
        <v>1647</v>
      </c>
      <c r="H223" s="42">
        <v>10</v>
      </c>
      <c r="I223" s="43">
        <v>1</v>
      </c>
      <c r="J223" s="48">
        <v>45800</v>
      </c>
      <c r="K223" s="44">
        <v>21755</v>
      </c>
      <c r="L223" s="44">
        <v>24045</v>
      </c>
      <c r="M223" s="53" t="s">
        <v>1625</v>
      </c>
      <c r="N223" s="46" t="s">
        <v>1626</v>
      </c>
      <c r="O223" s="45" t="s">
        <v>1421</v>
      </c>
      <c r="P223" s="53" t="s">
        <v>1627</v>
      </c>
      <c r="Q223" s="53" t="s">
        <v>1628</v>
      </c>
      <c r="R223" s="53" t="s">
        <v>1629</v>
      </c>
      <c r="S223" s="46" t="s">
        <v>1630</v>
      </c>
      <c r="T223" s="53" t="s">
        <v>1627</v>
      </c>
      <c r="U223" s="46" t="s">
        <v>1482</v>
      </c>
      <c r="V223" s="49"/>
    </row>
    <row r="224" hidden="1" spans="1:22">
      <c r="A224" s="37">
        <v>540425201919026</v>
      </c>
      <c r="B224" s="38" t="s">
        <v>20</v>
      </c>
      <c r="C224" s="55" t="s">
        <v>2061</v>
      </c>
      <c r="D224" s="40" t="s">
        <v>2062</v>
      </c>
      <c r="E224" s="41">
        <v>43922</v>
      </c>
      <c r="F224" s="40" t="s">
        <v>1984</v>
      </c>
      <c r="G224" s="40" t="s">
        <v>2063</v>
      </c>
      <c r="H224" s="42">
        <v>10</v>
      </c>
      <c r="I224" s="43">
        <v>6066</v>
      </c>
      <c r="J224" s="48">
        <v>289500</v>
      </c>
      <c r="K224" s="44">
        <v>289500</v>
      </c>
      <c r="L224" s="44">
        <v>0</v>
      </c>
      <c r="M224" s="53" t="s">
        <v>1685</v>
      </c>
      <c r="N224" s="46" t="s">
        <v>1866</v>
      </c>
      <c r="O224" s="45" t="s">
        <v>1421</v>
      </c>
      <c r="P224" s="53" t="s">
        <v>1687</v>
      </c>
      <c r="Q224" s="53" t="s">
        <v>1628</v>
      </c>
      <c r="R224" s="53" t="s">
        <v>1629</v>
      </c>
      <c r="S224" s="46" t="s">
        <v>1630</v>
      </c>
      <c r="T224" s="53" t="s">
        <v>1700</v>
      </c>
      <c r="U224" s="46" t="s">
        <v>1482</v>
      </c>
      <c r="V224" s="49"/>
    </row>
    <row r="225" hidden="1" spans="1:22">
      <c r="A225" s="37">
        <v>540425201919026</v>
      </c>
      <c r="B225" s="38" t="s">
        <v>20</v>
      </c>
      <c r="C225" s="55" t="s">
        <v>2064</v>
      </c>
      <c r="D225" s="40" t="s">
        <v>1956</v>
      </c>
      <c r="E225" s="41">
        <v>43922</v>
      </c>
      <c r="F225" s="40" t="s">
        <v>1984</v>
      </c>
      <c r="G225" s="40" t="s">
        <v>2065</v>
      </c>
      <c r="H225" s="42">
        <v>10</v>
      </c>
      <c r="I225" s="43">
        <v>1</v>
      </c>
      <c r="J225" s="48">
        <v>69200</v>
      </c>
      <c r="K225" s="44">
        <v>32870</v>
      </c>
      <c r="L225" s="44">
        <v>36330</v>
      </c>
      <c r="M225" s="53" t="s">
        <v>1625</v>
      </c>
      <c r="N225" s="46" t="s">
        <v>1626</v>
      </c>
      <c r="O225" s="45" t="s">
        <v>1421</v>
      </c>
      <c r="P225" s="53" t="s">
        <v>1705</v>
      </c>
      <c r="Q225" s="53" t="s">
        <v>1628</v>
      </c>
      <c r="R225" s="53" t="s">
        <v>1629</v>
      </c>
      <c r="S225" s="46" t="s">
        <v>1630</v>
      </c>
      <c r="T225" s="53" t="s">
        <v>1700</v>
      </c>
      <c r="U225" s="46" t="s">
        <v>1482</v>
      </c>
      <c r="V225" s="49"/>
    </row>
    <row r="226" hidden="1" spans="1:22">
      <c r="A226" s="37">
        <v>540425201819013</v>
      </c>
      <c r="B226" s="38" t="s">
        <v>20</v>
      </c>
      <c r="C226" s="55" t="s">
        <v>2066</v>
      </c>
      <c r="D226" s="40" t="s">
        <v>2067</v>
      </c>
      <c r="E226" s="41">
        <v>43435</v>
      </c>
      <c r="F226" s="40" t="s">
        <v>2068</v>
      </c>
      <c r="G226" s="40" t="s">
        <v>1868</v>
      </c>
      <c r="H226" s="42">
        <v>10</v>
      </c>
      <c r="I226" s="43">
        <v>10</v>
      </c>
      <c r="J226" s="48">
        <v>450000</v>
      </c>
      <c r="K226" s="44">
        <v>273750</v>
      </c>
      <c r="L226" s="44">
        <v>176250</v>
      </c>
      <c r="M226" s="53" t="s">
        <v>1625</v>
      </c>
      <c r="N226" s="46" t="s">
        <v>1866</v>
      </c>
      <c r="O226" s="45" t="s">
        <v>1421</v>
      </c>
      <c r="P226" s="53" t="s">
        <v>1705</v>
      </c>
      <c r="Q226" s="53" t="s">
        <v>1628</v>
      </c>
      <c r="R226" s="53" t="s">
        <v>1629</v>
      </c>
      <c r="S226" s="46" t="s">
        <v>1630</v>
      </c>
      <c r="T226" s="53" t="s">
        <v>1700</v>
      </c>
      <c r="U226" s="46" t="s">
        <v>1480</v>
      </c>
      <c r="V226" s="49"/>
    </row>
    <row r="227" hidden="1" spans="1:22">
      <c r="A227" s="37">
        <v>540425201719010</v>
      </c>
      <c r="B227" s="38" t="s">
        <v>20</v>
      </c>
      <c r="C227" s="55" t="s">
        <v>2069</v>
      </c>
      <c r="D227" s="40" t="s">
        <v>2070</v>
      </c>
      <c r="E227" s="41">
        <v>43617</v>
      </c>
      <c r="F227" s="40" t="s">
        <v>2068</v>
      </c>
      <c r="G227" s="40" t="s">
        <v>1651</v>
      </c>
      <c r="H227" s="42">
        <v>5</v>
      </c>
      <c r="I227" s="43">
        <v>1</v>
      </c>
      <c r="J227" s="48">
        <v>246200</v>
      </c>
      <c r="K227" s="48">
        <v>246200</v>
      </c>
      <c r="L227" s="44">
        <v>0</v>
      </c>
      <c r="M227" s="53" t="s">
        <v>1625</v>
      </c>
      <c r="N227" s="46" t="s">
        <v>1652</v>
      </c>
      <c r="O227" s="45" t="s">
        <v>1421</v>
      </c>
      <c r="P227" s="53" t="s">
        <v>1627</v>
      </c>
      <c r="Q227" s="53" t="s">
        <v>1628</v>
      </c>
      <c r="R227" s="53" t="s">
        <v>1629</v>
      </c>
      <c r="S227" s="46" t="s">
        <v>1846</v>
      </c>
      <c r="T227" s="53" t="s">
        <v>1627</v>
      </c>
      <c r="U227" s="46" t="s">
        <v>1480</v>
      </c>
      <c r="V227" s="49"/>
    </row>
    <row r="228" hidden="1" spans="1:22">
      <c r="A228" s="37">
        <v>540425201919023</v>
      </c>
      <c r="B228" s="38" t="s">
        <v>20</v>
      </c>
      <c r="C228" s="55" t="s">
        <v>2071</v>
      </c>
      <c r="D228" s="40" t="s">
        <v>2072</v>
      </c>
      <c r="E228" s="41">
        <v>43862</v>
      </c>
      <c r="F228" s="40" t="s">
        <v>2073</v>
      </c>
      <c r="G228" s="40" t="s">
        <v>1642</v>
      </c>
      <c r="H228" s="42">
        <v>20</v>
      </c>
      <c r="I228" s="43">
        <v>1</v>
      </c>
      <c r="J228" s="48">
        <v>1667000</v>
      </c>
      <c r="K228" s="44">
        <v>409804.17</v>
      </c>
      <c r="L228" s="44">
        <v>1257195.83</v>
      </c>
      <c r="M228" s="53" t="s">
        <v>1625</v>
      </c>
      <c r="N228" s="46" t="s">
        <v>1643</v>
      </c>
      <c r="O228" s="45" t="s">
        <v>1421</v>
      </c>
      <c r="P228" s="53" t="s">
        <v>1627</v>
      </c>
      <c r="Q228" s="53" t="s">
        <v>1969</v>
      </c>
      <c r="R228" s="45" t="s">
        <v>1636</v>
      </c>
      <c r="S228" s="46" t="s">
        <v>1630</v>
      </c>
      <c r="T228" s="53" t="s">
        <v>1636</v>
      </c>
      <c r="U228" s="46" t="s">
        <v>1460</v>
      </c>
      <c r="V228" s="52" t="s">
        <v>2074</v>
      </c>
    </row>
    <row r="229" hidden="1" spans="1:22">
      <c r="A229" s="37">
        <v>540425201919023</v>
      </c>
      <c r="B229" s="38" t="s">
        <v>20</v>
      </c>
      <c r="C229" s="55" t="s">
        <v>2075</v>
      </c>
      <c r="D229" s="40" t="s">
        <v>2076</v>
      </c>
      <c r="E229" s="41">
        <v>43862</v>
      </c>
      <c r="F229" s="40" t="s">
        <v>2073</v>
      </c>
      <c r="G229" s="40" t="s">
        <v>1675</v>
      </c>
      <c r="H229" s="42">
        <v>5</v>
      </c>
      <c r="I229" s="43">
        <v>2</v>
      </c>
      <c r="J229" s="48">
        <v>160000</v>
      </c>
      <c r="K229" s="44">
        <v>160000</v>
      </c>
      <c r="L229" s="44">
        <v>0</v>
      </c>
      <c r="M229" s="53" t="s">
        <v>1625</v>
      </c>
      <c r="N229" s="46" t="s">
        <v>1652</v>
      </c>
      <c r="O229" s="45" t="s">
        <v>1421</v>
      </c>
      <c r="P229" s="53" t="s">
        <v>1687</v>
      </c>
      <c r="Q229" s="53" t="s">
        <v>1969</v>
      </c>
      <c r="R229" s="53" t="s">
        <v>1687</v>
      </c>
      <c r="S229" s="46" t="s">
        <v>1630</v>
      </c>
      <c r="T229" s="53" t="s">
        <v>1636</v>
      </c>
      <c r="U229" s="46" t="s">
        <v>1460</v>
      </c>
      <c r="V229" s="52" t="s">
        <v>2074</v>
      </c>
    </row>
    <row r="230" hidden="1" spans="1:22">
      <c r="A230" s="37">
        <v>540425201919023</v>
      </c>
      <c r="B230" s="38" t="s">
        <v>20</v>
      </c>
      <c r="C230" s="55" t="s">
        <v>2077</v>
      </c>
      <c r="D230" s="40" t="s">
        <v>2078</v>
      </c>
      <c r="E230" s="41">
        <v>43862</v>
      </c>
      <c r="F230" s="40" t="s">
        <v>2073</v>
      </c>
      <c r="G230" s="40" t="s">
        <v>1675</v>
      </c>
      <c r="H230" s="42">
        <v>5</v>
      </c>
      <c r="I230" s="43">
        <v>1</v>
      </c>
      <c r="J230" s="48">
        <v>81000</v>
      </c>
      <c r="K230" s="44">
        <v>81000</v>
      </c>
      <c r="L230" s="44">
        <v>0</v>
      </c>
      <c r="M230" s="53" t="s">
        <v>1625</v>
      </c>
      <c r="N230" s="46" t="s">
        <v>1652</v>
      </c>
      <c r="O230" s="45" t="s">
        <v>1421</v>
      </c>
      <c r="P230" s="53" t="s">
        <v>1687</v>
      </c>
      <c r="Q230" s="53" t="s">
        <v>1969</v>
      </c>
      <c r="R230" s="53" t="s">
        <v>1687</v>
      </c>
      <c r="S230" s="46" t="s">
        <v>1630</v>
      </c>
      <c r="T230" s="53" t="s">
        <v>1636</v>
      </c>
      <c r="U230" s="46" t="s">
        <v>1460</v>
      </c>
      <c r="V230" s="52" t="s">
        <v>2074</v>
      </c>
    </row>
    <row r="231" hidden="1" spans="1:22">
      <c r="A231" s="37">
        <v>540425201919023</v>
      </c>
      <c r="B231" s="38" t="s">
        <v>20</v>
      </c>
      <c r="C231" s="55" t="s">
        <v>2079</v>
      </c>
      <c r="D231" s="40" t="s">
        <v>2080</v>
      </c>
      <c r="E231" s="41">
        <v>43862</v>
      </c>
      <c r="F231" s="40" t="s">
        <v>2073</v>
      </c>
      <c r="G231" s="40" t="s">
        <v>1675</v>
      </c>
      <c r="H231" s="42">
        <v>5</v>
      </c>
      <c r="I231" s="43">
        <v>1</v>
      </c>
      <c r="J231" s="48">
        <v>60000</v>
      </c>
      <c r="K231" s="44">
        <v>60000</v>
      </c>
      <c r="L231" s="44">
        <v>0</v>
      </c>
      <c r="M231" s="53" t="s">
        <v>1625</v>
      </c>
      <c r="N231" s="46" t="s">
        <v>1652</v>
      </c>
      <c r="O231" s="45" t="s">
        <v>1421</v>
      </c>
      <c r="P231" s="53" t="s">
        <v>1687</v>
      </c>
      <c r="Q231" s="53" t="s">
        <v>1969</v>
      </c>
      <c r="R231" s="53" t="s">
        <v>1687</v>
      </c>
      <c r="S231" s="46" t="s">
        <v>1630</v>
      </c>
      <c r="T231" s="53" t="s">
        <v>1636</v>
      </c>
      <c r="U231" s="46" t="s">
        <v>1460</v>
      </c>
      <c r="V231" s="52" t="s">
        <v>2074</v>
      </c>
    </row>
    <row r="232" hidden="1" spans="1:22">
      <c r="A232" s="37">
        <v>540425201919023</v>
      </c>
      <c r="B232" s="38" t="s">
        <v>20</v>
      </c>
      <c r="C232" s="55" t="s">
        <v>2081</v>
      </c>
      <c r="D232" s="40" t="s">
        <v>2082</v>
      </c>
      <c r="E232" s="41">
        <v>43862</v>
      </c>
      <c r="F232" s="40" t="s">
        <v>2073</v>
      </c>
      <c r="G232" s="40" t="s">
        <v>1675</v>
      </c>
      <c r="H232" s="42">
        <v>5</v>
      </c>
      <c r="I232" s="43">
        <v>1</v>
      </c>
      <c r="J232" s="48">
        <v>8000</v>
      </c>
      <c r="K232" s="44">
        <v>8000</v>
      </c>
      <c r="L232" s="44">
        <v>0</v>
      </c>
      <c r="M232" s="53" t="s">
        <v>1625</v>
      </c>
      <c r="N232" s="46" t="s">
        <v>1652</v>
      </c>
      <c r="O232" s="45" t="s">
        <v>1421</v>
      </c>
      <c r="P232" s="53" t="s">
        <v>1687</v>
      </c>
      <c r="Q232" s="53" t="s">
        <v>1969</v>
      </c>
      <c r="R232" s="53" t="s">
        <v>1687</v>
      </c>
      <c r="S232" s="46" t="s">
        <v>1630</v>
      </c>
      <c r="T232" s="53" t="s">
        <v>1636</v>
      </c>
      <c r="U232" s="46" t="s">
        <v>1460</v>
      </c>
      <c r="V232" s="52" t="s">
        <v>2074</v>
      </c>
    </row>
    <row r="233" hidden="1" spans="1:22">
      <c r="A233" s="37">
        <v>540425201919023</v>
      </c>
      <c r="B233" s="38" t="s">
        <v>20</v>
      </c>
      <c r="C233" s="55" t="s">
        <v>2083</v>
      </c>
      <c r="D233" s="40" t="s">
        <v>2084</v>
      </c>
      <c r="E233" s="41">
        <v>43862</v>
      </c>
      <c r="F233" s="40" t="s">
        <v>2073</v>
      </c>
      <c r="G233" s="40" t="s">
        <v>1675</v>
      </c>
      <c r="H233" s="42">
        <v>5</v>
      </c>
      <c r="I233" s="43">
        <v>1</v>
      </c>
      <c r="J233" s="48">
        <v>2500</v>
      </c>
      <c r="K233" s="44">
        <v>2500</v>
      </c>
      <c r="L233" s="44">
        <v>0</v>
      </c>
      <c r="M233" s="53" t="s">
        <v>1625</v>
      </c>
      <c r="N233" s="46" t="s">
        <v>1652</v>
      </c>
      <c r="O233" s="45" t="s">
        <v>1421</v>
      </c>
      <c r="P233" s="53" t="s">
        <v>1687</v>
      </c>
      <c r="Q233" s="53" t="s">
        <v>1969</v>
      </c>
      <c r="R233" s="53" t="s">
        <v>1687</v>
      </c>
      <c r="S233" s="46" t="s">
        <v>1630</v>
      </c>
      <c r="T233" s="53" t="s">
        <v>1636</v>
      </c>
      <c r="U233" s="46" t="s">
        <v>1460</v>
      </c>
      <c r="V233" s="52" t="s">
        <v>2074</v>
      </c>
    </row>
    <row r="234" hidden="1" spans="1:22">
      <c r="A234" s="37">
        <v>540425201919023</v>
      </c>
      <c r="B234" s="38" t="s">
        <v>20</v>
      </c>
      <c r="C234" s="55" t="s">
        <v>2085</v>
      </c>
      <c r="D234" s="40" t="s">
        <v>2086</v>
      </c>
      <c r="E234" s="41">
        <v>43862</v>
      </c>
      <c r="F234" s="40" t="s">
        <v>2073</v>
      </c>
      <c r="G234" s="40" t="s">
        <v>1675</v>
      </c>
      <c r="H234" s="42">
        <v>5</v>
      </c>
      <c r="I234" s="43">
        <v>1</v>
      </c>
      <c r="J234" s="48">
        <v>12000</v>
      </c>
      <c r="K234" s="44">
        <v>12000</v>
      </c>
      <c r="L234" s="44">
        <v>0</v>
      </c>
      <c r="M234" s="53" t="s">
        <v>1625</v>
      </c>
      <c r="N234" s="46" t="s">
        <v>1652</v>
      </c>
      <c r="O234" s="45" t="s">
        <v>1421</v>
      </c>
      <c r="P234" s="53" t="s">
        <v>1687</v>
      </c>
      <c r="Q234" s="53" t="s">
        <v>1969</v>
      </c>
      <c r="R234" s="53" t="s">
        <v>1687</v>
      </c>
      <c r="S234" s="46" t="s">
        <v>1630</v>
      </c>
      <c r="T234" s="53" t="s">
        <v>1636</v>
      </c>
      <c r="U234" s="46" t="s">
        <v>1460</v>
      </c>
      <c r="V234" s="52" t="s">
        <v>2074</v>
      </c>
    </row>
    <row r="235" hidden="1" spans="1:22">
      <c r="A235" s="37">
        <v>540425201919023</v>
      </c>
      <c r="B235" s="38" t="s">
        <v>20</v>
      </c>
      <c r="C235" s="55" t="s">
        <v>2087</v>
      </c>
      <c r="D235" s="40" t="s">
        <v>2088</v>
      </c>
      <c r="E235" s="41">
        <v>43862</v>
      </c>
      <c r="F235" s="40" t="s">
        <v>2073</v>
      </c>
      <c r="G235" s="40" t="s">
        <v>1675</v>
      </c>
      <c r="H235" s="42">
        <v>5</v>
      </c>
      <c r="I235" s="43">
        <v>1</v>
      </c>
      <c r="J235" s="48">
        <v>2500</v>
      </c>
      <c r="K235" s="44">
        <v>2500</v>
      </c>
      <c r="L235" s="44">
        <v>0</v>
      </c>
      <c r="M235" s="53" t="s">
        <v>1625</v>
      </c>
      <c r="N235" s="46" t="s">
        <v>1652</v>
      </c>
      <c r="O235" s="45" t="s">
        <v>1421</v>
      </c>
      <c r="P235" s="53" t="s">
        <v>1687</v>
      </c>
      <c r="Q235" s="53" t="s">
        <v>1969</v>
      </c>
      <c r="R235" s="53" t="s">
        <v>1687</v>
      </c>
      <c r="S235" s="46" t="s">
        <v>1630</v>
      </c>
      <c r="T235" s="53" t="s">
        <v>1636</v>
      </c>
      <c r="U235" s="46" t="s">
        <v>1460</v>
      </c>
      <c r="V235" s="52" t="s">
        <v>2074</v>
      </c>
    </row>
    <row r="236" hidden="1" spans="1:22">
      <c r="A236" s="37">
        <v>540425201919023</v>
      </c>
      <c r="B236" s="38" t="s">
        <v>20</v>
      </c>
      <c r="C236" s="55" t="s">
        <v>2089</v>
      </c>
      <c r="D236" s="40" t="s">
        <v>2090</v>
      </c>
      <c r="E236" s="41">
        <v>43862</v>
      </c>
      <c r="F236" s="40" t="s">
        <v>2073</v>
      </c>
      <c r="G236" s="40" t="s">
        <v>1675</v>
      </c>
      <c r="H236" s="42">
        <v>5</v>
      </c>
      <c r="I236" s="43">
        <v>2</v>
      </c>
      <c r="J236" s="48">
        <v>50000</v>
      </c>
      <c r="K236" s="44">
        <v>50000</v>
      </c>
      <c r="L236" s="44">
        <v>0</v>
      </c>
      <c r="M236" s="53" t="s">
        <v>1625</v>
      </c>
      <c r="N236" s="46" t="s">
        <v>1652</v>
      </c>
      <c r="O236" s="45" t="s">
        <v>1421</v>
      </c>
      <c r="P236" s="53" t="s">
        <v>1687</v>
      </c>
      <c r="Q236" s="53" t="s">
        <v>1969</v>
      </c>
      <c r="R236" s="53" t="s">
        <v>1687</v>
      </c>
      <c r="S236" s="46" t="s">
        <v>1630</v>
      </c>
      <c r="T236" s="53" t="s">
        <v>1636</v>
      </c>
      <c r="U236" s="46" t="s">
        <v>1460</v>
      </c>
      <c r="V236" s="52" t="s">
        <v>2074</v>
      </c>
    </row>
    <row r="237" hidden="1" spans="1:22">
      <c r="A237" s="37">
        <v>540425201919023</v>
      </c>
      <c r="B237" s="38" t="s">
        <v>20</v>
      </c>
      <c r="C237" s="55" t="s">
        <v>2091</v>
      </c>
      <c r="D237" s="40" t="s">
        <v>2092</v>
      </c>
      <c r="E237" s="41">
        <v>43862</v>
      </c>
      <c r="F237" s="40" t="s">
        <v>2073</v>
      </c>
      <c r="G237" s="40" t="s">
        <v>1675</v>
      </c>
      <c r="H237" s="42">
        <v>5</v>
      </c>
      <c r="I237" s="43">
        <v>2</v>
      </c>
      <c r="J237" s="48">
        <v>24000</v>
      </c>
      <c r="K237" s="44">
        <v>24000</v>
      </c>
      <c r="L237" s="44">
        <v>0</v>
      </c>
      <c r="M237" s="53" t="s">
        <v>1625</v>
      </c>
      <c r="N237" s="46" t="s">
        <v>1652</v>
      </c>
      <c r="O237" s="45" t="s">
        <v>1421</v>
      </c>
      <c r="P237" s="53" t="s">
        <v>1687</v>
      </c>
      <c r="Q237" s="53" t="s">
        <v>1969</v>
      </c>
      <c r="R237" s="53" t="s">
        <v>1687</v>
      </c>
      <c r="S237" s="46" t="s">
        <v>1630</v>
      </c>
      <c r="T237" s="53" t="s">
        <v>1636</v>
      </c>
      <c r="U237" s="46" t="s">
        <v>1460</v>
      </c>
      <c r="V237" s="52" t="s">
        <v>2074</v>
      </c>
    </row>
    <row r="238" hidden="1" spans="1:22">
      <c r="A238" s="37">
        <v>540425201919023</v>
      </c>
      <c r="B238" s="38" t="s">
        <v>20</v>
      </c>
      <c r="C238" s="55" t="s">
        <v>2093</v>
      </c>
      <c r="D238" s="40" t="s">
        <v>2094</v>
      </c>
      <c r="E238" s="41">
        <v>43862</v>
      </c>
      <c r="F238" s="40" t="s">
        <v>2073</v>
      </c>
      <c r="G238" s="40" t="s">
        <v>1675</v>
      </c>
      <c r="H238" s="42">
        <v>5</v>
      </c>
      <c r="I238" s="43">
        <v>1</v>
      </c>
      <c r="J238" s="48">
        <v>190000</v>
      </c>
      <c r="K238" s="44">
        <v>190000</v>
      </c>
      <c r="L238" s="44">
        <v>0</v>
      </c>
      <c r="M238" s="53" t="s">
        <v>1625</v>
      </c>
      <c r="N238" s="46" t="s">
        <v>1652</v>
      </c>
      <c r="O238" s="45" t="s">
        <v>1421</v>
      </c>
      <c r="P238" s="53" t="s">
        <v>1687</v>
      </c>
      <c r="Q238" s="53" t="s">
        <v>1969</v>
      </c>
      <c r="R238" s="53" t="s">
        <v>1687</v>
      </c>
      <c r="S238" s="46" t="s">
        <v>1630</v>
      </c>
      <c r="T238" s="53" t="s">
        <v>1636</v>
      </c>
      <c r="U238" s="46" t="s">
        <v>1460</v>
      </c>
      <c r="V238" s="52" t="s">
        <v>2074</v>
      </c>
    </row>
    <row r="239" hidden="1" spans="1:22">
      <c r="A239" s="37">
        <v>540425201919023</v>
      </c>
      <c r="B239" s="38" t="s">
        <v>20</v>
      </c>
      <c r="C239" s="55" t="s">
        <v>2095</v>
      </c>
      <c r="D239" s="40" t="s">
        <v>2096</v>
      </c>
      <c r="E239" s="41">
        <v>43862</v>
      </c>
      <c r="F239" s="40" t="s">
        <v>2073</v>
      </c>
      <c r="G239" s="40" t="s">
        <v>1675</v>
      </c>
      <c r="H239" s="42">
        <v>5</v>
      </c>
      <c r="I239" s="43">
        <v>1</v>
      </c>
      <c r="J239" s="48">
        <v>85000</v>
      </c>
      <c r="K239" s="44">
        <v>85000</v>
      </c>
      <c r="L239" s="44">
        <v>0</v>
      </c>
      <c r="M239" s="53" t="s">
        <v>1625</v>
      </c>
      <c r="N239" s="46" t="s">
        <v>1652</v>
      </c>
      <c r="O239" s="45" t="s">
        <v>1421</v>
      </c>
      <c r="P239" s="53" t="s">
        <v>1687</v>
      </c>
      <c r="Q239" s="53" t="s">
        <v>1969</v>
      </c>
      <c r="R239" s="53" t="s">
        <v>1687</v>
      </c>
      <c r="S239" s="46" t="s">
        <v>1630</v>
      </c>
      <c r="T239" s="53" t="s">
        <v>1636</v>
      </c>
      <c r="U239" s="46" t="s">
        <v>1460</v>
      </c>
      <c r="V239" s="52" t="s">
        <v>2074</v>
      </c>
    </row>
    <row r="240" hidden="1" spans="1:22">
      <c r="A240" s="37">
        <v>540425201919023</v>
      </c>
      <c r="B240" s="38" t="s">
        <v>20</v>
      </c>
      <c r="C240" s="55" t="s">
        <v>2097</v>
      </c>
      <c r="D240" s="40" t="s">
        <v>2098</v>
      </c>
      <c r="E240" s="41">
        <v>43862</v>
      </c>
      <c r="F240" s="40" t="s">
        <v>2073</v>
      </c>
      <c r="G240" s="40" t="s">
        <v>1675</v>
      </c>
      <c r="H240" s="42">
        <v>5</v>
      </c>
      <c r="I240" s="43">
        <v>5</v>
      </c>
      <c r="J240" s="48">
        <v>25000</v>
      </c>
      <c r="K240" s="44">
        <v>25000</v>
      </c>
      <c r="L240" s="44">
        <v>0</v>
      </c>
      <c r="M240" s="53" t="s">
        <v>1625</v>
      </c>
      <c r="N240" s="46" t="s">
        <v>1652</v>
      </c>
      <c r="O240" s="45" t="s">
        <v>1421</v>
      </c>
      <c r="P240" s="53" t="s">
        <v>1687</v>
      </c>
      <c r="Q240" s="53" t="s">
        <v>1969</v>
      </c>
      <c r="R240" s="53" t="s">
        <v>1687</v>
      </c>
      <c r="S240" s="46" t="s">
        <v>1630</v>
      </c>
      <c r="T240" s="53" t="s">
        <v>1636</v>
      </c>
      <c r="U240" s="46" t="s">
        <v>1460</v>
      </c>
      <c r="V240" s="52" t="s">
        <v>2074</v>
      </c>
    </row>
    <row r="241" hidden="1" spans="1:22">
      <c r="A241" s="37">
        <v>540425201919023</v>
      </c>
      <c r="B241" s="38" t="s">
        <v>20</v>
      </c>
      <c r="C241" s="55" t="s">
        <v>2099</v>
      </c>
      <c r="D241" s="40" t="s">
        <v>2100</v>
      </c>
      <c r="E241" s="41">
        <v>43862</v>
      </c>
      <c r="F241" s="40" t="s">
        <v>2073</v>
      </c>
      <c r="G241" s="40" t="s">
        <v>1675</v>
      </c>
      <c r="H241" s="42">
        <v>5</v>
      </c>
      <c r="I241" s="43">
        <v>2</v>
      </c>
      <c r="J241" s="48">
        <v>10000</v>
      </c>
      <c r="K241" s="44">
        <v>10000</v>
      </c>
      <c r="L241" s="44">
        <v>0</v>
      </c>
      <c r="M241" s="53" t="s">
        <v>1625</v>
      </c>
      <c r="N241" s="46" t="s">
        <v>1652</v>
      </c>
      <c r="O241" s="45" t="s">
        <v>1421</v>
      </c>
      <c r="P241" s="53" t="s">
        <v>1687</v>
      </c>
      <c r="Q241" s="53" t="s">
        <v>1969</v>
      </c>
      <c r="R241" s="53" t="s">
        <v>1687</v>
      </c>
      <c r="S241" s="46" t="s">
        <v>1630</v>
      </c>
      <c r="T241" s="53" t="s">
        <v>1636</v>
      </c>
      <c r="U241" s="46" t="s">
        <v>1460</v>
      </c>
      <c r="V241" s="52" t="s">
        <v>2074</v>
      </c>
    </row>
    <row r="242" hidden="1" spans="1:22">
      <c r="A242" s="37">
        <v>540425202116018</v>
      </c>
      <c r="B242" s="38" t="s">
        <v>20</v>
      </c>
      <c r="C242" s="55" t="s">
        <v>2101</v>
      </c>
      <c r="D242" s="40" t="s">
        <v>2102</v>
      </c>
      <c r="E242" s="41">
        <v>44621</v>
      </c>
      <c r="F242" s="40" t="s">
        <v>1978</v>
      </c>
      <c r="G242" s="40" t="s">
        <v>1647</v>
      </c>
      <c r="H242" s="42">
        <v>10</v>
      </c>
      <c r="I242" s="43">
        <v>11</v>
      </c>
      <c r="J242" s="48">
        <v>244600</v>
      </c>
      <c r="K242" s="44">
        <v>69303.33</v>
      </c>
      <c r="L242" s="44">
        <v>175296.67</v>
      </c>
      <c r="M242" s="53" t="s">
        <v>1625</v>
      </c>
      <c r="N242" s="46" t="s">
        <v>1626</v>
      </c>
      <c r="O242" s="45" t="s">
        <v>1421</v>
      </c>
      <c r="P242" s="53" t="s">
        <v>1627</v>
      </c>
      <c r="Q242" s="53" t="s">
        <v>1628</v>
      </c>
      <c r="R242" s="53" t="s">
        <v>1629</v>
      </c>
      <c r="S242" s="46" t="s">
        <v>1846</v>
      </c>
      <c r="T242" s="53" t="s">
        <v>1627</v>
      </c>
      <c r="U242" s="46" t="s">
        <v>1475</v>
      </c>
      <c r="V242" s="49" t="s">
        <v>1464</v>
      </c>
    </row>
    <row r="243" hidden="1" spans="1:22">
      <c r="A243" s="37">
        <v>540425202016019</v>
      </c>
      <c r="B243" s="38" t="s">
        <v>20</v>
      </c>
      <c r="C243" s="55" t="s">
        <v>2103</v>
      </c>
      <c r="D243" s="40" t="s">
        <v>1698</v>
      </c>
      <c r="E243" s="41">
        <v>44197</v>
      </c>
      <c r="F243" s="40" t="s">
        <v>2018</v>
      </c>
      <c r="G243" s="40" t="s">
        <v>1642</v>
      </c>
      <c r="H243" s="42">
        <v>20</v>
      </c>
      <c r="I243" s="43">
        <v>1</v>
      </c>
      <c r="J243" s="48">
        <v>300000</v>
      </c>
      <c r="K243" s="44">
        <v>60000</v>
      </c>
      <c r="L243" s="44">
        <v>240000</v>
      </c>
      <c r="M243" s="53" t="s">
        <v>1625</v>
      </c>
      <c r="N243" s="46" t="s">
        <v>1643</v>
      </c>
      <c r="O243" s="45" t="s">
        <v>1421</v>
      </c>
      <c r="P243" s="53" t="s">
        <v>1627</v>
      </c>
      <c r="Q243" s="53" t="s">
        <v>1628</v>
      </c>
      <c r="R243" s="53" t="s">
        <v>1629</v>
      </c>
      <c r="S243" s="46" t="s">
        <v>1630</v>
      </c>
      <c r="T243" s="53" t="s">
        <v>1627</v>
      </c>
      <c r="U243" s="46" t="s">
        <v>1469</v>
      </c>
      <c r="V243" s="52" t="s">
        <v>2104</v>
      </c>
    </row>
    <row r="244" hidden="1" spans="1:22">
      <c r="A244" s="37">
        <v>540425202016019</v>
      </c>
      <c r="B244" s="38" t="s">
        <v>20</v>
      </c>
      <c r="C244" s="55" t="s">
        <v>2105</v>
      </c>
      <c r="D244" s="40" t="s">
        <v>2106</v>
      </c>
      <c r="E244" s="41">
        <v>44197</v>
      </c>
      <c r="F244" s="40" t="s">
        <v>2018</v>
      </c>
      <c r="G244" s="40" t="s">
        <v>1642</v>
      </c>
      <c r="H244" s="42">
        <v>20</v>
      </c>
      <c r="I244" s="43">
        <v>1</v>
      </c>
      <c r="J244" s="48">
        <v>300000</v>
      </c>
      <c r="K244" s="44">
        <v>60000</v>
      </c>
      <c r="L244" s="44">
        <v>240000</v>
      </c>
      <c r="M244" s="53" t="s">
        <v>1625</v>
      </c>
      <c r="N244" s="46" t="s">
        <v>1643</v>
      </c>
      <c r="O244" s="45" t="s">
        <v>1421</v>
      </c>
      <c r="P244" s="53" t="s">
        <v>1627</v>
      </c>
      <c r="Q244" s="53" t="s">
        <v>1628</v>
      </c>
      <c r="R244" s="53" t="s">
        <v>1629</v>
      </c>
      <c r="S244" s="46" t="s">
        <v>1630</v>
      </c>
      <c r="T244" s="53" t="s">
        <v>1627</v>
      </c>
      <c r="U244" s="46" t="s">
        <v>1469</v>
      </c>
      <c r="V244" s="52" t="s">
        <v>2104</v>
      </c>
    </row>
    <row r="245" hidden="1" spans="1:22">
      <c r="A245" s="37">
        <v>540425202016019</v>
      </c>
      <c r="B245" s="38" t="s">
        <v>20</v>
      </c>
      <c r="C245" s="55" t="s">
        <v>2107</v>
      </c>
      <c r="D245" s="40" t="s">
        <v>2108</v>
      </c>
      <c r="E245" s="41">
        <v>44197</v>
      </c>
      <c r="F245" s="40" t="s">
        <v>2018</v>
      </c>
      <c r="G245" s="40" t="s">
        <v>1642</v>
      </c>
      <c r="H245" s="42">
        <v>20</v>
      </c>
      <c r="I245" s="43">
        <v>1</v>
      </c>
      <c r="J245" s="48">
        <v>300000</v>
      </c>
      <c r="K245" s="44">
        <v>60000</v>
      </c>
      <c r="L245" s="44">
        <v>240000</v>
      </c>
      <c r="M245" s="53" t="s">
        <v>1625</v>
      </c>
      <c r="N245" s="46" t="s">
        <v>1643</v>
      </c>
      <c r="O245" s="45" t="s">
        <v>1421</v>
      </c>
      <c r="P245" s="53" t="s">
        <v>1627</v>
      </c>
      <c r="Q245" s="53" t="s">
        <v>1628</v>
      </c>
      <c r="R245" s="53" t="s">
        <v>1629</v>
      </c>
      <c r="S245" s="46" t="s">
        <v>1630</v>
      </c>
      <c r="T245" s="53" t="s">
        <v>1627</v>
      </c>
      <c r="U245" s="46" t="s">
        <v>1469</v>
      </c>
      <c r="V245" s="52" t="s">
        <v>2104</v>
      </c>
    </row>
    <row r="246" hidden="1" spans="1:22">
      <c r="A246" s="37">
        <v>540425202016019</v>
      </c>
      <c r="B246" s="38" t="s">
        <v>20</v>
      </c>
      <c r="C246" s="55" t="s">
        <v>2109</v>
      </c>
      <c r="D246" s="40" t="s">
        <v>2110</v>
      </c>
      <c r="E246" s="41">
        <v>44197</v>
      </c>
      <c r="F246" s="40" t="s">
        <v>2018</v>
      </c>
      <c r="G246" s="40" t="s">
        <v>1642</v>
      </c>
      <c r="H246" s="42">
        <v>20</v>
      </c>
      <c r="I246" s="43">
        <v>1</v>
      </c>
      <c r="J246" s="48">
        <v>300000</v>
      </c>
      <c r="K246" s="44">
        <v>60000</v>
      </c>
      <c r="L246" s="44">
        <v>240000</v>
      </c>
      <c r="M246" s="53" t="s">
        <v>1625</v>
      </c>
      <c r="N246" s="46" t="s">
        <v>1643</v>
      </c>
      <c r="O246" s="45" t="s">
        <v>1421</v>
      </c>
      <c r="P246" s="53" t="s">
        <v>1627</v>
      </c>
      <c r="Q246" s="53" t="s">
        <v>1628</v>
      </c>
      <c r="R246" s="53" t="s">
        <v>1629</v>
      </c>
      <c r="S246" s="46" t="s">
        <v>1630</v>
      </c>
      <c r="T246" s="53" t="s">
        <v>1627</v>
      </c>
      <c r="U246" s="46" t="s">
        <v>1469</v>
      </c>
      <c r="V246" s="52" t="s">
        <v>2104</v>
      </c>
    </row>
    <row r="247" hidden="1" spans="1:22">
      <c r="A247" s="37">
        <v>540425201903001</v>
      </c>
      <c r="B247" s="38" t="s">
        <v>20</v>
      </c>
      <c r="C247" s="55" t="s">
        <v>2111</v>
      </c>
      <c r="D247" s="40" t="s">
        <v>2112</v>
      </c>
      <c r="E247" s="41">
        <v>43891</v>
      </c>
      <c r="F247" s="40" t="s">
        <v>2018</v>
      </c>
      <c r="G247" s="40" t="s">
        <v>1642</v>
      </c>
      <c r="H247" s="42">
        <v>20</v>
      </c>
      <c r="I247" s="43">
        <v>1</v>
      </c>
      <c r="J247" s="48">
        <v>2953339.46</v>
      </c>
      <c r="K247" s="44">
        <v>713723.7</v>
      </c>
      <c r="L247" s="44">
        <v>2239615.76</v>
      </c>
      <c r="M247" s="53" t="s">
        <v>1625</v>
      </c>
      <c r="N247" s="46" t="s">
        <v>1643</v>
      </c>
      <c r="O247" s="45" t="s">
        <v>1421</v>
      </c>
      <c r="P247" s="53" t="s">
        <v>1627</v>
      </c>
      <c r="Q247" s="53" t="s">
        <v>1628</v>
      </c>
      <c r="R247" s="53" t="s">
        <v>1629</v>
      </c>
      <c r="S247" s="46" t="s">
        <v>1630</v>
      </c>
      <c r="T247" s="53" t="s">
        <v>1700</v>
      </c>
      <c r="U247" s="46" t="s">
        <v>1469</v>
      </c>
      <c r="V247" s="49"/>
    </row>
    <row r="248" hidden="1" spans="1:22">
      <c r="A248" s="37">
        <v>540425201907014</v>
      </c>
      <c r="B248" s="38" t="s">
        <v>20</v>
      </c>
      <c r="C248" s="55" t="s">
        <v>2113</v>
      </c>
      <c r="D248" s="40" t="s">
        <v>2114</v>
      </c>
      <c r="E248" s="41">
        <v>43800</v>
      </c>
      <c r="F248" s="40" t="s">
        <v>2018</v>
      </c>
      <c r="G248" s="40" t="s">
        <v>1642</v>
      </c>
      <c r="H248" s="42">
        <v>20</v>
      </c>
      <c r="I248" s="43">
        <v>1</v>
      </c>
      <c r="J248" s="48">
        <v>200000</v>
      </c>
      <c r="K248" s="44">
        <v>50833.33</v>
      </c>
      <c r="L248" s="44">
        <v>149166.67</v>
      </c>
      <c r="M248" s="53" t="s">
        <v>1625</v>
      </c>
      <c r="N248" s="46" t="s">
        <v>1643</v>
      </c>
      <c r="O248" s="45" t="s">
        <v>1421</v>
      </c>
      <c r="P248" s="53" t="s">
        <v>1627</v>
      </c>
      <c r="Q248" s="53" t="s">
        <v>1628</v>
      </c>
      <c r="R248" s="53" t="s">
        <v>1629</v>
      </c>
      <c r="S248" s="46" t="s">
        <v>1630</v>
      </c>
      <c r="T248" s="53" t="s">
        <v>1627</v>
      </c>
      <c r="U248" s="46" t="s">
        <v>1469</v>
      </c>
      <c r="V248" s="49"/>
    </row>
    <row r="249" hidden="1" spans="1:22">
      <c r="A249" s="37">
        <v>540425201907015</v>
      </c>
      <c r="B249" s="38" t="s">
        <v>20</v>
      </c>
      <c r="C249" s="55" t="s">
        <v>2115</v>
      </c>
      <c r="D249" s="40" t="s">
        <v>2116</v>
      </c>
      <c r="E249" s="41">
        <v>43800</v>
      </c>
      <c r="F249" s="40" t="s">
        <v>2117</v>
      </c>
      <c r="G249" s="40" t="s">
        <v>1642</v>
      </c>
      <c r="H249" s="42">
        <v>20</v>
      </c>
      <c r="I249" s="43">
        <v>1</v>
      </c>
      <c r="J249" s="48">
        <v>200000</v>
      </c>
      <c r="K249" s="44">
        <v>50833.33</v>
      </c>
      <c r="L249" s="44">
        <v>149166.67</v>
      </c>
      <c r="M249" s="53" t="s">
        <v>1625</v>
      </c>
      <c r="N249" s="46" t="s">
        <v>1643</v>
      </c>
      <c r="O249" s="45" t="s">
        <v>1421</v>
      </c>
      <c r="P249" s="53" t="s">
        <v>1627</v>
      </c>
      <c r="Q249" s="53" t="s">
        <v>1628</v>
      </c>
      <c r="R249" s="53" t="s">
        <v>1629</v>
      </c>
      <c r="S249" s="46" t="s">
        <v>1630</v>
      </c>
      <c r="T249" s="53" t="s">
        <v>1627</v>
      </c>
      <c r="U249" s="46" t="s">
        <v>1465</v>
      </c>
      <c r="V249" s="49"/>
    </row>
    <row r="250" hidden="1" spans="1:22">
      <c r="A250" s="37">
        <v>540425202219035</v>
      </c>
      <c r="B250" s="38" t="s">
        <v>20</v>
      </c>
      <c r="C250" s="55" t="s">
        <v>2118</v>
      </c>
      <c r="D250" s="40" t="s">
        <v>1635</v>
      </c>
      <c r="E250" s="41">
        <v>44743</v>
      </c>
      <c r="F250" s="40" t="s">
        <v>2119</v>
      </c>
      <c r="G250" s="40" t="s">
        <v>1642</v>
      </c>
      <c r="H250" s="42">
        <v>20</v>
      </c>
      <c r="I250" s="43">
        <v>1</v>
      </c>
      <c r="J250" s="48">
        <v>686400</v>
      </c>
      <c r="K250" s="44">
        <v>85800</v>
      </c>
      <c r="L250" s="44">
        <v>600600</v>
      </c>
      <c r="M250" s="53" t="s">
        <v>1625</v>
      </c>
      <c r="N250" s="46" t="s">
        <v>1643</v>
      </c>
      <c r="O250" s="45" t="s">
        <v>1421</v>
      </c>
      <c r="P250" s="53" t="s">
        <v>1627</v>
      </c>
      <c r="Q250" s="53" t="s">
        <v>1628</v>
      </c>
      <c r="R250" s="53" t="s">
        <v>1629</v>
      </c>
      <c r="S250" s="46" t="s">
        <v>1630</v>
      </c>
      <c r="T250" s="53" t="s">
        <v>1627</v>
      </c>
      <c r="U250" s="46" t="s">
        <v>1462</v>
      </c>
      <c r="V250" s="49"/>
    </row>
    <row r="251" hidden="1" spans="1:22">
      <c r="A251" s="37">
        <v>540425202219035</v>
      </c>
      <c r="B251" s="38" t="s">
        <v>20</v>
      </c>
      <c r="C251" s="55" t="s">
        <v>2120</v>
      </c>
      <c r="D251" s="40" t="s">
        <v>2121</v>
      </c>
      <c r="E251" s="41">
        <v>44743</v>
      </c>
      <c r="F251" s="40" t="s">
        <v>2119</v>
      </c>
      <c r="G251" s="40" t="s">
        <v>1642</v>
      </c>
      <c r="H251" s="42">
        <v>20</v>
      </c>
      <c r="I251" s="43">
        <v>1</v>
      </c>
      <c r="J251" s="48">
        <v>161800</v>
      </c>
      <c r="K251" s="44">
        <v>20225</v>
      </c>
      <c r="L251" s="44">
        <v>141575</v>
      </c>
      <c r="M251" s="53" t="s">
        <v>1625</v>
      </c>
      <c r="N251" s="46" t="s">
        <v>1643</v>
      </c>
      <c r="O251" s="45" t="s">
        <v>1421</v>
      </c>
      <c r="P251" s="53" t="s">
        <v>1627</v>
      </c>
      <c r="Q251" s="53" t="s">
        <v>1628</v>
      </c>
      <c r="R251" s="53" t="s">
        <v>1629</v>
      </c>
      <c r="S251" s="46" t="s">
        <v>1630</v>
      </c>
      <c r="T251" s="53" t="s">
        <v>1627</v>
      </c>
      <c r="U251" s="46" t="s">
        <v>1462</v>
      </c>
      <c r="V251" s="49"/>
    </row>
    <row r="252" hidden="1" spans="1:22">
      <c r="A252" s="37">
        <v>540425202219035</v>
      </c>
      <c r="B252" s="38" t="s">
        <v>20</v>
      </c>
      <c r="C252" s="55" t="s">
        <v>2122</v>
      </c>
      <c r="D252" s="40" t="s">
        <v>2123</v>
      </c>
      <c r="E252" s="41">
        <v>44743</v>
      </c>
      <c r="F252" s="40" t="s">
        <v>2119</v>
      </c>
      <c r="G252" s="40" t="s">
        <v>1642</v>
      </c>
      <c r="H252" s="42">
        <v>20</v>
      </c>
      <c r="I252" s="43">
        <v>1</v>
      </c>
      <c r="J252" s="48">
        <v>186200</v>
      </c>
      <c r="K252" s="44">
        <v>23275</v>
      </c>
      <c r="L252" s="44">
        <v>162925</v>
      </c>
      <c r="M252" s="53" t="s">
        <v>1625</v>
      </c>
      <c r="N252" s="46" t="s">
        <v>1643</v>
      </c>
      <c r="O252" s="45" t="s">
        <v>1421</v>
      </c>
      <c r="P252" s="53" t="s">
        <v>1627</v>
      </c>
      <c r="Q252" s="53" t="s">
        <v>1628</v>
      </c>
      <c r="R252" s="53" t="s">
        <v>1629</v>
      </c>
      <c r="S252" s="46" t="s">
        <v>1630</v>
      </c>
      <c r="T252" s="53" t="s">
        <v>1627</v>
      </c>
      <c r="U252" s="46" t="s">
        <v>1462</v>
      </c>
      <c r="V252" s="49"/>
    </row>
    <row r="253" hidden="1" spans="1:22">
      <c r="A253" s="37">
        <v>540425202219035</v>
      </c>
      <c r="B253" s="38" t="s">
        <v>20</v>
      </c>
      <c r="C253" s="55" t="s">
        <v>2124</v>
      </c>
      <c r="D253" s="40" t="s">
        <v>2125</v>
      </c>
      <c r="E253" s="41">
        <v>44743</v>
      </c>
      <c r="F253" s="40" t="s">
        <v>2119</v>
      </c>
      <c r="G253" s="40" t="s">
        <v>1651</v>
      </c>
      <c r="H253" s="42">
        <v>5</v>
      </c>
      <c r="I253" s="43">
        <v>1</v>
      </c>
      <c r="J253" s="48">
        <v>80000</v>
      </c>
      <c r="K253" s="44">
        <v>40000</v>
      </c>
      <c r="L253" s="44">
        <v>40000</v>
      </c>
      <c r="M253" s="53" t="s">
        <v>1625</v>
      </c>
      <c r="N253" s="46" t="s">
        <v>1652</v>
      </c>
      <c r="O253" s="45" t="s">
        <v>1421</v>
      </c>
      <c r="P253" s="53" t="s">
        <v>1627</v>
      </c>
      <c r="Q253" s="53" t="s">
        <v>1628</v>
      </c>
      <c r="R253" s="53" t="s">
        <v>1629</v>
      </c>
      <c r="S253" s="46" t="s">
        <v>1630</v>
      </c>
      <c r="T253" s="53" t="s">
        <v>1627</v>
      </c>
      <c r="U253" s="46" t="s">
        <v>1462</v>
      </c>
      <c r="V253" s="49"/>
    </row>
    <row r="254" hidden="1" spans="1:22">
      <c r="A254" s="37">
        <v>540425201907013</v>
      </c>
      <c r="B254" s="38" t="s">
        <v>20</v>
      </c>
      <c r="C254" s="55" t="s">
        <v>2126</v>
      </c>
      <c r="D254" s="40" t="s">
        <v>2127</v>
      </c>
      <c r="E254" s="41">
        <v>43831</v>
      </c>
      <c r="F254" s="40" t="s">
        <v>2128</v>
      </c>
      <c r="G254" s="40" t="s">
        <v>1642</v>
      </c>
      <c r="H254" s="42">
        <v>20</v>
      </c>
      <c r="I254" s="43">
        <v>1</v>
      </c>
      <c r="J254" s="48">
        <v>300000</v>
      </c>
      <c r="K254" s="44">
        <v>75000</v>
      </c>
      <c r="L254" s="44">
        <v>225000</v>
      </c>
      <c r="M254" s="53" t="s">
        <v>1625</v>
      </c>
      <c r="N254" s="46" t="s">
        <v>1643</v>
      </c>
      <c r="O254" s="45" t="s">
        <v>1421</v>
      </c>
      <c r="P254" s="53" t="s">
        <v>1627</v>
      </c>
      <c r="Q254" s="53" t="s">
        <v>1969</v>
      </c>
      <c r="R254" s="45" t="s">
        <v>1636</v>
      </c>
      <c r="S254" s="46" t="s">
        <v>1630</v>
      </c>
      <c r="T254" s="53" t="s">
        <v>1636</v>
      </c>
      <c r="U254" s="46" t="s">
        <v>1459</v>
      </c>
      <c r="V254" s="49"/>
    </row>
    <row r="255" hidden="1" spans="1:22">
      <c r="A255" s="37">
        <v>540425202321003</v>
      </c>
      <c r="B255" s="38" t="s">
        <v>20</v>
      </c>
      <c r="C255" s="55" t="s">
        <v>2129</v>
      </c>
      <c r="D255" s="40" t="s">
        <v>2130</v>
      </c>
      <c r="E255" s="41">
        <v>45261</v>
      </c>
      <c r="F255" s="40" t="s">
        <v>1906</v>
      </c>
      <c r="G255" s="40" t="s">
        <v>1642</v>
      </c>
      <c r="H255" s="42">
        <v>20</v>
      </c>
      <c r="I255" s="43">
        <v>1</v>
      </c>
      <c r="J255" s="48">
        <v>5004966.11</v>
      </c>
      <c r="K255" s="44">
        <v>271102.33</v>
      </c>
      <c r="L255" s="44">
        <v>4733863.78</v>
      </c>
      <c r="M255" s="53" t="s">
        <v>1625</v>
      </c>
      <c r="N255" s="46" t="s">
        <v>1643</v>
      </c>
      <c r="O255" s="45" t="s">
        <v>1421</v>
      </c>
      <c r="P255" s="53" t="s">
        <v>1627</v>
      </c>
      <c r="Q255" s="53" t="s">
        <v>1628</v>
      </c>
      <c r="R255" s="53" t="s">
        <v>1629</v>
      </c>
      <c r="S255" s="46" t="s">
        <v>1630</v>
      </c>
      <c r="T255" s="53" t="s">
        <v>1627</v>
      </c>
      <c r="U255" s="46" t="s">
        <v>1455</v>
      </c>
      <c r="V255" s="49"/>
    </row>
    <row r="256" hidden="1" spans="1:22">
      <c r="A256" s="37">
        <v>540425202321003</v>
      </c>
      <c r="B256" s="38" t="s">
        <v>20</v>
      </c>
      <c r="C256" s="55" t="s">
        <v>2131</v>
      </c>
      <c r="D256" s="40" t="s">
        <v>2132</v>
      </c>
      <c r="E256" s="41">
        <v>45261</v>
      </c>
      <c r="F256" s="40" t="s">
        <v>1906</v>
      </c>
      <c r="G256" s="40" t="s">
        <v>1651</v>
      </c>
      <c r="H256" s="42">
        <v>5</v>
      </c>
      <c r="I256" s="43">
        <v>1</v>
      </c>
      <c r="J256" s="48">
        <v>1934000</v>
      </c>
      <c r="K256" s="44">
        <v>419033.33</v>
      </c>
      <c r="L256" s="44">
        <v>1514966.67</v>
      </c>
      <c r="M256" s="53" t="s">
        <v>1625</v>
      </c>
      <c r="N256" s="46" t="s">
        <v>1652</v>
      </c>
      <c r="O256" s="45" t="s">
        <v>1421</v>
      </c>
      <c r="P256" s="53" t="s">
        <v>1627</v>
      </c>
      <c r="Q256" s="53" t="s">
        <v>1628</v>
      </c>
      <c r="R256" s="53" t="s">
        <v>1629</v>
      </c>
      <c r="S256" s="46" t="s">
        <v>1630</v>
      </c>
      <c r="T256" s="53" t="s">
        <v>1627</v>
      </c>
      <c r="U256" s="46" t="s">
        <v>1455</v>
      </c>
      <c r="V256" s="49"/>
    </row>
    <row r="257" hidden="1" spans="1:22">
      <c r="A257" s="37">
        <v>540425202019029</v>
      </c>
      <c r="B257" s="38" t="s">
        <v>20</v>
      </c>
      <c r="C257" s="55" t="s">
        <v>2133</v>
      </c>
      <c r="D257" s="40" t="s">
        <v>2134</v>
      </c>
      <c r="E257" s="41">
        <v>43800</v>
      </c>
      <c r="F257" s="40" t="s">
        <v>2135</v>
      </c>
      <c r="G257" s="40" t="s">
        <v>1868</v>
      </c>
      <c r="H257" s="42">
        <v>10</v>
      </c>
      <c r="I257" s="43">
        <v>8</v>
      </c>
      <c r="J257" s="48">
        <v>500000</v>
      </c>
      <c r="K257" s="44" t="s">
        <v>1460</v>
      </c>
      <c r="L257" s="44">
        <v>0</v>
      </c>
      <c r="M257" s="53" t="s">
        <v>1685</v>
      </c>
      <c r="N257" s="46" t="s">
        <v>1866</v>
      </c>
      <c r="O257" s="45" t="s">
        <v>1421</v>
      </c>
      <c r="P257" s="53" t="s">
        <v>1627</v>
      </c>
      <c r="Q257" s="53" t="s">
        <v>1969</v>
      </c>
      <c r="R257" s="45" t="s">
        <v>1636</v>
      </c>
      <c r="S257" s="46" t="s">
        <v>1630</v>
      </c>
      <c r="T257" s="53" t="s">
        <v>1636</v>
      </c>
      <c r="U257" s="46" t="s">
        <v>1516</v>
      </c>
      <c r="V257" s="52" t="s">
        <v>2136</v>
      </c>
    </row>
    <row r="258" hidden="1" spans="1:22">
      <c r="A258" s="37">
        <v>540425202019029</v>
      </c>
      <c r="B258" s="38" t="s">
        <v>20</v>
      </c>
      <c r="C258" s="55" t="s">
        <v>2133</v>
      </c>
      <c r="D258" s="40" t="s">
        <v>2134</v>
      </c>
      <c r="E258" s="41">
        <v>44166</v>
      </c>
      <c r="F258" s="40" t="s">
        <v>2135</v>
      </c>
      <c r="G258" s="40" t="s">
        <v>1868</v>
      </c>
      <c r="H258" s="42">
        <v>10</v>
      </c>
      <c r="I258" s="43">
        <v>8</v>
      </c>
      <c r="J258" s="48">
        <v>500000</v>
      </c>
      <c r="K258" s="44" t="s">
        <v>1460</v>
      </c>
      <c r="L258" s="44">
        <v>0</v>
      </c>
      <c r="M258" s="53" t="s">
        <v>1685</v>
      </c>
      <c r="N258" s="46" t="s">
        <v>1866</v>
      </c>
      <c r="O258" s="45" t="s">
        <v>1421</v>
      </c>
      <c r="P258" s="53" t="s">
        <v>1627</v>
      </c>
      <c r="Q258" s="53" t="s">
        <v>1969</v>
      </c>
      <c r="R258" s="45" t="s">
        <v>1636</v>
      </c>
      <c r="S258" s="46" t="s">
        <v>1630</v>
      </c>
      <c r="T258" s="53" t="s">
        <v>1636</v>
      </c>
      <c r="U258" s="46" t="s">
        <v>1516</v>
      </c>
      <c r="V258" s="52" t="s">
        <v>2136</v>
      </c>
    </row>
    <row r="259" hidden="1" spans="1:22">
      <c r="A259" s="37">
        <v>540425201811001</v>
      </c>
      <c r="B259" s="38" t="s">
        <v>20</v>
      </c>
      <c r="C259" s="55" t="s">
        <v>2137</v>
      </c>
      <c r="D259" s="40" t="s">
        <v>2138</v>
      </c>
      <c r="E259" s="41">
        <v>43435</v>
      </c>
      <c r="F259" s="40" t="s">
        <v>2135</v>
      </c>
      <c r="G259" s="40" t="s">
        <v>1868</v>
      </c>
      <c r="H259" s="42">
        <v>10</v>
      </c>
      <c r="I259" s="43">
        <v>0</v>
      </c>
      <c r="J259" s="48">
        <v>280000</v>
      </c>
      <c r="K259" s="48">
        <v>280000</v>
      </c>
      <c r="L259" s="44">
        <v>0</v>
      </c>
      <c r="M259" s="53" t="s">
        <v>1685</v>
      </c>
      <c r="N259" s="46" t="s">
        <v>1866</v>
      </c>
      <c r="O259" s="45" t="s">
        <v>1421</v>
      </c>
      <c r="P259" s="53" t="s">
        <v>1687</v>
      </c>
      <c r="Q259" s="53" t="s">
        <v>1969</v>
      </c>
      <c r="R259" s="45" t="s">
        <v>1689</v>
      </c>
      <c r="S259" s="46" t="s">
        <v>1630</v>
      </c>
      <c r="T259" s="53" t="s">
        <v>1636</v>
      </c>
      <c r="U259" s="46" t="s">
        <v>1516</v>
      </c>
      <c r="V259" s="49"/>
    </row>
    <row r="260" hidden="1" spans="1:22">
      <c r="A260" s="37">
        <v>540425201807011</v>
      </c>
      <c r="B260" s="38" t="s">
        <v>20</v>
      </c>
      <c r="C260" s="484" t="s">
        <v>2139</v>
      </c>
      <c r="D260" s="40" t="s">
        <v>1698</v>
      </c>
      <c r="E260" s="57">
        <v>2019.11</v>
      </c>
      <c r="F260" s="40" t="s">
        <v>2140</v>
      </c>
      <c r="G260" s="40" t="s">
        <v>2141</v>
      </c>
      <c r="H260" s="42">
        <v>20</v>
      </c>
      <c r="I260" s="43">
        <v>1</v>
      </c>
      <c r="J260" s="48">
        <v>71137.23</v>
      </c>
      <c r="K260" s="44">
        <v>18377.12</v>
      </c>
      <c r="L260" s="44">
        <v>52760.11</v>
      </c>
      <c r="M260" s="53" t="s">
        <v>1625</v>
      </c>
      <c r="N260" s="46" t="s">
        <v>1643</v>
      </c>
      <c r="O260" s="45" t="s">
        <v>1421</v>
      </c>
      <c r="P260" s="53" t="s">
        <v>1627</v>
      </c>
      <c r="Q260" s="53" t="s">
        <v>1688</v>
      </c>
      <c r="R260" s="45" t="s">
        <v>1636</v>
      </c>
      <c r="S260" s="46" t="s">
        <v>1630</v>
      </c>
      <c r="T260" s="53" t="s">
        <v>1636</v>
      </c>
      <c r="U260" s="46" t="s">
        <v>1519</v>
      </c>
      <c r="V260" s="49"/>
    </row>
    <row r="261" hidden="1" spans="1:22">
      <c r="A261" s="37">
        <v>540425201807011</v>
      </c>
      <c r="B261" s="38" t="s">
        <v>20</v>
      </c>
      <c r="C261" s="484" t="s">
        <v>2142</v>
      </c>
      <c r="D261" s="40" t="s">
        <v>2143</v>
      </c>
      <c r="E261" s="57">
        <v>2019.11</v>
      </c>
      <c r="F261" s="40" t="s">
        <v>2140</v>
      </c>
      <c r="G261" s="40" t="s">
        <v>2144</v>
      </c>
      <c r="H261" s="42">
        <v>20</v>
      </c>
      <c r="I261" s="43">
        <v>1</v>
      </c>
      <c r="J261" s="48">
        <v>126916.49</v>
      </c>
      <c r="K261" s="44">
        <v>32786.76</v>
      </c>
      <c r="L261" s="44">
        <v>94129.73</v>
      </c>
      <c r="M261" s="53" t="s">
        <v>1625</v>
      </c>
      <c r="N261" s="46" t="s">
        <v>1643</v>
      </c>
      <c r="O261" s="45" t="s">
        <v>1421</v>
      </c>
      <c r="P261" s="53" t="s">
        <v>1627</v>
      </c>
      <c r="Q261" s="53" t="s">
        <v>1688</v>
      </c>
      <c r="R261" s="45" t="s">
        <v>1636</v>
      </c>
      <c r="S261" s="46" t="s">
        <v>1630</v>
      </c>
      <c r="T261" s="53" t="s">
        <v>1636</v>
      </c>
      <c r="U261" s="46" t="s">
        <v>1519</v>
      </c>
      <c r="V261" s="49"/>
    </row>
    <row r="262" hidden="1" spans="1:22">
      <c r="A262" s="37">
        <v>540425201807011</v>
      </c>
      <c r="B262" s="38" t="s">
        <v>20</v>
      </c>
      <c r="C262" s="484" t="s">
        <v>2145</v>
      </c>
      <c r="D262" s="40" t="s">
        <v>2146</v>
      </c>
      <c r="E262" s="57">
        <v>2019.11</v>
      </c>
      <c r="F262" s="40" t="s">
        <v>2140</v>
      </c>
      <c r="G262" s="40" t="s">
        <v>2147</v>
      </c>
      <c r="H262" s="42">
        <v>20</v>
      </c>
      <c r="I262" s="43">
        <v>1</v>
      </c>
      <c r="J262" s="48">
        <v>111146.28</v>
      </c>
      <c r="K262" s="44">
        <v>28712.79</v>
      </c>
      <c r="L262" s="44">
        <v>82433.49</v>
      </c>
      <c r="M262" s="53" t="s">
        <v>1625</v>
      </c>
      <c r="N262" s="46" t="s">
        <v>1643</v>
      </c>
      <c r="O262" s="45" t="s">
        <v>1421</v>
      </c>
      <c r="P262" s="53" t="s">
        <v>1627</v>
      </c>
      <c r="Q262" s="53" t="s">
        <v>1688</v>
      </c>
      <c r="R262" s="45" t="s">
        <v>1636</v>
      </c>
      <c r="S262" s="46" t="s">
        <v>1630</v>
      </c>
      <c r="T262" s="53" t="s">
        <v>1636</v>
      </c>
      <c r="U262" s="46" t="s">
        <v>1519</v>
      </c>
      <c r="V262" s="49"/>
    </row>
    <row r="263" hidden="1" spans="1:22">
      <c r="A263" s="37">
        <v>540425201807011</v>
      </c>
      <c r="B263" s="38" t="s">
        <v>20</v>
      </c>
      <c r="C263" s="484" t="s">
        <v>2148</v>
      </c>
      <c r="D263" s="40" t="s">
        <v>2149</v>
      </c>
      <c r="E263" s="57">
        <v>2019.11</v>
      </c>
      <c r="F263" s="40" t="s">
        <v>2140</v>
      </c>
      <c r="G263" s="40" t="s">
        <v>2150</v>
      </c>
      <c r="H263" s="42">
        <v>10</v>
      </c>
      <c r="I263" s="43">
        <v>1</v>
      </c>
      <c r="J263" s="48">
        <v>64000</v>
      </c>
      <c r="K263" s="44">
        <v>33066.67</v>
      </c>
      <c r="L263" s="44">
        <v>30933.33</v>
      </c>
      <c r="M263" s="53" t="s">
        <v>1625</v>
      </c>
      <c r="N263" s="46" t="s">
        <v>1626</v>
      </c>
      <c r="O263" s="45" t="s">
        <v>1421</v>
      </c>
      <c r="P263" s="53" t="s">
        <v>1627</v>
      </c>
      <c r="Q263" s="53" t="s">
        <v>1688</v>
      </c>
      <c r="R263" s="45" t="s">
        <v>1636</v>
      </c>
      <c r="S263" s="46" t="s">
        <v>1630</v>
      </c>
      <c r="T263" s="53" t="s">
        <v>1636</v>
      </c>
      <c r="U263" s="46" t="s">
        <v>1519</v>
      </c>
      <c r="V263" s="49"/>
    </row>
    <row r="264" hidden="1" spans="1:22">
      <c r="A264" s="37">
        <v>540425201807011</v>
      </c>
      <c r="B264" s="38" t="s">
        <v>20</v>
      </c>
      <c r="C264" s="484" t="s">
        <v>2151</v>
      </c>
      <c r="D264" s="40" t="s">
        <v>1709</v>
      </c>
      <c r="E264" s="57">
        <v>2019.11</v>
      </c>
      <c r="F264" s="40" t="s">
        <v>2140</v>
      </c>
      <c r="G264" s="40" t="s">
        <v>2152</v>
      </c>
      <c r="H264" s="42">
        <v>3</v>
      </c>
      <c r="I264" s="43">
        <v>104</v>
      </c>
      <c r="J264" s="48">
        <v>102000</v>
      </c>
      <c r="K264" s="44"/>
      <c r="L264" s="44">
        <v>102000</v>
      </c>
      <c r="M264" s="53" t="s">
        <v>1685</v>
      </c>
      <c r="N264" s="46" t="s">
        <v>1686</v>
      </c>
      <c r="O264" s="45" t="s">
        <v>1421</v>
      </c>
      <c r="P264" s="53" t="s">
        <v>1687</v>
      </c>
      <c r="Q264" s="53" t="s">
        <v>1688</v>
      </c>
      <c r="R264" s="45" t="s">
        <v>1689</v>
      </c>
      <c r="S264" s="46" t="s">
        <v>1630</v>
      </c>
      <c r="T264" s="53" t="s">
        <v>1636</v>
      </c>
      <c r="U264" s="46" t="s">
        <v>1519</v>
      </c>
      <c r="V264" s="49"/>
    </row>
    <row r="265" hidden="1" spans="1:22">
      <c r="A265" s="37">
        <v>540425201917017</v>
      </c>
      <c r="B265" s="38" t="s">
        <v>20</v>
      </c>
      <c r="C265" s="484" t="s">
        <v>2153</v>
      </c>
      <c r="D265" s="40" t="s">
        <v>2154</v>
      </c>
      <c r="E265" s="57">
        <v>2015.12</v>
      </c>
      <c r="F265" s="40" t="s">
        <v>2155</v>
      </c>
      <c r="G265" s="40" t="s">
        <v>1642</v>
      </c>
      <c r="H265" s="42">
        <v>20</v>
      </c>
      <c r="I265" s="43">
        <v>1</v>
      </c>
      <c r="J265" s="48">
        <v>600000</v>
      </c>
      <c r="K265" s="44">
        <v>272500</v>
      </c>
      <c r="L265" s="44">
        <v>327500</v>
      </c>
      <c r="M265" s="53" t="s">
        <v>1625</v>
      </c>
      <c r="N265" s="46" t="s">
        <v>1643</v>
      </c>
      <c r="O265" s="45" t="s">
        <v>1421</v>
      </c>
      <c r="P265" s="53" t="s">
        <v>1627</v>
      </c>
      <c r="Q265" s="53" t="s">
        <v>1688</v>
      </c>
      <c r="R265" s="45" t="s">
        <v>1636</v>
      </c>
      <c r="S265" s="46" t="s">
        <v>1630</v>
      </c>
      <c r="T265" s="53" t="s">
        <v>1636</v>
      </c>
      <c r="U265" s="46" t="s">
        <v>1566</v>
      </c>
      <c r="V265" s="49"/>
    </row>
    <row r="266" hidden="1" spans="1:22">
      <c r="A266" s="37">
        <v>540425202120033</v>
      </c>
      <c r="B266" s="38" t="s">
        <v>20</v>
      </c>
      <c r="C266" s="484" t="s">
        <v>2156</v>
      </c>
      <c r="D266" s="40" t="s">
        <v>2157</v>
      </c>
      <c r="E266" s="57">
        <v>2021.11</v>
      </c>
      <c r="F266" s="40" t="s">
        <v>2158</v>
      </c>
      <c r="G266" s="40" t="s">
        <v>1865</v>
      </c>
      <c r="H266" s="42">
        <v>10</v>
      </c>
      <c r="I266" s="43">
        <v>704</v>
      </c>
      <c r="J266" s="48">
        <v>221154</v>
      </c>
      <c r="K266" s="44">
        <v>70032.1</v>
      </c>
      <c r="L266" s="44">
        <v>151121.9</v>
      </c>
      <c r="M266" s="53" t="s">
        <v>1685</v>
      </c>
      <c r="N266" s="46" t="s">
        <v>1866</v>
      </c>
      <c r="O266" s="45" t="s">
        <v>1421</v>
      </c>
      <c r="P266" s="53" t="s">
        <v>1627</v>
      </c>
      <c r="Q266" s="53" t="s">
        <v>1628</v>
      </c>
      <c r="R266" s="53" t="s">
        <v>1629</v>
      </c>
      <c r="S266" s="46" t="s">
        <v>1630</v>
      </c>
      <c r="T266" s="53"/>
      <c r="U266" s="46" t="s">
        <v>1561</v>
      </c>
      <c r="V266" s="49"/>
    </row>
    <row r="267" hidden="1" spans="1:22">
      <c r="A267" s="37">
        <v>540425202120033</v>
      </c>
      <c r="B267" s="38" t="s">
        <v>20</v>
      </c>
      <c r="C267" s="484" t="s">
        <v>2159</v>
      </c>
      <c r="D267" s="40" t="s">
        <v>1744</v>
      </c>
      <c r="E267" s="57">
        <v>2021.11</v>
      </c>
      <c r="F267" s="40" t="s">
        <v>2158</v>
      </c>
      <c r="G267" s="40" t="s">
        <v>1647</v>
      </c>
      <c r="H267" s="42">
        <v>10</v>
      </c>
      <c r="I267" s="43">
        <v>1</v>
      </c>
      <c r="J267" s="48">
        <v>72700</v>
      </c>
      <c r="K267" s="44">
        <v>23021.67</v>
      </c>
      <c r="L267" s="44">
        <v>49678.33</v>
      </c>
      <c r="M267" s="53" t="s">
        <v>1625</v>
      </c>
      <c r="N267" s="46" t="s">
        <v>1626</v>
      </c>
      <c r="O267" s="45" t="s">
        <v>1421</v>
      </c>
      <c r="P267" s="53" t="s">
        <v>1627</v>
      </c>
      <c r="Q267" s="53" t="s">
        <v>1628</v>
      </c>
      <c r="R267" s="53" t="s">
        <v>1629</v>
      </c>
      <c r="S267" s="46" t="s">
        <v>1630</v>
      </c>
      <c r="T267" s="53"/>
      <c r="U267" s="46" t="s">
        <v>1561</v>
      </c>
      <c r="V267" s="49"/>
    </row>
    <row r="268" hidden="1" spans="1:22">
      <c r="A268" s="37">
        <v>540425202020024</v>
      </c>
      <c r="B268" s="38" t="s">
        <v>20</v>
      </c>
      <c r="C268" s="484" t="s">
        <v>2160</v>
      </c>
      <c r="D268" s="40" t="s">
        <v>1894</v>
      </c>
      <c r="E268" s="57">
        <v>2020.1</v>
      </c>
      <c r="F268" s="40" t="s">
        <v>2161</v>
      </c>
      <c r="G268" s="40" t="s">
        <v>2162</v>
      </c>
      <c r="H268" s="42">
        <v>10</v>
      </c>
      <c r="I268" s="43">
        <v>1</v>
      </c>
      <c r="J268" s="48">
        <v>139991.59</v>
      </c>
      <c r="K268" s="44">
        <v>59496.43</v>
      </c>
      <c r="L268" s="44">
        <v>80495.16</v>
      </c>
      <c r="M268" s="53" t="s">
        <v>1625</v>
      </c>
      <c r="N268" s="46" t="s">
        <v>1626</v>
      </c>
      <c r="O268" s="45" t="s">
        <v>1421</v>
      </c>
      <c r="P268" s="53" t="s">
        <v>1627</v>
      </c>
      <c r="Q268" s="53" t="s">
        <v>1628</v>
      </c>
      <c r="R268" s="53" t="s">
        <v>1629</v>
      </c>
      <c r="S268" s="46" t="s">
        <v>1630</v>
      </c>
      <c r="T268" s="53"/>
      <c r="U268" s="46" t="s">
        <v>1508</v>
      </c>
      <c r="V268" s="49"/>
    </row>
    <row r="269" hidden="1" spans="1:22">
      <c r="A269" s="37">
        <v>540425202020024</v>
      </c>
      <c r="B269" s="38" t="s">
        <v>20</v>
      </c>
      <c r="C269" s="484" t="s">
        <v>2163</v>
      </c>
      <c r="D269" s="40" t="s">
        <v>1744</v>
      </c>
      <c r="E269" s="57">
        <v>2020.1</v>
      </c>
      <c r="F269" s="40" t="s">
        <v>2161</v>
      </c>
      <c r="G269" s="40" t="s">
        <v>1647</v>
      </c>
      <c r="H269" s="42">
        <v>10</v>
      </c>
      <c r="I269" s="43">
        <v>3</v>
      </c>
      <c r="J269" s="48">
        <v>412548.2</v>
      </c>
      <c r="K269" s="44">
        <v>175332.99</v>
      </c>
      <c r="L269" s="44">
        <v>237215.21</v>
      </c>
      <c r="M269" s="53" t="s">
        <v>1625</v>
      </c>
      <c r="N269" s="46" t="s">
        <v>1626</v>
      </c>
      <c r="O269" s="45" t="s">
        <v>1421</v>
      </c>
      <c r="P269" s="53" t="s">
        <v>1627</v>
      </c>
      <c r="Q269" s="53" t="s">
        <v>1628</v>
      </c>
      <c r="R269" s="53" t="s">
        <v>1629</v>
      </c>
      <c r="S269" s="46" t="s">
        <v>1630</v>
      </c>
      <c r="T269" s="53"/>
      <c r="U269" s="46" t="s">
        <v>1508</v>
      </c>
      <c r="V269" s="49"/>
    </row>
    <row r="270" hidden="1" spans="1:22">
      <c r="A270" s="37">
        <v>540425202020024</v>
      </c>
      <c r="B270" s="38" t="s">
        <v>20</v>
      </c>
      <c r="C270" s="484" t="s">
        <v>2164</v>
      </c>
      <c r="D270" s="40" t="s">
        <v>2157</v>
      </c>
      <c r="E270" s="57">
        <v>2020.1</v>
      </c>
      <c r="F270" s="40" t="s">
        <v>2161</v>
      </c>
      <c r="G270" s="40" t="s">
        <v>1865</v>
      </c>
      <c r="H270" s="42">
        <v>10</v>
      </c>
      <c r="I270" s="43">
        <v>2489</v>
      </c>
      <c r="J270" s="48">
        <v>439074.28</v>
      </c>
      <c r="K270" s="44">
        <v>186606.567457215</v>
      </c>
      <c r="L270" s="44">
        <v>252467.712542785</v>
      </c>
      <c r="M270" s="53" t="s">
        <v>1685</v>
      </c>
      <c r="N270" s="46" t="s">
        <v>1866</v>
      </c>
      <c r="O270" s="45" t="s">
        <v>1421</v>
      </c>
      <c r="P270" s="53" t="s">
        <v>1627</v>
      </c>
      <c r="Q270" s="53" t="s">
        <v>1628</v>
      </c>
      <c r="R270" s="53" t="s">
        <v>1629</v>
      </c>
      <c r="S270" s="46" t="s">
        <v>1630</v>
      </c>
      <c r="T270" s="53"/>
      <c r="U270" s="46" t="s">
        <v>1508</v>
      </c>
      <c r="V270" s="49"/>
    </row>
    <row r="271" hidden="1" spans="1:22">
      <c r="A271" s="37">
        <v>540425202120030</v>
      </c>
      <c r="B271" s="38" t="s">
        <v>20</v>
      </c>
      <c r="C271" s="484" t="s">
        <v>2165</v>
      </c>
      <c r="D271" s="40" t="s">
        <v>2157</v>
      </c>
      <c r="E271" s="57">
        <v>2022.4</v>
      </c>
      <c r="F271" s="40" t="s">
        <v>2161</v>
      </c>
      <c r="G271" s="40" t="s">
        <v>1865</v>
      </c>
      <c r="H271" s="42">
        <v>10</v>
      </c>
      <c r="I271" s="43">
        <v>8770</v>
      </c>
      <c r="J271" s="48">
        <v>1322419.82</v>
      </c>
      <c r="K271" s="44">
        <v>363665.45</v>
      </c>
      <c r="L271" s="44">
        <v>958754.37</v>
      </c>
      <c r="M271" s="53" t="s">
        <v>1685</v>
      </c>
      <c r="N271" s="46" t="s">
        <v>1866</v>
      </c>
      <c r="O271" s="45" t="s">
        <v>1421</v>
      </c>
      <c r="P271" s="53" t="s">
        <v>1687</v>
      </c>
      <c r="Q271" s="53" t="s">
        <v>1688</v>
      </c>
      <c r="R271" s="45" t="s">
        <v>1689</v>
      </c>
      <c r="S271" s="46" t="s">
        <v>1630</v>
      </c>
      <c r="T271" s="53"/>
      <c r="U271" s="46" t="s">
        <v>1508</v>
      </c>
      <c r="V271" s="49"/>
    </row>
    <row r="272" hidden="1" spans="1:22">
      <c r="A272" s="37">
        <v>540425202120030</v>
      </c>
      <c r="B272" s="38" t="s">
        <v>20</v>
      </c>
      <c r="C272" s="484" t="s">
        <v>2166</v>
      </c>
      <c r="D272" s="40" t="s">
        <v>2167</v>
      </c>
      <c r="E272" s="57">
        <v>2022.4</v>
      </c>
      <c r="F272" s="40" t="s">
        <v>2161</v>
      </c>
      <c r="G272" s="40" t="s">
        <v>2168</v>
      </c>
      <c r="H272" s="42">
        <v>10</v>
      </c>
      <c r="I272" s="43">
        <v>1</v>
      </c>
      <c r="J272" s="48">
        <v>970934.4</v>
      </c>
      <c r="K272" s="44">
        <v>267006.96</v>
      </c>
      <c r="L272" s="44">
        <v>703927.44</v>
      </c>
      <c r="M272" s="53" t="s">
        <v>1625</v>
      </c>
      <c r="N272" s="46" t="s">
        <v>1626</v>
      </c>
      <c r="O272" s="45" t="s">
        <v>1421</v>
      </c>
      <c r="P272" s="53" t="s">
        <v>1627</v>
      </c>
      <c r="Q272" s="53" t="s">
        <v>1628</v>
      </c>
      <c r="R272" s="53" t="s">
        <v>1629</v>
      </c>
      <c r="S272" s="46" t="s">
        <v>1630</v>
      </c>
      <c r="T272" s="53"/>
      <c r="U272" s="46" t="s">
        <v>1508</v>
      </c>
      <c r="V272" s="49"/>
    </row>
    <row r="273" hidden="1" spans="1:22">
      <c r="A273" s="37">
        <v>540425202120032</v>
      </c>
      <c r="B273" s="38" t="s">
        <v>20</v>
      </c>
      <c r="C273" s="484" t="s">
        <v>2169</v>
      </c>
      <c r="D273" s="40" t="s">
        <v>2170</v>
      </c>
      <c r="E273" s="57">
        <v>2021.12</v>
      </c>
      <c r="F273" s="40" t="s">
        <v>2171</v>
      </c>
      <c r="G273" s="40" t="s">
        <v>1865</v>
      </c>
      <c r="H273" s="42">
        <v>10</v>
      </c>
      <c r="I273" s="43">
        <v>1384</v>
      </c>
      <c r="J273" s="48">
        <v>285898.97</v>
      </c>
      <c r="K273" s="44">
        <v>88152.18</v>
      </c>
      <c r="L273" s="44">
        <v>197746.79</v>
      </c>
      <c r="M273" s="53" t="s">
        <v>1685</v>
      </c>
      <c r="N273" s="46" t="s">
        <v>1866</v>
      </c>
      <c r="O273" s="45" t="s">
        <v>1421</v>
      </c>
      <c r="P273" s="53" t="s">
        <v>1627</v>
      </c>
      <c r="Q273" s="53" t="s">
        <v>1688</v>
      </c>
      <c r="R273" s="45" t="s">
        <v>1636</v>
      </c>
      <c r="S273" s="46" t="s">
        <v>1630</v>
      </c>
      <c r="T273" s="53" t="s">
        <v>1700</v>
      </c>
      <c r="U273" s="46" t="s">
        <v>1070</v>
      </c>
      <c r="V273" s="49"/>
    </row>
    <row r="274" hidden="1" spans="1:22">
      <c r="A274" s="37">
        <v>540425202120032</v>
      </c>
      <c r="B274" s="38" t="s">
        <v>20</v>
      </c>
      <c r="C274" s="484" t="s">
        <v>2172</v>
      </c>
      <c r="D274" s="40" t="s">
        <v>2167</v>
      </c>
      <c r="E274" s="57">
        <v>2021.12</v>
      </c>
      <c r="F274" s="40" t="s">
        <v>2171</v>
      </c>
      <c r="G274" s="40" t="s">
        <v>2168</v>
      </c>
      <c r="H274" s="42">
        <v>10</v>
      </c>
      <c r="I274" s="43">
        <v>1</v>
      </c>
      <c r="J274" s="48">
        <v>374135.07</v>
      </c>
      <c r="K274" s="44">
        <v>115358.31</v>
      </c>
      <c r="L274" s="44">
        <v>258776.76</v>
      </c>
      <c r="M274" s="53" t="s">
        <v>1625</v>
      </c>
      <c r="N274" s="46" t="s">
        <v>1626</v>
      </c>
      <c r="O274" s="45" t="s">
        <v>1421</v>
      </c>
      <c r="P274" s="53" t="s">
        <v>1627</v>
      </c>
      <c r="Q274" s="53" t="s">
        <v>1688</v>
      </c>
      <c r="R274" s="45" t="s">
        <v>1636</v>
      </c>
      <c r="S274" s="46" t="s">
        <v>1630</v>
      </c>
      <c r="T274" s="53" t="s">
        <v>1700</v>
      </c>
      <c r="U274" s="46" t="s">
        <v>1070</v>
      </c>
      <c r="V274" s="49"/>
    </row>
    <row r="275" hidden="1" spans="1:22">
      <c r="A275" s="37">
        <v>540425202120032</v>
      </c>
      <c r="B275" s="38" t="s">
        <v>20</v>
      </c>
      <c r="C275" s="484" t="s">
        <v>2173</v>
      </c>
      <c r="D275" s="40" t="s">
        <v>1894</v>
      </c>
      <c r="E275" s="57">
        <v>2021.12</v>
      </c>
      <c r="F275" s="40" t="s">
        <v>2171</v>
      </c>
      <c r="G275" s="40" t="s">
        <v>2174</v>
      </c>
      <c r="H275" s="42">
        <v>10</v>
      </c>
      <c r="I275" s="43">
        <v>1</v>
      </c>
      <c r="J275" s="48">
        <v>195639.97</v>
      </c>
      <c r="K275" s="44">
        <v>60322.32</v>
      </c>
      <c r="L275" s="44">
        <v>135317.65</v>
      </c>
      <c r="M275" s="53" t="s">
        <v>1625</v>
      </c>
      <c r="N275" s="46" t="s">
        <v>1626</v>
      </c>
      <c r="O275" s="45" t="s">
        <v>1421</v>
      </c>
      <c r="P275" s="53" t="s">
        <v>1627</v>
      </c>
      <c r="Q275" s="53" t="s">
        <v>1688</v>
      </c>
      <c r="R275" s="45" t="s">
        <v>1636</v>
      </c>
      <c r="S275" s="46" t="s">
        <v>1630</v>
      </c>
      <c r="T275" s="53" t="s">
        <v>1700</v>
      </c>
      <c r="U275" s="46" t="s">
        <v>1070</v>
      </c>
      <c r="V275" s="49"/>
    </row>
    <row r="276" hidden="1" spans="1:22">
      <c r="A276" s="37">
        <v>540425201919022</v>
      </c>
      <c r="B276" s="38" t="s">
        <v>20</v>
      </c>
      <c r="C276" s="484" t="s">
        <v>2175</v>
      </c>
      <c r="D276" s="40" t="s">
        <v>2176</v>
      </c>
      <c r="E276" s="57">
        <v>2019.7</v>
      </c>
      <c r="F276" s="40" t="s">
        <v>2171</v>
      </c>
      <c r="G276" s="40" t="s">
        <v>1675</v>
      </c>
      <c r="H276" s="42">
        <v>10</v>
      </c>
      <c r="I276" s="43">
        <v>1</v>
      </c>
      <c r="J276" s="48">
        <v>28800</v>
      </c>
      <c r="K276" s="44">
        <v>15840</v>
      </c>
      <c r="L276" s="44">
        <v>12960</v>
      </c>
      <c r="M276" s="53" t="s">
        <v>1625</v>
      </c>
      <c r="N276" s="46" t="s">
        <v>1652</v>
      </c>
      <c r="O276" s="45" t="s">
        <v>1421</v>
      </c>
      <c r="P276" s="53" t="s">
        <v>1705</v>
      </c>
      <c r="Q276" s="53" t="s">
        <v>1688</v>
      </c>
      <c r="R276" s="53" t="s">
        <v>1687</v>
      </c>
      <c r="S276" s="46" t="s">
        <v>1630</v>
      </c>
      <c r="T276" s="53" t="s">
        <v>1636</v>
      </c>
      <c r="U276" s="46" t="s">
        <v>1070</v>
      </c>
      <c r="V276" s="49"/>
    </row>
    <row r="277" hidden="1" spans="1:22">
      <c r="A277" s="37">
        <v>540425201919022</v>
      </c>
      <c r="B277" s="38" t="s">
        <v>20</v>
      </c>
      <c r="C277" s="484" t="s">
        <v>2177</v>
      </c>
      <c r="D277" s="40" t="s">
        <v>2178</v>
      </c>
      <c r="E277" s="57">
        <v>2019.7</v>
      </c>
      <c r="F277" s="40" t="s">
        <v>2171</v>
      </c>
      <c r="G277" s="40" t="s">
        <v>1675</v>
      </c>
      <c r="H277" s="42">
        <v>10</v>
      </c>
      <c r="I277" s="43">
        <v>2</v>
      </c>
      <c r="J277" s="48">
        <v>15000</v>
      </c>
      <c r="K277" s="44">
        <v>8250</v>
      </c>
      <c r="L277" s="44">
        <v>6750</v>
      </c>
      <c r="M277" s="53" t="s">
        <v>1625</v>
      </c>
      <c r="N277" s="46" t="s">
        <v>1652</v>
      </c>
      <c r="O277" s="45" t="s">
        <v>1421</v>
      </c>
      <c r="P277" s="53" t="s">
        <v>1627</v>
      </c>
      <c r="Q277" s="53" t="s">
        <v>1688</v>
      </c>
      <c r="R277" s="53" t="s">
        <v>1636</v>
      </c>
      <c r="S277" s="46" t="s">
        <v>1630</v>
      </c>
      <c r="T277" s="53" t="s">
        <v>1636</v>
      </c>
      <c r="U277" s="46" t="s">
        <v>1070</v>
      </c>
      <c r="V277" s="49"/>
    </row>
    <row r="278" hidden="1" spans="1:22">
      <c r="A278" s="37">
        <v>540425201919022</v>
      </c>
      <c r="B278" s="38" t="s">
        <v>20</v>
      </c>
      <c r="C278" s="484" t="s">
        <v>2179</v>
      </c>
      <c r="D278" s="40" t="s">
        <v>2180</v>
      </c>
      <c r="E278" s="57">
        <v>2019.7</v>
      </c>
      <c r="F278" s="40" t="s">
        <v>2171</v>
      </c>
      <c r="G278" s="40" t="s">
        <v>1675</v>
      </c>
      <c r="H278" s="42">
        <v>10</v>
      </c>
      <c r="I278" s="43">
        <v>1</v>
      </c>
      <c r="J278" s="48">
        <v>14500</v>
      </c>
      <c r="K278" s="44">
        <v>7975</v>
      </c>
      <c r="L278" s="44">
        <v>6525</v>
      </c>
      <c r="M278" s="53" t="s">
        <v>1625</v>
      </c>
      <c r="N278" s="46" t="s">
        <v>1652</v>
      </c>
      <c r="O278" s="45" t="s">
        <v>1421</v>
      </c>
      <c r="P278" s="53" t="s">
        <v>1627</v>
      </c>
      <c r="Q278" s="53" t="s">
        <v>1688</v>
      </c>
      <c r="R278" s="53" t="s">
        <v>1636</v>
      </c>
      <c r="S278" s="46" t="s">
        <v>1630</v>
      </c>
      <c r="T278" s="53" t="s">
        <v>1636</v>
      </c>
      <c r="U278" s="46" t="s">
        <v>1070</v>
      </c>
      <c r="V278" s="49"/>
    </row>
    <row r="279" hidden="1" spans="1:22">
      <c r="A279" s="37">
        <v>540425201919022</v>
      </c>
      <c r="B279" s="38" t="s">
        <v>20</v>
      </c>
      <c r="C279" s="484" t="s">
        <v>2181</v>
      </c>
      <c r="D279" s="40" t="s">
        <v>2182</v>
      </c>
      <c r="E279" s="57">
        <v>2019.7</v>
      </c>
      <c r="F279" s="40" t="s">
        <v>2171</v>
      </c>
      <c r="G279" s="40" t="s">
        <v>1675</v>
      </c>
      <c r="H279" s="42">
        <v>10</v>
      </c>
      <c r="I279" s="43">
        <v>1</v>
      </c>
      <c r="J279" s="48">
        <v>13500</v>
      </c>
      <c r="K279" s="44">
        <v>7425</v>
      </c>
      <c r="L279" s="44">
        <v>6075</v>
      </c>
      <c r="M279" s="53" t="s">
        <v>1625</v>
      </c>
      <c r="N279" s="46" t="s">
        <v>1652</v>
      </c>
      <c r="O279" s="45" t="s">
        <v>1421</v>
      </c>
      <c r="P279" s="53" t="s">
        <v>1627</v>
      </c>
      <c r="Q279" s="53" t="s">
        <v>1688</v>
      </c>
      <c r="R279" s="53" t="s">
        <v>1636</v>
      </c>
      <c r="S279" s="46" t="s">
        <v>1630</v>
      </c>
      <c r="T279" s="53" t="s">
        <v>1636</v>
      </c>
      <c r="U279" s="46" t="s">
        <v>1070</v>
      </c>
      <c r="V279" s="49"/>
    </row>
    <row r="280" hidden="1" spans="1:22">
      <c r="A280" s="37">
        <v>540425201919022</v>
      </c>
      <c r="B280" s="38" t="s">
        <v>20</v>
      </c>
      <c r="C280" s="484" t="s">
        <v>2183</v>
      </c>
      <c r="D280" s="40" t="s">
        <v>2184</v>
      </c>
      <c r="E280" s="57">
        <v>2019.7</v>
      </c>
      <c r="F280" s="40" t="s">
        <v>2171</v>
      </c>
      <c r="G280" s="40" t="s">
        <v>1675</v>
      </c>
      <c r="H280" s="42">
        <v>10</v>
      </c>
      <c r="I280" s="43">
        <v>2</v>
      </c>
      <c r="J280" s="48">
        <v>24000</v>
      </c>
      <c r="K280" s="44">
        <v>13200</v>
      </c>
      <c r="L280" s="44">
        <v>10800</v>
      </c>
      <c r="M280" s="53" t="s">
        <v>1625</v>
      </c>
      <c r="N280" s="46" t="s">
        <v>1652</v>
      </c>
      <c r="O280" s="45" t="s">
        <v>1421</v>
      </c>
      <c r="P280" s="53" t="s">
        <v>1627</v>
      </c>
      <c r="Q280" s="53" t="s">
        <v>1688</v>
      </c>
      <c r="R280" s="53" t="s">
        <v>1636</v>
      </c>
      <c r="S280" s="46" t="s">
        <v>1630</v>
      </c>
      <c r="T280" s="53" t="s">
        <v>1636</v>
      </c>
      <c r="U280" s="46" t="s">
        <v>1070</v>
      </c>
      <c r="V280" s="49"/>
    </row>
    <row r="281" hidden="1" spans="1:22">
      <c r="A281" s="37">
        <v>540425201919022</v>
      </c>
      <c r="B281" s="38" t="s">
        <v>20</v>
      </c>
      <c r="C281" s="484" t="s">
        <v>2185</v>
      </c>
      <c r="D281" s="40" t="s">
        <v>2186</v>
      </c>
      <c r="E281" s="57">
        <v>2019.7</v>
      </c>
      <c r="F281" s="40" t="s">
        <v>2171</v>
      </c>
      <c r="G281" s="40" t="s">
        <v>1675</v>
      </c>
      <c r="H281" s="42">
        <v>10</v>
      </c>
      <c r="I281" s="43">
        <v>1</v>
      </c>
      <c r="J281" s="48">
        <v>12500</v>
      </c>
      <c r="K281" s="44">
        <v>6875</v>
      </c>
      <c r="L281" s="44">
        <v>5625</v>
      </c>
      <c r="M281" s="53" t="s">
        <v>1625</v>
      </c>
      <c r="N281" s="46" t="s">
        <v>1652</v>
      </c>
      <c r="O281" s="45" t="s">
        <v>1421</v>
      </c>
      <c r="P281" s="53" t="s">
        <v>1627</v>
      </c>
      <c r="Q281" s="53" t="s">
        <v>1688</v>
      </c>
      <c r="R281" s="53" t="s">
        <v>1636</v>
      </c>
      <c r="S281" s="46" t="s">
        <v>1630</v>
      </c>
      <c r="T281" s="53" t="s">
        <v>1636</v>
      </c>
      <c r="U281" s="46" t="s">
        <v>1070</v>
      </c>
      <c r="V281" s="49"/>
    </row>
    <row r="282" hidden="1" spans="1:22">
      <c r="A282" s="37">
        <v>540425201919022</v>
      </c>
      <c r="B282" s="38" t="s">
        <v>20</v>
      </c>
      <c r="C282" s="484" t="s">
        <v>2187</v>
      </c>
      <c r="D282" s="40" t="s">
        <v>2188</v>
      </c>
      <c r="E282" s="57">
        <v>2019.7</v>
      </c>
      <c r="F282" s="40" t="s">
        <v>2171</v>
      </c>
      <c r="G282" s="40" t="s">
        <v>1675</v>
      </c>
      <c r="H282" s="42">
        <v>10</v>
      </c>
      <c r="I282" s="43">
        <v>2</v>
      </c>
      <c r="J282" s="48">
        <v>19000</v>
      </c>
      <c r="K282" s="44">
        <v>10450</v>
      </c>
      <c r="L282" s="44">
        <v>8550</v>
      </c>
      <c r="M282" s="53" t="s">
        <v>1625</v>
      </c>
      <c r="N282" s="46" t="s">
        <v>1652</v>
      </c>
      <c r="O282" s="45" t="s">
        <v>1421</v>
      </c>
      <c r="P282" s="53" t="s">
        <v>1627</v>
      </c>
      <c r="Q282" s="53" t="s">
        <v>1688</v>
      </c>
      <c r="R282" s="53" t="s">
        <v>1636</v>
      </c>
      <c r="S282" s="46" t="s">
        <v>1630</v>
      </c>
      <c r="T282" s="53" t="s">
        <v>1636</v>
      </c>
      <c r="U282" s="46" t="s">
        <v>1070</v>
      </c>
      <c r="V282" s="49"/>
    </row>
    <row r="283" hidden="1" spans="1:22">
      <c r="A283" s="37">
        <v>540425201919022</v>
      </c>
      <c r="B283" s="38" t="s">
        <v>20</v>
      </c>
      <c r="C283" s="484" t="s">
        <v>2189</v>
      </c>
      <c r="D283" s="40" t="s">
        <v>2190</v>
      </c>
      <c r="E283" s="57">
        <v>2019.7</v>
      </c>
      <c r="F283" s="40" t="s">
        <v>2171</v>
      </c>
      <c r="G283" s="40" t="s">
        <v>1675</v>
      </c>
      <c r="H283" s="42">
        <v>10</v>
      </c>
      <c r="I283" s="43">
        <v>1</v>
      </c>
      <c r="J283" s="48">
        <v>21400</v>
      </c>
      <c r="K283" s="44">
        <v>11770</v>
      </c>
      <c r="L283" s="44">
        <v>9630</v>
      </c>
      <c r="M283" s="53" t="s">
        <v>1625</v>
      </c>
      <c r="N283" s="46" t="s">
        <v>1652</v>
      </c>
      <c r="O283" s="45" t="s">
        <v>1421</v>
      </c>
      <c r="P283" s="53" t="s">
        <v>1627</v>
      </c>
      <c r="Q283" s="53" t="s">
        <v>1688</v>
      </c>
      <c r="R283" s="53" t="s">
        <v>1636</v>
      </c>
      <c r="S283" s="46" t="s">
        <v>1630</v>
      </c>
      <c r="T283" s="53" t="s">
        <v>1636</v>
      </c>
      <c r="U283" s="46" t="s">
        <v>1070</v>
      </c>
      <c r="V283" s="49"/>
    </row>
    <row r="284" hidden="1" spans="1:22">
      <c r="A284" s="37">
        <v>540425201920018</v>
      </c>
      <c r="B284" s="38" t="s">
        <v>20</v>
      </c>
      <c r="C284" s="484" t="s">
        <v>2191</v>
      </c>
      <c r="D284" s="40" t="s">
        <v>2170</v>
      </c>
      <c r="E284" s="57">
        <v>2019.9</v>
      </c>
      <c r="F284" s="40" t="s">
        <v>2171</v>
      </c>
      <c r="G284" s="40" t="s">
        <v>1865</v>
      </c>
      <c r="H284" s="42">
        <v>10</v>
      </c>
      <c r="I284" s="43">
        <v>1600</v>
      </c>
      <c r="J284" s="48">
        <v>291206.54</v>
      </c>
      <c r="K284" s="44">
        <v>155310.15</v>
      </c>
      <c r="L284" s="44">
        <v>135896.39</v>
      </c>
      <c r="M284" s="53" t="s">
        <v>1685</v>
      </c>
      <c r="N284" s="46" t="s">
        <v>1866</v>
      </c>
      <c r="O284" s="45" t="s">
        <v>1421</v>
      </c>
      <c r="P284" s="53" t="s">
        <v>1627</v>
      </c>
      <c r="Q284" s="53" t="s">
        <v>1628</v>
      </c>
      <c r="R284" s="53" t="s">
        <v>1629</v>
      </c>
      <c r="S284" s="46" t="s">
        <v>1630</v>
      </c>
      <c r="T284" s="53" t="s">
        <v>1627</v>
      </c>
      <c r="U284" s="46" t="s">
        <v>1070</v>
      </c>
      <c r="V284" s="49"/>
    </row>
    <row r="285" hidden="1" spans="1:22">
      <c r="A285" s="37">
        <v>540425201920018</v>
      </c>
      <c r="B285" s="38" t="s">
        <v>20</v>
      </c>
      <c r="C285" s="484" t="s">
        <v>2192</v>
      </c>
      <c r="D285" s="40" t="s">
        <v>1894</v>
      </c>
      <c r="E285" s="57">
        <v>2019.9</v>
      </c>
      <c r="F285" s="40" t="s">
        <v>2171</v>
      </c>
      <c r="G285" s="40" t="s">
        <v>2193</v>
      </c>
      <c r="H285" s="42">
        <v>10</v>
      </c>
      <c r="I285" s="43">
        <v>1</v>
      </c>
      <c r="J285" s="48">
        <v>66462.17</v>
      </c>
      <c r="K285" s="44">
        <v>35446.49</v>
      </c>
      <c r="L285" s="44">
        <v>31015.68</v>
      </c>
      <c r="M285" s="53" t="s">
        <v>1625</v>
      </c>
      <c r="N285" s="46" t="s">
        <v>1626</v>
      </c>
      <c r="O285" s="45" t="s">
        <v>1421</v>
      </c>
      <c r="P285" s="53" t="s">
        <v>1627</v>
      </c>
      <c r="Q285" s="53" t="s">
        <v>1628</v>
      </c>
      <c r="R285" s="53" t="s">
        <v>1629</v>
      </c>
      <c r="S285" s="46" t="s">
        <v>1630</v>
      </c>
      <c r="T285" s="53" t="s">
        <v>1627</v>
      </c>
      <c r="U285" s="46" t="s">
        <v>1070</v>
      </c>
      <c r="V285" s="49"/>
    </row>
    <row r="286" hidden="1" spans="1:22">
      <c r="A286" s="37">
        <v>540425201920018</v>
      </c>
      <c r="B286" s="38" t="s">
        <v>20</v>
      </c>
      <c r="C286" s="484" t="s">
        <v>2194</v>
      </c>
      <c r="D286" s="40" t="s">
        <v>2167</v>
      </c>
      <c r="E286" s="57">
        <v>2019.9</v>
      </c>
      <c r="F286" s="40" t="s">
        <v>2171</v>
      </c>
      <c r="G286" s="40" t="s">
        <v>2168</v>
      </c>
      <c r="H286" s="42">
        <v>10</v>
      </c>
      <c r="I286" s="43">
        <v>1</v>
      </c>
      <c r="J286" s="48">
        <v>69529.65</v>
      </c>
      <c r="K286" s="44">
        <v>37082.48</v>
      </c>
      <c r="L286" s="44">
        <v>32447.17</v>
      </c>
      <c r="M286" s="53" t="s">
        <v>1625</v>
      </c>
      <c r="N286" s="46" t="s">
        <v>1626</v>
      </c>
      <c r="O286" s="45" t="s">
        <v>1421</v>
      </c>
      <c r="P286" s="53" t="s">
        <v>1627</v>
      </c>
      <c r="Q286" s="53" t="s">
        <v>1628</v>
      </c>
      <c r="R286" s="53" t="s">
        <v>1629</v>
      </c>
      <c r="S286" s="46" t="s">
        <v>1630</v>
      </c>
      <c r="T286" s="53" t="s">
        <v>1627</v>
      </c>
      <c r="U286" s="46" t="s">
        <v>1070</v>
      </c>
      <c r="V286" s="49"/>
    </row>
    <row r="287" hidden="1" spans="1:22">
      <c r="A287" s="37">
        <v>540425201919024</v>
      </c>
      <c r="B287" s="38" t="s">
        <v>20</v>
      </c>
      <c r="C287" s="484" t="s">
        <v>2195</v>
      </c>
      <c r="D287" s="40" t="s">
        <v>921</v>
      </c>
      <c r="E287" s="57">
        <v>2019.4</v>
      </c>
      <c r="F287" s="40" t="s">
        <v>2196</v>
      </c>
      <c r="G287" s="40" t="s">
        <v>1868</v>
      </c>
      <c r="H287" s="42">
        <v>10</v>
      </c>
      <c r="I287" s="43">
        <v>0</v>
      </c>
      <c r="J287" s="48">
        <v>6933400</v>
      </c>
      <c r="K287" s="44">
        <v>6933400</v>
      </c>
      <c r="L287" s="44">
        <v>0</v>
      </c>
      <c r="M287" s="53" t="s">
        <v>1685</v>
      </c>
      <c r="N287" s="46" t="s">
        <v>1866</v>
      </c>
      <c r="O287" s="45" t="s">
        <v>1421</v>
      </c>
      <c r="P287" s="53" t="s">
        <v>1687</v>
      </c>
      <c r="Q287" s="53" t="s">
        <v>1688</v>
      </c>
      <c r="R287" s="45" t="s">
        <v>1689</v>
      </c>
      <c r="S287" s="46" t="s">
        <v>1630</v>
      </c>
      <c r="T287" s="53" t="s">
        <v>1636</v>
      </c>
      <c r="U287" s="46" t="s">
        <v>1460</v>
      </c>
      <c r="V287" s="49" t="s">
        <v>2197</v>
      </c>
    </row>
    <row r="288" hidden="1" spans="1:22">
      <c r="A288" s="37">
        <v>540425201919024</v>
      </c>
      <c r="B288" s="38" t="s">
        <v>20</v>
      </c>
      <c r="C288" s="484" t="s">
        <v>2198</v>
      </c>
      <c r="D288" s="40" t="s">
        <v>1894</v>
      </c>
      <c r="E288" s="57">
        <v>2019.4</v>
      </c>
      <c r="F288" s="40" t="s">
        <v>2196</v>
      </c>
      <c r="G288" s="40" t="s">
        <v>2199</v>
      </c>
      <c r="H288" s="42">
        <v>10</v>
      </c>
      <c r="I288" s="43">
        <v>1</v>
      </c>
      <c r="J288" s="48">
        <v>684700</v>
      </c>
      <c r="K288" s="44">
        <v>684700</v>
      </c>
      <c r="L288" s="44">
        <v>0</v>
      </c>
      <c r="M288" s="53" t="s">
        <v>1625</v>
      </c>
      <c r="N288" s="46" t="s">
        <v>1626</v>
      </c>
      <c r="O288" s="45" t="s">
        <v>1421</v>
      </c>
      <c r="P288" s="53" t="s">
        <v>1687</v>
      </c>
      <c r="Q288" s="53" t="s">
        <v>1688</v>
      </c>
      <c r="R288" s="53" t="s">
        <v>1687</v>
      </c>
      <c r="S288" s="46" t="s">
        <v>1630</v>
      </c>
      <c r="T288" s="53" t="s">
        <v>1636</v>
      </c>
      <c r="U288" s="46" t="s">
        <v>1460</v>
      </c>
      <c r="V288" s="49" t="s">
        <v>2197</v>
      </c>
    </row>
    <row r="289" hidden="1" spans="1:22">
      <c r="A289" s="37">
        <v>540425201919024</v>
      </c>
      <c r="B289" s="38" t="s">
        <v>20</v>
      </c>
      <c r="C289" s="484" t="s">
        <v>2200</v>
      </c>
      <c r="D289" s="40" t="s">
        <v>2201</v>
      </c>
      <c r="E289" s="57">
        <v>2019.4</v>
      </c>
      <c r="F289" s="40" t="s">
        <v>2196</v>
      </c>
      <c r="G289" s="40" t="s">
        <v>2168</v>
      </c>
      <c r="H289" s="42">
        <v>10</v>
      </c>
      <c r="I289" s="43">
        <v>1</v>
      </c>
      <c r="J289" s="48">
        <v>973000</v>
      </c>
      <c r="K289" s="44">
        <v>973000</v>
      </c>
      <c r="L289" s="44">
        <v>0</v>
      </c>
      <c r="M289" s="53" t="s">
        <v>1625</v>
      </c>
      <c r="N289" s="46" t="s">
        <v>1626</v>
      </c>
      <c r="O289" s="45" t="s">
        <v>1421</v>
      </c>
      <c r="P289" s="53" t="s">
        <v>1687</v>
      </c>
      <c r="Q289" s="53" t="s">
        <v>1688</v>
      </c>
      <c r="R289" s="53" t="s">
        <v>1687</v>
      </c>
      <c r="S289" s="46" t="s">
        <v>1630</v>
      </c>
      <c r="T289" s="53" t="s">
        <v>1636</v>
      </c>
      <c r="U289" s="46" t="s">
        <v>1460</v>
      </c>
      <c r="V289" s="49" t="s">
        <v>2197</v>
      </c>
    </row>
    <row r="290" hidden="1" spans="1:22">
      <c r="A290" s="37">
        <v>540425201820013</v>
      </c>
      <c r="B290" s="38" t="s">
        <v>20</v>
      </c>
      <c r="C290" s="484" t="s">
        <v>2202</v>
      </c>
      <c r="D290" s="40" t="s">
        <v>921</v>
      </c>
      <c r="E290" s="57">
        <v>2019.9</v>
      </c>
      <c r="F290" s="40" t="s">
        <v>2196</v>
      </c>
      <c r="G290" s="40" t="s">
        <v>1868</v>
      </c>
      <c r="H290" s="42">
        <v>10</v>
      </c>
      <c r="I290" s="43">
        <v>0</v>
      </c>
      <c r="J290" s="48">
        <v>3468138.02</v>
      </c>
      <c r="K290" s="44">
        <v>3468138.02</v>
      </c>
      <c r="L290" s="44">
        <v>0</v>
      </c>
      <c r="M290" s="53" t="s">
        <v>1685</v>
      </c>
      <c r="N290" s="46" t="s">
        <v>1866</v>
      </c>
      <c r="O290" s="45" t="s">
        <v>1421</v>
      </c>
      <c r="P290" s="53" t="s">
        <v>1687</v>
      </c>
      <c r="Q290" s="53" t="s">
        <v>1688</v>
      </c>
      <c r="R290" s="45" t="s">
        <v>1689</v>
      </c>
      <c r="S290" s="46" t="s">
        <v>1630</v>
      </c>
      <c r="T290" s="53" t="s">
        <v>1636</v>
      </c>
      <c r="U290" s="46" t="s">
        <v>1528</v>
      </c>
      <c r="V290" s="49" t="s">
        <v>2197</v>
      </c>
    </row>
    <row r="291" hidden="1" spans="1:22">
      <c r="A291" s="37">
        <v>540425201820013</v>
      </c>
      <c r="B291" s="38" t="s">
        <v>20</v>
      </c>
      <c r="C291" s="484" t="s">
        <v>2203</v>
      </c>
      <c r="D291" s="40" t="s">
        <v>1894</v>
      </c>
      <c r="E291" s="57">
        <v>2019.9</v>
      </c>
      <c r="F291" s="40" t="s">
        <v>2196</v>
      </c>
      <c r="G291" s="40" t="s">
        <v>2204</v>
      </c>
      <c r="H291" s="42">
        <v>10</v>
      </c>
      <c r="I291" s="43">
        <v>1</v>
      </c>
      <c r="J291" s="48">
        <v>295538.05</v>
      </c>
      <c r="K291" s="44">
        <v>295538.05</v>
      </c>
      <c r="L291" s="44">
        <v>0</v>
      </c>
      <c r="M291" s="53" t="s">
        <v>1625</v>
      </c>
      <c r="N291" s="46" t="s">
        <v>1626</v>
      </c>
      <c r="O291" s="45" t="s">
        <v>1421</v>
      </c>
      <c r="P291" s="53" t="s">
        <v>1687</v>
      </c>
      <c r="Q291" s="53" t="s">
        <v>1688</v>
      </c>
      <c r="R291" s="53" t="s">
        <v>1687</v>
      </c>
      <c r="S291" s="46" t="s">
        <v>1630</v>
      </c>
      <c r="T291" s="53" t="s">
        <v>1636</v>
      </c>
      <c r="U291" s="46" t="s">
        <v>1528</v>
      </c>
      <c r="V291" s="49" t="s">
        <v>2197</v>
      </c>
    </row>
    <row r="292" hidden="1" spans="1:22">
      <c r="A292" s="37">
        <v>540425201820013</v>
      </c>
      <c r="B292" s="38" t="s">
        <v>20</v>
      </c>
      <c r="C292" s="484" t="s">
        <v>2205</v>
      </c>
      <c r="D292" s="40" t="s">
        <v>2167</v>
      </c>
      <c r="E292" s="57">
        <v>2019.9</v>
      </c>
      <c r="F292" s="40" t="s">
        <v>2196</v>
      </c>
      <c r="G292" s="40" t="s">
        <v>2168</v>
      </c>
      <c r="H292" s="42">
        <v>10</v>
      </c>
      <c r="I292" s="43">
        <v>1</v>
      </c>
      <c r="J292" s="48">
        <v>637283.08</v>
      </c>
      <c r="K292" s="44">
        <v>637283.08</v>
      </c>
      <c r="L292" s="44">
        <v>0</v>
      </c>
      <c r="M292" s="53" t="s">
        <v>1625</v>
      </c>
      <c r="N292" s="46" t="s">
        <v>1626</v>
      </c>
      <c r="O292" s="45" t="s">
        <v>1421</v>
      </c>
      <c r="P292" s="53" t="s">
        <v>1687</v>
      </c>
      <c r="Q292" s="53" t="s">
        <v>1688</v>
      </c>
      <c r="R292" s="53" t="s">
        <v>1687</v>
      </c>
      <c r="S292" s="46" t="s">
        <v>1630</v>
      </c>
      <c r="T292" s="53" t="s">
        <v>1636</v>
      </c>
      <c r="U292" s="46" t="s">
        <v>1528</v>
      </c>
      <c r="V292" s="49"/>
    </row>
    <row r="293" hidden="1" spans="1:22">
      <c r="A293" s="37">
        <v>540425202020022</v>
      </c>
      <c r="B293" s="38" t="s">
        <v>20</v>
      </c>
      <c r="C293" s="484" t="s">
        <v>2206</v>
      </c>
      <c r="D293" s="40" t="s">
        <v>2170</v>
      </c>
      <c r="E293" s="57">
        <v>2020.07</v>
      </c>
      <c r="F293" s="40" t="s">
        <v>2207</v>
      </c>
      <c r="G293" s="40" t="s">
        <v>1865</v>
      </c>
      <c r="H293" s="42">
        <v>10</v>
      </c>
      <c r="I293" s="43">
        <v>3881</v>
      </c>
      <c r="J293" s="48">
        <v>383400</v>
      </c>
      <c r="K293" s="44">
        <v>172530</v>
      </c>
      <c r="L293" s="44">
        <v>210870</v>
      </c>
      <c r="M293" s="53" t="s">
        <v>1685</v>
      </c>
      <c r="N293" s="46" t="s">
        <v>1866</v>
      </c>
      <c r="O293" s="45" t="s">
        <v>1421</v>
      </c>
      <c r="P293" s="53" t="s">
        <v>1627</v>
      </c>
      <c r="Q293" s="53" t="s">
        <v>1688</v>
      </c>
      <c r="R293" s="53" t="s">
        <v>1636</v>
      </c>
      <c r="S293" s="46" t="s">
        <v>1630</v>
      </c>
      <c r="T293" s="53" t="s">
        <v>1636</v>
      </c>
      <c r="U293" s="46" t="s">
        <v>1549</v>
      </c>
      <c r="V293" s="49"/>
    </row>
    <row r="294" hidden="1" spans="1:22">
      <c r="A294" s="37">
        <v>540425202120036</v>
      </c>
      <c r="B294" s="38" t="s">
        <v>20</v>
      </c>
      <c r="C294" s="484" t="s">
        <v>2208</v>
      </c>
      <c r="D294" s="40" t="s">
        <v>2170</v>
      </c>
      <c r="E294" s="57">
        <v>2021.12</v>
      </c>
      <c r="F294" s="40" t="s">
        <v>2209</v>
      </c>
      <c r="G294" s="40" t="s">
        <v>1865</v>
      </c>
      <c r="H294" s="42">
        <v>10</v>
      </c>
      <c r="I294" s="43">
        <v>2238</v>
      </c>
      <c r="J294" s="48">
        <v>420550.53</v>
      </c>
      <c r="K294" s="44">
        <v>129669.75</v>
      </c>
      <c r="L294" s="44">
        <v>290880.78</v>
      </c>
      <c r="M294" s="53" t="s">
        <v>1685</v>
      </c>
      <c r="N294" s="46" t="s">
        <v>1866</v>
      </c>
      <c r="O294" s="45" t="s">
        <v>1421</v>
      </c>
      <c r="P294" s="53" t="s">
        <v>1627</v>
      </c>
      <c r="Q294" s="53" t="s">
        <v>1628</v>
      </c>
      <c r="R294" s="53" t="s">
        <v>1629</v>
      </c>
      <c r="S294" s="46" t="s">
        <v>1630</v>
      </c>
      <c r="T294" s="53" t="s">
        <v>1700</v>
      </c>
      <c r="U294" s="46" t="s">
        <v>1556</v>
      </c>
      <c r="V294" s="49"/>
    </row>
    <row r="295" hidden="1" spans="1:22">
      <c r="A295" s="37">
        <v>540425202120036</v>
      </c>
      <c r="B295" s="38" t="s">
        <v>20</v>
      </c>
      <c r="C295" s="484" t="s">
        <v>2210</v>
      </c>
      <c r="D295" s="40" t="s">
        <v>2167</v>
      </c>
      <c r="E295" s="57">
        <v>2021.12</v>
      </c>
      <c r="F295" s="40" t="s">
        <v>2209</v>
      </c>
      <c r="G295" s="40" t="s">
        <v>2168</v>
      </c>
      <c r="H295" s="42">
        <v>10</v>
      </c>
      <c r="I295" s="43">
        <v>1</v>
      </c>
      <c r="J295" s="48">
        <v>431543.48</v>
      </c>
      <c r="K295" s="44">
        <v>133059.24</v>
      </c>
      <c r="L295" s="44">
        <v>298484.24</v>
      </c>
      <c r="M295" s="53" t="s">
        <v>1625</v>
      </c>
      <c r="N295" s="46" t="s">
        <v>1626</v>
      </c>
      <c r="O295" s="45" t="s">
        <v>1421</v>
      </c>
      <c r="P295" s="53" t="s">
        <v>1627</v>
      </c>
      <c r="Q295" s="53" t="s">
        <v>1628</v>
      </c>
      <c r="R295" s="53" t="s">
        <v>1629</v>
      </c>
      <c r="S295" s="46" t="s">
        <v>1630</v>
      </c>
      <c r="T295" s="53" t="s">
        <v>1700</v>
      </c>
      <c r="U295" s="46" t="s">
        <v>1556</v>
      </c>
      <c r="V295" s="49"/>
    </row>
    <row r="296" hidden="1" spans="1:22">
      <c r="A296" s="37">
        <v>540425202120036</v>
      </c>
      <c r="B296" s="38" t="s">
        <v>20</v>
      </c>
      <c r="C296" s="484" t="s">
        <v>2211</v>
      </c>
      <c r="D296" s="40" t="s">
        <v>1894</v>
      </c>
      <c r="E296" s="57">
        <v>2021.12</v>
      </c>
      <c r="F296" s="40" t="s">
        <v>2209</v>
      </c>
      <c r="G296" s="40" t="s">
        <v>2212</v>
      </c>
      <c r="H296" s="42">
        <v>10</v>
      </c>
      <c r="I296" s="43">
        <v>1</v>
      </c>
      <c r="J296" s="48">
        <v>166867.24</v>
      </c>
      <c r="K296" s="44">
        <v>51450.73</v>
      </c>
      <c r="L296" s="44">
        <v>115416.51</v>
      </c>
      <c r="M296" s="53" t="s">
        <v>1625</v>
      </c>
      <c r="N296" s="46" t="s">
        <v>1626</v>
      </c>
      <c r="O296" s="45" t="s">
        <v>1421</v>
      </c>
      <c r="P296" s="53" t="s">
        <v>1627</v>
      </c>
      <c r="Q296" s="53" t="s">
        <v>1628</v>
      </c>
      <c r="R296" s="53" t="s">
        <v>1629</v>
      </c>
      <c r="S296" s="46" t="s">
        <v>1630</v>
      </c>
      <c r="T296" s="53" t="s">
        <v>1700</v>
      </c>
      <c r="U296" s="46" t="s">
        <v>1556</v>
      </c>
      <c r="V296" s="49"/>
    </row>
    <row r="297" hidden="1" spans="1:22">
      <c r="A297" s="37">
        <v>540425201820015</v>
      </c>
      <c r="B297" s="38" t="s">
        <v>20</v>
      </c>
      <c r="C297" s="484" t="s">
        <v>2213</v>
      </c>
      <c r="D297" s="40" t="s">
        <v>2170</v>
      </c>
      <c r="E297" s="57">
        <v>2019.03</v>
      </c>
      <c r="F297" s="40" t="s">
        <v>2214</v>
      </c>
      <c r="G297" s="40" t="s">
        <v>1865</v>
      </c>
      <c r="H297" s="42">
        <v>10</v>
      </c>
      <c r="I297" s="43">
        <v>2606</v>
      </c>
      <c r="J297" s="48">
        <v>263220</v>
      </c>
      <c r="K297" s="44">
        <v>153545</v>
      </c>
      <c r="L297" s="44">
        <v>109675</v>
      </c>
      <c r="M297" s="53" t="s">
        <v>1685</v>
      </c>
      <c r="N297" s="46" t="s">
        <v>1866</v>
      </c>
      <c r="O297" s="45" t="s">
        <v>1421</v>
      </c>
      <c r="P297" s="53" t="s">
        <v>1627</v>
      </c>
      <c r="Q297" s="53" t="s">
        <v>1628</v>
      </c>
      <c r="R297" s="53" t="s">
        <v>1629</v>
      </c>
      <c r="S297" s="46" t="s">
        <v>1630</v>
      </c>
      <c r="T297" s="53" t="s">
        <v>1627</v>
      </c>
      <c r="U297" s="46" t="s">
        <v>1064</v>
      </c>
      <c r="V297" s="49"/>
    </row>
    <row r="298" hidden="1" spans="1:22">
      <c r="A298" s="37">
        <v>540425202120034</v>
      </c>
      <c r="B298" s="38" t="s">
        <v>20</v>
      </c>
      <c r="C298" s="484" t="s">
        <v>2215</v>
      </c>
      <c r="D298" s="40" t="s">
        <v>2170</v>
      </c>
      <c r="E298" s="57">
        <v>2021.12</v>
      </c>
      <c r="F298" s="40" t="s">
        <v>2216</v>
      </c>
      <c r="G298" s="40" t="s">
        <v>1865</v>
      </c>
      <c r="H298" s="42">
        <v>10</v>
      </c>
      <c r="I298" s="43">
        <v>1965</v>
      </c>
      <c r="J298" s="48">
        <v>68800</v>
      </c>
      <c r="K298" s="44">
        <v>21213.3</v>
      </c>
      <c r="L298" s="44">
        <v>47586.7</v>
      </c>
      <c r="M298" s="53" t="s">
        <v>1685</v>
      </c>
      <c r="N298" s="46" t="s">
        <v>1866</v>
      </c>
      <c r="O298" s="45" t="s">
        <v>1421</v>
      </c>
      <c r="P298" s="53" t="s">
        <v>1627</v>
      </c>
      <c r="Q298" s="53" t="s">
        <v>1628</v>
      </c>
      <c r="R298" s="53" t="s">
        <v>1629</v>
      </c>
      <c r="S298" s="46" t="s">
        <v>1630</v>
      </c>
      <c r="T298" s="53" t="s">
        <v>1700</v>
      </c>
      <c r="U298" s="46" t="s">
        <v>1535</v>
      </c>
      <c r="V298" s="49"/>
    </row>
    <row r="299" hidden="1" spans="1:22">
      <c r="A299" s="37">
        <v>540425202120034</v>
      </c>
      <c r="B299" s="38" t="s">
        <v>20</v>
      </c>
      <c r="C299" s="484" t="s">
        <v>2217</v>
      </c>
      <c r="D299" s="40" t="s">
        <v>2167</v>
      </c>
      <c r="E299" s="57">
        <v>2021.12</v>
      </c>
      <c r="F299" s="40" t="s">
        <v>2216</v>
      </c>
      <c r="G299" s="40" t="s">
        <v>2168</v>
      </c>
      <c r="H299" s="42">
        <v>10</v>
      </c>
      <c r="I299" s="43">
        <v>1</v>
      </c>
      <c r="J299" s="48">
        <v>708600</v>
      </c>
      <c r="K299" s="44">
        <v>218485</v>
      </c>
      <c r="L299" s="44">
        <v>490115</v>
      </c>
      <c r="M299" s="53" t="s">
        <v>1625</v>
      </c>
      <c r="N299" s="46" t="s">
        <v>1626</v>
      </c>
      <c r="O299" s="45" t="s">
        <v>1421</v>
      </c>
      <c r="P299" s="53" t="s">
        <v>1627</v>
      </c>
      <c r="Q299" s="53" t="s">
        <v>1628</v>
      </c>
      <c r="R299" s="53" t="s">
        <v>1629</v>
      </c>
      <c r="S299" s="46" t="s">
        <v>1630</v>
      </c>
      <c r="T299" s="53" t="s">
        <v>1700</v>
      </c>
      <c r="U299" s="46" t="s">
        <v>1535</v>
      </c>
      <c r="V299" s="49"/>
    </row>
    <row r="300" hidden="1" spans="1:22">
      <c r="A300" s="37">
        <v>540425202020021</v>
      </c>
      <c r="B300" s="38" t="s">
        <v>20</v>
      </c>
      <c r="C300" s="484" t="s">
        <v>2218</v>
      </c>
      <c r="D300" s="40" t="s">
        <v>2170</v>
      </c>
      <c r="E300" s="57">
        <v>2020.07</v>
      </c>
      <c r="F300" s="40" t="s">
        <v>2219</v>
      </c>
      <c r="G300" s="40" t="s">
        <v>1865</v>
      </c>
      <c r="H300" s="42">
        <v>10</v>
      </c>
      <c r="I300" s="43">
        <v>872</v>
      </c>
      <c r="J300" s="48">
        <v>86160</v>
      </c>
      <c r="K300" s="44">
        <v>38772</v>
      </c>
      <c r="L300" s="44">
        <v>47388</v>
      </c>
      <c r="M300" s="53" t="s">
        <v>1685</v>
      </c>
      <c r="N300" s="46" t="s">
        <v>1866</v>
      </c>
      <c r="O300" s="45" t="s">
        <v>1421</v>
      </c>
      <c r="P300" s="53" t="s">
        <v>1627</v>
      </c>
      <c r="Q300" s="53" t="s">
        <v>1628</v>
      </c>
      <c r="R300" s="53" t="s">
        <v>1629</v>
      </c>
      <c r="S300" s="46" t="s">
        <v>1630</v>
      </c>
      <c r="T300" s="53" t="s">
        <v>1700</v>
      </c>
      <c r="U300" s="46" t="s">
        <v>1547</v>
      </c>
      <c r="V300" s="49"/>
    </row>
    <row r="301" hidden="1" spans="1:22">
      <c r="A301" s="37">
        <v>540425202020021</v>
      </c>
      <c r="B301" s="38" t="s">
        <v>20</v>
      </c>
      <c r="C301" s="484" t="s">
        <v>2220</v>
      </c>
      <c r="D301" s="40" t="s">
        <v>1744</v>
      </c>
      <c r="E301" s="57">
        <v>2020.07</v>
      </c>
      <c r="F301" s="40" t="s">
        <v>2219</v>
      </c>
      <c r="G301" s="40" t="s">
        <v>2168</v>
      </c>
      <c r="H301" s="42">
        <v>10</v>
      </c>
      <c r="I301" s="43">
        <v>1</v>
      </c>
      <c r="J301" s="48">
        <v>73400</v>
      </c>
      <c r="K301" s="44">
        <v>33030</v>
      </c>
      <c r="L301" s="44">
        <v>40370</v>
      </c>
      <c r="M301" s="53" t="s">
        <v>1625</v>
      </c>
      <c r="N301" s="46" t="s">
        <v>1626</v>
      </c>
      <c r="O301" s="45" t="s">
        <v>1421</v>
      </c>
      <c r="P301" s="53" t="s">
        <v>1627</v>
      </c>
      <c r="Q301" s="53" t="s">
        <v>1628</v>
      </c>
      <c r="R301" s="53" t="s">
        <v>1629</v>
      </c>
      <c r="S301" s="46" t="s">
        <v>1630</v>
      </c>
      <c r="T301" s="53" t="s">
        <v>1700</v>
      </c>
      <c r="U301" s="46" t="s">
        <v>1547</v>
      </c>
      <c r="V301" s="49"/>
    </row>
    <row r="302" hidden="1" spans="1:22">
      <c r="A302" s="37">
        <v>540425201920020</v>
      </c>
      <c r="B302" s="38" t="s">
        <v>20</v>
      </c>
      <c r="C302" s="484" t="s">
        <v>2221</v>
      </c>
      <c r="D302" s="40" t="s">
        <v>2170</v>
      </c>
      <c r="E302" s="57">
        <v>2019.12</v>
      </c>
      <c r="F302" s="40" t="s">
        <v>2222</v>
      </c>
      <c r="G302" s="40" t="s">
        <v>1865</v>
      </c>
      <c r="H302" s="42">
        <v>10</v>
      </c>
      <c r="I302" s="43">
        <v>1650</v>
      </c>
      <c r="J302" s="48">
        <v>143338.23</v>
      </c>
      <c r="K302" s="44">
        <v>72863.6</v>
      </c>
      <c r="L302" s="44">
        <v>70474.63</v>
      </c>
      <c r="M302" s="53" t="s">
        <v>1685</v>
      </c>
      <c r="N302" s="46" t="s">
        <v>1866</v>
      </c>
      <c r="O302" s="45" t="s">
        <v>1421</v>
      </c>
      <c r="P302" s="53" t="s">
        <v>1627</v>
      </c>
      <c r="Q302" s="53" t="s">
        <v>1628</v>
      </c>
      <c r="R302" s="53" t="s">
        <v>1629</v>
      </c>
      <c r="S302" s="46" t="s">
        <v>1630</v>
      </c>
      <c r="T302" s="53" t="s">
        <v>1700</v>
      </c>
      <c r="U302" s="46" t="s">
        <v>1532</v>
      </c>
      <c r="V302" s="49"/>
    </row>
    <row r="303" hidden="1" spans="1:22">
      <c r="A303" s="37">
        <v>540425201920020</v>
      </c>
      <c r="B303" s="38" t="s">
        <v>20</v>
      </c>
      <c r="C303" s="484" t="s">
        <v>2223</v>
      </c>
      <c r="D303" s="40" t="s">
        <v>2224</v>
      </c>
      <c r="E303" s="57">
        <v>2019.12</v>
      </c>
      <c r="F303" s="40" t="s">
        <v>2222</v>
      </c>
      <c r="G303" s="40" t="s">
        <v>2225</v>
      </c>
      <c r="H303" s="42">
        <v>10</v>
      </c>
      <c r="I303" s="43">
        <v>1</v>
      </c>
      <c r="J303" s="48">
        <v>115445.49</v>
      </c>
      <c r="K303" s="44">
        <v>58684.79</v>
      </c>
      <c r="L303" s="44">
        <v>56760.7</v>
      </c>
      <c r="M303" s="53" t="s">
        <v>1625</v>
      </c>
      <c r="N303" s="46" t="s">
        <v>1626</v>
      </c>
      <c r="O303" s="45" t="s">
        <v>1421</v>
      </c>
      <c r="P303" s="53" t="s">
        <v>1627</v>
      </c>
      <c r="Q303" s="53" t="s">
        <v>1628</v>
      </c>
      <c r="R303" s="53" t="s">
        <v>1629</v>
      </c>
      <c r="S303" s="46" t="s">
        <v>1630</v>
      </c>
      <c r="T303" s="53" t="s">
        <v>1700</v>
      </c>
      <c r="U303" s="46" t="s">
        <v>1532</v>
      </c>
      <c r="V303" s="49"/>
    </row>
    <row r="304" hidden="1" spans="1:22">
      <c r="A304" s="37">
        <v>540425201920020</v>
      </c>
      <c r="B304" s="38" t="s">
        <v>20</v>
      </c>
      <c r="C304" s="484" t="s">
        <v>2226</v>
      </c>
      <c r="D304" s="40" t="s">
        <v>2167</v>
      </c>
      <c r="E304" s="57">
        <v>2019.12</v>
      </c>
      <c r="F304" s="40" t="s">
        <v>2222</v>
      </c>
      <c r="G304" s="40" t="s">
        <v>2168</v>
      </c>
      <c r="H304" s="42">
        <v>10</v>
      </c>
      <c r="I304" s="43">
        <v>1</v>
      </c>
      <c r="J304" s="48">
        <v>198075.99</v>
      </c>
      <c r="K304" s="44">
        <v>100688.63</v>
      </c>
      <c r="L304" s="44">
        <v>97387.36</v>
      </c>
      <c r="M304" s="53" t="s">
        <v>1625</v>
      </c>
      <c r="N304" s="46" t="s">
        <v>1626</v>
      </c>
      <c r="O304" s="45" t="s">
        <v>1421</v>
      </c>
      <c r="P304" s="53" t="s">
        <v>1627</v>
      </c>
      <c r="Q304" s="53" t="s">
        <v>1628</v>
      </c>
      <c r="R304" s="53" t="s">
        <v>1629</v>
      </c>
      <c r="S304" s="46" t="s">
        <v>1630</v>
      </c>
      <c r="T304" s="53" t="s">
        <v>1700</v>
      </c>
      <c r="U304" s="46" t="s">
        <v>1532</v>
      </c>
      <c r="V304" s="49"/>
    </row>
    <row r="305" hidden="1" spans="1:22">
      <c r="A305" s="37">
        <v>540425202120037</v>
      </c>
      <c r="B305" s="38" t="s">
        <v>20</v>
      </c>
      <c r="C305" s="484" t="s">
        <v>2227</v>
      </c>
      <c r="D305" s="40" t="s">
        <v>2170</v>
      </c>
      <c r="E305" s="57">
        <v>2020.07</v>
      </c>
      <c r="F305" s="40" t="s">
        <v>2228</v>
      </c>
      <c r="G305" s="40" t="s">
        <v>1865</v>
      </c>
      <c r="H305" s="42">
        <v>10</v>
      </c>
      <c r="I305" s="43">
        <v>3766</v>
      </c>
      <c r="J305" s="48">
        <v>605537.34</v>
      </c>
      <c r="K305" s="44">
        <v>272491.8</v>
      </c>
      <c r="L305" s="44">
        <v>333045.54</v>
      </c>
      <c r="M305" s="53" t="s">
        <v>1685</v>
      </c>
      <c r="N305" s="46" t="s">
        <v>1866</v>
      </c>
      <c r="O305" s="45" t="s">
        <v>1421</v>
      </c>
      <c r="P305" s="53" t="s">
        <v>1627</v>
      </c>
      <c r="Q305" s="53" t="s">
        <v>1628</v>
      </c>
      <c r="R305" s="53" t="s">
        <v>1629</v>
      </c>
      <c r="S305" s="46" t="s">
        <v>1630</v>
      </c>
      <c r="T305" s="53" t="s">
        <v>1700</v>
      </c>
      <c r="U305" s="46" t="s">
        <v>1226</v>
      </c>
      <c r="V305" s="49"/>
    </row>
    <row r="306" hidden="1" spans="1:22">
      <c r="A306" s="37">
        <v>540425202120037</v>
      </c>
      <c r="B306" s="38" t="s">
        <v>20</v>
      </c>
      <c r="C306" s="484" t="s">
        <v>2229</v>
      </c>
      <c r="D306" s="40" t="s">
        <v>2167</v>
      </c>
      <c r="E306" s="57">
        <v>2020.07</v>
      </c>
      <c r="F306" s="40" t="s">
        <v>2228</v>
      </c>
      <c r="G306" s="40" t="s">
        <v>2168</v>
      </c>
      <c r="H306" s="42">
        <v>10</v>
      </c>
      <c r="I306" s="43">
        <v>1</v>
      </c>
      <c r="J306" s="48">
        <v>1061632.68</v>
      </c>
      <c r="K306" s="44">
        <v>477734.71</v>
      </c>
      <c r="L306" s="44">
        <v>583897.97</v>
      </c>
      <c r="M306" s="53" t="s">
        <v>1625</v>
      </c>
      <c r="N306" s="46" t="s">
        <v>1626</v>
      </c>
      <c r="O306" s="45" t="s">
        <v>1421</v>
      </c>
      <c r="P306" s="53" t="s">
        <v>1627</v>
      </c>
      <c r="Q306" s="53" t="s">
        <v>1628</v>
      </c>
      <c r="R306" s="53" t="s">
        <v>1629</v>
      </c>
      <c r="S306" s="46" t="s">
        <v>1630</v>
      </c>
      <c r="T306" s="53" t="s">
        <v>1700</v>
      </c>
      <c r="U306" s="46" t="s">
        <v>1226</v>
      </c>
      <c r="V306" s="49"/>
    </row>
    <row r="307" hidden="1" spans="1:22">
      <c r="A307" s="37">
        <v>540425202120037</v>
      </c>
      <c r="B307" s="38" t="s">
        <v>20</v>
      </c>
      <c r="C307" s="484" t="s">
        <v>2230</v>
      </c>
      <c r="D307" s="40" t="s">
        <v>1894</v>
      </c>
      <c r="E307" s="57">
        <v>2020.07</v>
      </c>
      <c r="F307" s="40" t="s">
        <v>2228</v>
      </c>
      <c r="G307" s="40" t="s">
        <v>2231</v>
      </c>
      <c r="H307" s="42">
        <v>10</v>
      </c>
      <c r="I307" s="43">
        <v>1</v>
      </c>
      <c r="J307" s="48">
        <v>268856.39</v>
      </c>
      <c r="K307" s="44">
        <v>120985.38</v>
      </c>
      <c r="L307" s="44">
        <v>147871.01</v>
      </c>
      <c r="M307" s="53" t="s">
        <v>1625</v>
      </c>
      <c r="N307" s="46" t="s">
        <v>1626</v>
      </c>
      <c r="O307" s="45" t="s">
        <v>1421</v>
      </c>
      <c r="P307" s="53" t="s">
        <v>1627</v>
      </c>
      <c r="Q307" s="53" t="s">
        <v>1628</v>
      </c>
      <c r="R307" s="53" t="s">
        <v>1629</v>
      </c>
      <c r="S307" s="46" t="s">
        <v>1630</v>
      </c>
      <c r="T307" s="53" t="s">
        <v>1700</v>
      </c>
      <c r="U307" s="46" t="s">
        <v>1226</v>
      </c>
      <c r="V307" s="49"/>
    </row>
    <row r="308" hidden="1" spans="1:22">
      <c r="A308" s="37">
        <v>540425201820009</v>
      </c>
      <c r="B308" s="38" t="s">
        <v>20</v>
      </c>
      <c r="C308" s="484" t="s">
        <v>2232</v>
      </c>
      <c r="D308" s="40" t="s">
        <v>2170</v>
      </c>
      <c r="E308" s="57">
        <v>2019.03</v>
      </c>
      <c r="F308" s="40" t="s">
        <v>2233</v>
      </c>
      <c r="G308" s="40" t="s">
        <v>1865</v>
      </c>
      <c r="H308" s="42">
        <v>10</v>
      </c>
      <c r="I308" s="43">
        <v>1663</v>
      </c>
      <c r="J308" s="48">
        <v>177900</v>
      </c>
      <c r="K308" s="44">
        <v>103775</v>
      </c>
      <c r="L308" s="44">
        <v>74125</v>
      </c>
      <c r="M308" s="53" t="s">
        <v>1685</v>
      </c>
      <c r="N308" s="46" t="s">
        <v>1866</v>
      </c>
      <c r="O308" s="45" t="s">
        <v>1421</v>
      </c>
      <c r="P308" s="53" t="s">
        <v>1627</v>
      </c>
      <c r="Q308" s="53" t="s">
        <v>1628</v>
      </c>
      <c r="R308" s="53" t="s">
        <v>1629</v>
      </c>
      <c r="S308" s="46" t="s">
        <v>1630</v>
      </c>
      <c r="T308" s="53" t="s">
        <v>1700</v>
      </c>
      <c r="U308" s="46" t="s">
        <v>1524</v>
      </c>
      <c r="V308" s="49"/>
    </row>
    <row r="309" hidden="1" spans="1:22">
      <c r="A309" s="37">
        <v>540425202020027</v>
      </c>
      <c r="B309" s="38" t="s">
        <v>20</v>
      </c>
      <c r="C309" s="484" t="s">
        <v>2234</v>
      </c>
      <c r="D309" s="40" t="s">
        <v>2167</v>
      </c>
      <c r="E309" s="57">
        <v>2021.04</v>
      </c>
      <c r="F309" s="40" t="s">
        <v>2235</v>
      </c>
      <c r="G309" s="40" t="s">
        <v>2168</v>
      </c>
      <c r="H309" s="42">
        <v>10</v>
      </c>
      <c r="I309" s="43">
        <v>1</v>
      </c>
      <c r="J309" s="48">
        <v>513200</v>
      </c>
      <c r="K309" s="44">
        <v>192450</v>
      </c>
      <c r="L309" s="44">
        <v>320750</v>
      </c>
      <c r="M309" s="53" t="s">
        <v>1625</v>
      </c>
      <c r="N309" s="46" t="s">
        <v>1626</v>
      </c>
      <c r="O309" s="45" t="s">
        <v>1421</v>
      </c>
      <c r="P309" s="53" t="s">
        <v>1627</v>
      </c>
      <c r="Q309" s="53" t="s">
        <v>1688</v>
      </c>
      <c r="R309" s="53" t="s">
        <v>1636</v>
      </c>
      <c r="S309" s="46" t="s">
        <v>1630</v>
      </c>
      <c r="T309" s="53" t="s">
        <v>1700</v>
      </c>
      <c r="U309" s="46" t="s">
        <v>1554</v>
      </c>
      <c r="V309" s="49"/>
    </row>
    <row r="310" hidden="1" spans="1:22">
      <c r="A310" s="37">
        <v>540425202020027</v>
      </c>
      <c r="B310" s="38" t="s">
        <v>20</v>
      </c>
      <c r="C310" s="484" t="s">
        <v>2236</v>
      </c>
      <c r="D310" s="40" t="s">
        <v>2170</v>
      </c>
      <c r="E310" s="57">
        <v>2021.04</v>
      </c>
      <c r="F310" s="40" t="s">
        <v>2235</v>
      </c>
      <c r="G310" s="40" t="s">
        <v>1865</v>
      </c>
      <c r="H310" s="42">
        <v>10</v>
      </c>
      <c r="I310" s="43">
        <v>6667</v>
      </c>
      <c r="J310" s="48">
        <v>1252842.42</v>
      </c>
      <c r="K310" s="44">
        <v>469815.91</v>
      </c>
      <c r="L310" s="44">
        <v>783026.51</v>
      </c>
      <c r="M310" s="53" t="s">
        <v>1685</v>
      </c>
      <c r="N310" s="46" t="s">
        <v>1866</v>
      </c>
      <c r="O310" s="45" t="s">
        <v>1421</v>
      </c>
      <c r="P310" s="53" t="s">
        <v>1627</v>
      </c>
      <c r="Q310" s="53" t="s">
        <v>1688</v>
      </c>
      <c r="R310" s="53" t="s">
        <v>1636</v>
      </c>
      <c r="S310" s="46" t="s">
        <v>1630</v>
      </c>
      <c r="T310" s="53" t="s">
        <v>1700</v>
      </c>
      <c r="U310" s="46" t="s">
        <v>1554</v>
      </c>
      <c r="V310" s="49"/>
    </row>
    <row r="311" hidden="1" spans="1:22">
      <c r="A311" s="37">
        <v>540425202020023</v>
      </c>
      <c r="B311" s="38" t="s">
        <v>20</v>
      </c>
      <c r="C311" s="484" t="s">
        <v>2237</v>
      </c>
      <c r="D311" s="40" t="s">
        <v>2170</v>
      </c>
      <c r="E311" s="57">
        <v>2020.07</v>
      </c>
      <c r="F311" s="40" t="s">
        <v>2135</v>
      </c>
      <c r="G311" s="40" t="s">
        <v>1865</v>
      </c>
      <c r="H311" s="42">
        <v>10</v>
      </c>
      <c r="I311" s="43">
        <v>4968</v>
      </c>
      <c r="J311" s="48">
        <v>490760</v>
      </c>
      <c r="K311" s="44">
        <v>229021.3</v>
      </c>
      <c r="L311" s="44">
        <v>261738.7</v>
      </c>
      <c r="M311" s="53" t="s">
        <v>1685</v>
      </c>
      <c r="N311" s="46" t="s">
        <v>1866</v>
      </c>
      <c r="O311" s="45" t="s">
        <v>1421</v>
      </c>
      <c r="P311" s="53" t="s">
        <v>1627</v>
      </c>
      <c r="Q311" s="53" t="s">
        <v>1688</v>
      </c>
      <c r="R311" s="53" t="s">
        <v>1636</v>
      </c>
      <c r="S311" s="46" t="s">
        <v>1630</v>
      </c>
      <c r="T311" s="53" t="s">
        <v>1700</v>
      </c>
      <c r="U311" s="46" t="s">
        <v>1516</v>
      </c>
      <c r="V311" s="49"/>
    </row>
    <row r="312" hidden="1" spans="1:22">
      <c r="A312" s="37">
        <v>540425202020023</v>
      </c>
      <c r="B312" s="38" t="s">
        <v>20</v>
      </c>
      <c r="C312" s="484" t="s">
        <v>2238</v>
      </c>
      <c r="D312" s="40" t="s">
        <v>1744</v>
      </c>
      <c r="E312" s="57">
        <v>2020.07</v>
      </c>
      <c r="F312" s="40" t="s">
        <v>2135</v>
      </c>
      <c r="G312" s="40" t="s">
        <v>1647</v>
      </c>
      <c r="H312" s="42">
        <v>10</v>
      </c>
      <c r="I312" s="43">
        <v>2</v>
      </c>
      <c r="J312" s="48">
        <v>371600</v>
      </c>
      <c r="K312" s="44">
        <v>173413.3</v>
      </c>
      <c r="L312" s="44">
        <v>198186.7</v>
      </c>
      <c r="M312" s="53" t="s">
        <v>1625</v>
      </c>
      <c r="N312" s="46" t="s">
        <v>1626</v>
      </c>
      <c r="O312" s="45" t="s">
        <v>1421</v>
      </c>
      <c r="P312" s="53" t="s">
        <v>1627</v>
      </c>
      <c r="Q312" s="53" t="s">
        <v>1688</v>
      </c>
      <c r="R312" s="53" t="s">
        <v>1636</v>
      </c>
      <c r="S312" s="46" t="s">
        <v>1630</v>
      </c>
      <c r="T312" s="53" t="s">
        <v>1700</v>
      </c>
      <c r="U312" s="46" t="s">
        <v>1516</v>
      </c>
      <c r="V312" s="49"/>
    </row>
    <row r="313" hidden="1" spans="1:22">
      <c r="A313" s="37">
        <v>540425201718001</v>
      </c>
      <c r="B313" s="38" t="s">
        <v>20</v>
      </c>
      <c r="C313" s="484" t="s">
        <v>2239</v>
      </c>
      <c r="D313" s="40" t="s">
        <v>2240</v>
      </c>
      <c r="E313" s="57">
        <v>2019.07</v>
      </c>
      <c r="F313" s="40" t="s">
        <v>952</v>
      </c>
      <c r="G313" s="40" t="s">
        <v>1642</v>
      </c>
      <c r="H313" s="42">
        <v>20</v>
      </c>
      <c r="I313" s="43">
        <v>1</v>
      </c>
      <c r="J313" s="48">
        <v>3016845.89</v>
      </c>
      <c r="K313" s="44">
        <v>829632.62</v>
      </c>
      <c r="L313" s="44">
        <v>2187213.27</v>
      </c>
      <c r="M313" s="53" t="s">
        <v>1625</v>
      </c>
      <c r="N313" s="46" t="s">
        <v>1643</v>
      </c>
      <c r="O313" s="45" t="s">
        <v>1426</v>
      </c>
      <c r="P313" s="53" t="s">
        <v>1627</v>
      </c>
      <c r="Q313" s="53" t="s">
        <v>1628</v>
      </c>
      <c r="R313" s="53" t="s">
        <v>1629</v>
      </c>
      <c r="S313" s="46" t="s">
        <v>1630</v>
      </c>
      <c r="T313" s="53" t="s">
        <v>1700</v>
      </c>
      <c r="U313" s="46" t="s">
        <v>375</v>
      </c>
      <c r="V313" s="49"/>
    </row>
    <row r="314" hidden="1" spans="1:22">
      <c r="A314" s="37">
        <v>540425201718001</v>
      </c>
      <c r="B314" s="38" t="s">
        <v>20</v>
      </c>
      <c r="C314" s="484" t="s">
        <v>2241</v>
      </c>
      <c r="D314" s="40" t="s">
        <v>2242</v>
      </c>
      <c r="E314" s="57">
        <v>2019.07</v>
      </c>
      <c r="F314" s="40" t="s">
        <v>952</v>
      </c>
      <c r="G314" s="40" t="s">
        <v>1642</v>
      </c>
      <c r="H314" s="42">
        <v>20</v>
      </c>
      <c r="I314" s="43">
        <v>1</v>
      </c>
      <c r="J314" s="48">
        <v>9097118.43</v>
      </c>
      <c r="K314" s="44">
        <v>2501707.57</v>
      </c>
      <c r="L314" s="44">
        <v>6595410.86</v>
      </c>
      <c r="M314" s="53" t="s">
        <v>1625</v>
      </c>
      <c r="N314" s="46" t="s">
        <v>1643</v>
      </c>
      <c r="O314" s="45" t="s">
        <v>1426</v>
      </c>
      <c r="P314" s="53" t="s">
        <v>1627</v>
      </c>
      <c r="Q314" s="53" t="s">
        <v>1628</v>
      </c>
      <c r="R314" s="53" t="s">
        <v>1629</v>
      </c>
      <c r="S314" s="46" t="s">
        <v>1630</v>
      </c>
      <c r="T314" s="53" t="s">
        <v>1700</v>
      </c>
      <c r="U314" s="46" t="s">
        <v>375</v>
      </c>
      <c r="V314" s="49"/>
    </row>
    <row r="315" hidden="1" spans="1:22">
      <c r="A315" s="37">
        <v>540425201718001</v>
      </c>
      <c r="B315" s="38" t="s">
        <v>20</v>
      </c>
      <c r="C315" s="484" t="s">
        <v>2243</v>
      </c>
      <c r="D315" s="40" t="s">
        <v>2244</v>
      </c>
      <c r="E315" s="57">
        <v>2019.07</v>
      </c>
      <c r="F315" s="40" t="s">
        <v>952</v>
      </c>
      <c r="G315" s="40" t="s">
        <v>1642</v>
      </c>
      <c r="H315" s="42">
        <v>20</v>
      </c>
      <c r="I315" s="43">
        <v>1</v>
      </c>
      <c r="J315" s="48">
        <v>498925.92</v>
      </c>
      <c r="K315" s="44">
        <v>137204.63</v>
      </c>
      <c r="L315" s="44">
        <v>361721.29</v>
      </c>
      <c r="M315" s="53" t="s">
        <v>1625</v>
      </c>
      <c r="N315" s="46" t="s">
        <v>1643</v>
      </c>
      <c r="O315" s="45" t="s">
        <v>1426</v>
      </c>
      <c r="P315" s="53" t="s">
        <v>1627</v>
      </c>
      <c r="Q315" s="53" t="s">
        <v>1628</v>
      </c>
      <c r="R315" s="53" t="s">
        <v>1629</v>
      </c>
      <c r="S315" s="46" t="s">
        <v>1630</v>
      </c>
      <c r="T315" s="53" t="s">
        <v>1700</v>
      </c>
      <c r="U315" s="46" t="s">
        <v>375</v>
      </c>
      <c r="V315" s="49"/>
    </row>
    <row r="316" hidden="1" spans="1:22">
      <c r="A316" s="37">
        <v>540425201718001</v>
      </c>
      <c r="B316" s="38" t="s">
        <v>20</v>
      </c>
      <c r="C316" s="484" t="s">
        <v>2245</v>
      </c>
      <c r="D316" s="40" t="s">
        <v>1831</v>
      </c>
      <c r="E316" s="57">
        <v>2019.07</v>
      </c>
      <c r="F316" s="40" t="s">
        <v>952</v>
      </c>
      <c r="G316" s="40" t="s">
        <v>1642</v>
      </c>
      <c r="H316" s="42">
        <v>20</v>
      </c>
      <c r="I316" s="43">
        <v>1</v>
      </c>
      <c r="J316" s="48">
        <v>66236.25</v>
      </c>
      <c r="K316" s="44">
        <v>18214.97</v>
      </c>
      <c r="L316" s="44">
        <v>48021.28</v>
      </c>
      <c r="M316" s="53" t="s">
        <v>1625</v>
      </c>
      <c r="N316" s="46" t="s">
        <v>1643</v>
      </c>
      <c r="O316" s="45" t="s">
        <v>1426</v>
      </c>
      <c r="P316" s="53" t="s">
        <v>1627</v>
      </c>
      <c r="Q316" s="53" t="s">
        <v>1628</v>
      </c>
      <c r="R316" s="53" t="s">
        <v>1629</v>
      </c>
      <c r="S316" s="46" t="s">
        <v>1630</v>
      </c>
      <c r="T316" s="53" t="s">
        <v>1700</v>
      </c>
      <c r="U316" s="46" t="s">
        <v>375</v>
      </c>
      <c r="V316" s="49"/>
    </row>
    <row r="317" hidden="1" spans="1:22">
      <c r="A317" s="37">
        <v>540425201718001</v>
      </c>
      <c r="B317" s="38" t="s">
        <v>20</v>
      </c>
      <c r="C317" s="484" t="s">
        <v>2246</v>
      </c>
      <c r="D317" s="40" t="s">
        <v>2247</v>
      </c>
      <c r="E317" s="57">
        <v>2019.07</v>
      </c>
      <c r="F317" s="40" t="s">
        <v>952</v>
      </c>
      <c r="G317" s="40" t="s">
        <v>1642</v>
      </c>
      <c r="H317" s="42">
        <v>20</v>
      </c>
      <c r="I317" s="43">
        <v>1</v>
      </c>
      <c r="J317" s="48">
        <v>189150.27</v>
      </c>
      <c r="K317" s="44">
        <v>52016.32</v>
      </c>
      <c r="L317" s="44">
        <v>137133.95</v>
      </c>
      <c r="M317" s="53" t="s">
        <v>1625</v>
      </c>
      <c r="N317" s="46" t="s">
        <v>1643</v>
      </c>
      <c r="O317" s="45" t="s">
        <v>1426</v>
      </c>
      <c r="P317" s="53" t="s">
        <v>1627</v>
      </c>
      <c r="Q317" s="53" t="s">
        <v>1628</v>
      </c>
      <c r="R317" s="53" t="s">
        <v>1878</v>
      </c>
      <c r="S317" s="46" t="s">
        <v>1630</v>
      </c>
      <c r="T317" s="53" t="s">
        <v>1700</v>
      </c>
      <c r="U317" s="46" t="s">
        <v>375</v>
      </c>
      <c r="V317" s="49"/>
    </row>
    <row r="318" hidden="1" spans="1:22">
      <c r="A318" s="37">
        <v>540425201718001</v>
      </c>
      <c r="B318" s="38" t="s">
        <v>20</v>
      </c>
      <c r="C318" s="484" t="s">
        <v>2248</v>
      </c>
      <c r="D318" s="40" t="s">
        <v>1843</v>
      </c>
      <c r="E318" s="57">
        <v>2019.07</v>
      </c>
      <c r="F318" s="40" t="s">
        <v>952</v>
      </c>
      <c r="G318" s="40" t="s">
        <v>1647</v>
      </c>
      <c r="H318" s="42">
        <v>10</v>
      </c>
      <c r="I318" s="43">
        <v>1</v>
      </c>
      <c r="J318" s="48">
        <v>33252.75</v>
      </c>
      <c r="K318" s="44">
        <v>18289.01</v>
      </c>
      <c r="L318" s="44">
        <v>14963.74</v>
      </c>
      <c r="M318" s="53" t="s">
        <v>1625</v>
      </c>
      <c r="N318" s="46" t="s">
        <v>1626</v>
      </c>
      <c r="O318" s="45" t="s">
        <v>1426</v>
      </c>
      <c r="P318" s="53" t="s">
        <v>1627</v>
      </c>
      <c r="Q318" s="53" t="s">
        <v>1628</v>
      </c>
      <c r="R318" s="53" t="s">
        <v>1629</v>
      </c>
      <c r="S318" s="46" t="s">
        <v>1630</v>
      </c>
      <c r="T318" s="53" t="s">
        <v>1700</v>
      </c>
      <c r="U318" s="46" t="s">
        <v>375</v>
      </c>
      <c r="V318" s="49"/>
    </row>
    <row r="319" hidden="1" spans="1:22">
      <c r="A319" s="37">
        <v>540425201718001</v>
      </c>
      <c r="B319" s="38" t="s">
        <v>20</v>
      </c>
      <c r="C319" s="484" t="s">
        <v>2249</v>
      </c>
      <c r="D319" s="40" t="s">
        <v>2250</v>
      </c>
      <c r="E319" s="57">
        <v>2019.07</v>
      </c>
      <c r="F319" s="40" t="s">
        <v>952</v>
      </c>
      <c r="G319" s="40" t="s">
        <v>1675</v>
      </c>
      <c r="H319" s="42">
        <v>10</v>
      </c>
      <c r="I319" s="43">
        <v>1</v>
      </c>
      <c r="J319" s="48">
        <v>180000</v>
      </c>
      <c r="K319" s="44">
        <v>99000</v>
      </c>
      <c r="L319" s="44">
        <v>81000</v>
      </c>
      <c r="M319" s="53" t="s">
        <v>1625</v>
      </c>
      <c r="N319" s="46" t="s">
        <v>1652</v>
      </c>
      <c r="O319" s="45" t="s">
        <v>1426</v>
      </c>
      <c r="P319" s="53" t="s">
        <v>1627</v>
      </c>
      <c r="Q319" s="53" t="s">
        <v>1628</v>
      </c>
      <c r="R319" s="53" t="s">
        <v>1629</v>
      </c>
      <c r="S319" s="46" t="s">
        <v>1630</v>
      </c>
      <c r="T319" s="53" t="s">
        <v>1700</v>
      </c>
      <c r="U319" s="46" t="s">
        <v>375</v>
      </c>
      <c r="V319" s="49"/>
    </row>
    <row r="320" hidden="1" spans="1:22">
      <c r="A320" s="37">
        <v>540425201917009</v>
      </c>
      <c r="B320" s="38" t="s">
        <v>20</v>
      </c>
      <c r="C320" s="484" t="s">
        <v>2251</v>
      </c>
      <c r="D320" s="40" t="s">
        <v>2252</v>
      </c>
      <c r="E320" s="57">
        <v>2020.02</v>
      </c>
      <c r="F320" s="40" t="s">
        <v>2214</v>
      </c>
      <c r="G320" s="40" t="s">
        <v>1642</v>
      </c>
      <c r="H320" s="42">
        <v>20</v>
      </c>
      <c r="I320" s="43">
        <v>1</v>
      </c>
      <c r="J320" s="48">
        <v>758182.07</v>
      </c>
      <c r="K320" s="44">
        <v>186386.43</v>
      </c>
      <c r="L320" s="44">
        <v>571795.64</v>
      </c>
      <c r="M320" s="53" t="s">
        <v>1625</v>
      </c>
      <c r="N320" s="46" t="s">
        <v>1643</v>
      </c>
      <c r="O320" s="45" t="s">
        <v>1421</v>
      </c>
      <c r="P320" s="53" t="s">
        <v>1627</v>
      </c>
      <c r="Q320" s="53" t="s">
        <v>1628</v>
      </c>
      <c r="R320" s="53" t="s">
        <v>1629</v>
      </c>
      <c r="S320" s="46" t="s">
        <v>1630</v>
      </c>
      <c r="T320" s="53" t="s">
        <v>1700</v>
      </c>
      <c r="U320" s="46" t="s">
        <v>1064</v>
      </c>
      <c r="V320" s="49"/>
    </row>
    <row r="321" hidden="1" spans="1:22">
      <c r="A321" s="37">
        <v>540425201917009</v>
      </c>
      <c r="B321" s="38" t="s">
        <v>20</v>
      </c>
      <c r="C321" s="484" t="s">
        <v>2253</v>
      </c>
      <c r="D321" s="40" t="s">
        <v>2254</v>
      </c>
      <c r="E321" s="57">
        <v>2020.02</v>
      </c>
      <c r="F321" s="40" t="s">
        <v>2214</v>
      </c>
      <c r="G321" s="40" t="s">
        <v>2255</v>
      </c>
      <c r="H321" s="42">
        <v>5</v>
      </c>
      <c r="I321" s="43">
        <v>14</v>
      </c>
      <c r="J321" s="48">
        <v>16800</v>
      </c>
      <c r="K321" s="44">
        <v>16520</v>
      </c>
      <c r="L321" s="44">
        <v>280</v>
      </c>
      <c r="M321" s="53" t="s">
        <v>1625</v>
      </c>
      <c r="N321" s="46" t="s">
        <v>2256</v>
      </c>
      <c r="O321" s="45" t="s">
        <v>1421</v>
      </c>
      <c r="P321" s="53" t="s">
        <v>1627</v>
      </c>
      <c r="Q321" s="53" t="s">
        <v>1628</v>
      </c>
      <c r="R321" s="53" t="s">
        <v>1629</v>
      </c>
      <c r="S321" s="46" t="s">
        <v>1630</v>
      </c>
      <c r="T321" s="53" t="s">
        <v>1700</v>
      </c>
      <c r="U321" s="46" t="s">
        <v>1064</v>
      </c>
      <c r="V321" s="49"/>
    </row>
    <row r="322" hidden="1" spans="1:22">
      <c r="A322" s="37">
        <v>540425201917009</v>
      </c>
      <c r="B322" s="38" t="s">
        <v>20</v>
      </c>
      <c r="C322" s="484" t="s">
        <v>2257</v>
      </c>
      <c r="D322" s="40" t="s">
        <v>2258</v>
      </c>
      <c r="E322" s="57">
        <v>2020.02</v>
      </c>
      <c r="F322" s="40" t="s">
        <v>2214</v>
      </c>
      <c r="G322" s="40" t="s">
        <v>1675</v>
      </c>
      <c r="H322" s="42">
        <v>5</v>
      </c>
      <c r="I322" s="43">
        <v>1</v>
      </c>
      <c r="J322" s="48">
        <v>2500</v>
      </c>
      <c r="K322" s="44">
        <v>2458.33</v>
      </c>
      <c r="L322" s="44">
        <v>41.6700000000001</v>
      </c>
      <c r="M322" s="53" t="s">
        <v>1625</v>
      </c>
      <c r="N322" s="46" t="s">
        <v>2256</v>
      </c>
      <c r="O322" s="45" t="s">
        <v>1421</v>
      </c>
      <c r="P322" s="53" t="s">
        <v>1627</v>
      </c>
      <c r="Q322" s="53" t="s">
        <v>1628</v>
      </c>
      <c r="R322" s="53" t="s">
        <v>1629</v>
      </c>
      <c r="S322" s="46" t="s">
        <v>1630</v>
      </c>
      <c r="T322" s="53" t="s">
        <v>1700</v>
      </c>
      <c r="U322" s="46" t="s">
        <v>1064</v>
      </c>
      <c r="V322" s="49"/>
    </row>
    <row r="323" hidden="1" spans="1:22">
      <c r="A323" s="37">
        <v>540425201917009</v>
      </c>
      <c r="B323" s="38" t="s">
        <v>20</v>
      </c>
      <c r="C323" s="484" t="s">
        <v>2259</v>
      </c>
      <c r="D323" s="40" t="s">
        <v>2260</v>
      </c>
      <c r="E323" s="57">
        <v>2020.02</v>
      </c>
      <c r="F323" s="40" t="s">
        <v>2214</v>
      </c>
      <c r="G323" s="40" t="s">
        <v>1675</v>
      </c>
      <c r="H323" s="42">
        <v>5</v>
      </c>
      <c r="I323" s="43">
        <v>1</v>
      </c>
      <c r="J323" s="48">
        <v>5000</v>
      </c>
      <c r="K323" s="44">
        <v>4916.67</v>
      </c>
      <c r="L323" s="44">
        <v>83.3299999999999</v>
      </c>
      <c r="M323" s="53" t="s">
        <v>1625</v>
      </c>
      <c r="N323" s="46" t="s">
        <v>2256</v>
      </c>
      <c r="O323" s="45" t="s">
        <v>1421</v>
      </c>
      <c r="P323" s="53" t="s">
        <v>1627</v>
      </c>
      <c r="Q323" s="53" t="s">
        <v>1628</v>
      </c>
      <c r="R323" s="53" t="s">
        <v>1629</v>
      </c>
      <c r="S323" s="46" t="s">
        <v>1630</v>
      </c>
      <c r="T323" s="53" t="s">
        <v>1700</v>
      </c>
      <c r="U323" s="46" t="s">
        <v>1064</v>
      </c>
      <c r="V323" s="49"/>
    </row>
    <row r="324" hidden="1" spans="1:22">
      <c r="A324" s="37">
        <v>540425202017012</v>
      </c>
      <c r="B324" s="38" t="s">
        <v>20</v>
      </c>
      <c r="C324" s="484" t="s">
        <v>2261</v>
      </c>
      <c r="D324" s="40" t="s">
        <v>2262</v>
      </c>
      <c r="E324" s="57">
        <v>2020.11</v>
      </c>
      <c r="F324" s="40" t="s">
        <v>2209</v>
      </c>
      <c r="G324" s="40" t="s">
        <v>2263</v>
      </c>
      <c r="H324" s="42">
        <v>20</v>
      </c>
      <c r="I324" s="43">
        <v>1</v>
      </c>
      <c r="J324" s="48">
        <v>331200</v>
      </c>
      <c r="K324" s="44">
        <v>69000</v>
      </c>
      <c r="L324" s="44">
        <v>262200</v>
      </c>
      <c r="M324" s="53" t="s">
        <v>1625</v>
      </c>
      <c r="N324" s="46" t="s">
        <v>1643</v>
      </c>
      <c r="O324" s="45" t="s">
        <v>1421</v>
      </c>
      <c r="P324" s="53" t="s">
        <v>1627</v>
      </c>
      <c r="Q324" s="53" t="s">
        <v>1628</v>
      </c>
      <c r="R324" s="53" t="s">
        <v>1629</v>
      </c>
      <c r="S324" s="46" t="s">
        <v>1630</v>
      </c>
      <c r="T324" s="53" t="s">
        <v>1627</v>
      </c>
      <c r="U324" s="46" t="s">
        <v>1556</v>
      </c>
      <c r="V324" s="49"/>
    </row>
    <row r="325" hidden="1" spans="1:22">
      <c r="A325" s="37">
        <v>540425202017012</v>
      </c>
      <c r="B325" s="38" t="s">
        <v>20</v>
      </c>
      <c r="C325" s="484" t="s">
        <v>2264</v>
      </c>
      <c r="D325" s="40" t="s">
        <v>2265</v>
      </c>
      <c r="E325" s="57">
        <v>2020.11</v>
      </c>
      <c r="F325" s="40" t="s">
        <v>2209</v>
      </c>
      <c r="G325" s="40" t="s">
        <v>2266</v>
      </c>
      <c r="H325" s="42">
        <v>20</v>
      </c>
      <c r="I325" s="43">
        <v>1</v>
      </c>
      <c r="J325" s="48">
        <v>234800</v>
      </c>
      <c r="K325" s="44">
        <v>48916.67</v>
      </c>
      <c r="L325" s="44">
        <v>185883.33</v>
      </c>
      <c r="M325" s="53" t="s">
        <v>1625</v>
      </c>
      <c r="N325" s="46" t="s">
        <v>1643</v>
      </c>
      <c r="O325" s="45" t="s">
        <v>1421</v>
      </c>
      <c r="P325" s="53" t="s">
        <v>1627</v>
      </c>
      <c r="Q325" s="53" t="s">
        <v>1628</v>
      </c>
      <c r="R325" s="53" t="s">
        <v>1629</v>
      </c>
      <c r="S325" s="46" t="s">
        <v>1630</v>
      </c>
      <c r="T325" s="53" t="s">
        <v>1627</v>
      </c>
      <c r="U325" s="46" t="s">
        <v>1556</v>
      </c>
      <c r="V325" s="49"/>
    </row>
    <row r="326" hidden="1" spans="1:22">
      <c r="A326" s="37">
        <v>540425202017012</v>
      </c>
      <c r="B326" s="38" t="s">
        <v>20</v>
      </c>
      <c r="C326" s="484" t="s">
        <v>2267</v>
      </c>
      <c r="D326" s="40" t="s">
        <v>2268</v>
      </c>
      <c r="E326" s="57">
        <v>2020.11</v>
      </c>
      <c r="F326" s="40" t="s">
        <v>2209</v>
      </c>
      <c r="G326" s="40" t="s">
        <v>2269</v>
      </c>
      <c r="H326" s="42">
        <v>20</v>
      </c>
      <c r="I326" s="43">
        <v>1</v>
      </c>
      <c r="J326" s="48">
        <v>202200</v>
      </c>
      <c r="K326" s="44">
        <v>42125</v>
      </c>
      <c r="L326" s="44">
        <v>160075</v>
      </c>
      <c r="M326" s="53" t="s">
        <v>1625</v>
      </c>
      <c r="N326" s="46" t="s">
        <v>1643</v>
      </c>
      <c r="O326" s="45" t="s">
        <v>1421</v>
      </c>
      <c r="P326" s="53" t="s">
        <v>1627</v>
      </c>
      <c r="Q326" s="53" t="s">
        <v>1628</v>
      </c>
      <c r="R326" s="53" t="s">
        <v>1629</v>
      </c>
      <c r="S326" s="46" t="s">
        <v>1630</v>
      </c>
      <c r="T326" s="53" t="s">
        <v>1627</v>
      </c>
      <c r="U326" s="46" t="s">
        <v>1556</v>
      </c>
      <c r="V326" s="49"/>
    </row>
    <row r="327" hidden="1" spans="1:22">
      <c r="A327" s="37">
        <v>540425202017012</v>
      </c>
      <c r="B327" s="38" t="s">
        <v>20</v>
      </c>
      <c r="C327" s="484" t="s">
        <v>2270</v>
      </c>
      <c r="D327" s="40" t="s">
        <v>2271</v>
      </c>
      <c r="E327" s="57">
        <v>2020.11</v>
      </c>
      <c r="F327" s="40" t="s">
        <v>2209</v>
      </c>
      <c r="G327" s="40" t="s">
        <v>2272</v>
      </c>
      <c r="H327" s="42">
        <v>20</v>
      </c>
      <c r="I327" s="43">
        <v>1</v>
      </c>
      <c r="J327" s="48">
        <v>3157386.35</v>
      </c>
      <c r="K327" s="44">
        <v>657788.82</v>
      </c>
      <c r="L327" s="44">
        <v>2499597.53</v>
      </c>
      <c r="M327" s="53" t="s">
        <v>1625</v>
      </c>
      <c r="N327" s="46" t="s">
        <v>1643</v>
      </c>
      <c r="O327" s="45" t="s">
        <v>1421</v>
      </c>
      <c r="P327" s="53" t="s">
        <v>1627</v>
      </c>
      <c r="Q327" s="53" t="s">
        <v>1628</v>
      </c>
      <c r="R327" s="53" t="s">
        <v>1629</v>
      </c>
      <c r="S327" s="46" t="s">
        <v>1630</v>
      </c>
      <c r="T327" s="53" t="s">
        <v>1627</v>
      </c>
      <c r="U327" s="46" t="s">
        <v>1556</v>
      </c>
      <c r="V327" s="49"/>
    </row>
    <row r="328" hidden="1" spans="1:22">
      <c r="A328" s="37">
        <v>540425202017012</v>
      </c>
      <c r="B328" s="38" t="s">
        <v>20</v>
      </c>
      <c r="C328" s="484" t="s">
        <v>2273</v>
      </c>
      <c r="D328" s="40" t="s">
        <v>2274</v>
      </c>
      <c r="E328" s="57">
        <v>2020.11</v>
      </c>
      <c r="F328" s="40" t="s">
        <v>2209</v>
      </c>
      <c r="G328" s="40" t="s">
        <v>1675</v>
      </c>
      <c r="H328" s="42">
        <v>5</v>
      </c>
      <c r="I328" s="43">
        <v>1</v>
      </c>
      <c r="J328" s="48">
        <v>249000</v>
      </c>
      <c r="K328" s="44">
        <v>207500</v>
      </c>
      <c r="L328" s="44">
        <v>41500</v>
      </c>
      <c r="M328" s="53" t="s">
        <v>1625</v>
      </c>
      <c r="N328" s="46" t="s">
        <v>2256</v>
      </c>
      <c r="O328" s="45" t="s">
        <v>1421</v>
      </c>
      <c r="P328" s="53" t="s">
        <v>1627</v>
      </c>
      <c r="Q328" s="53" t="s">
        <v>1628</v>
      </c>
      <c r="R328" s="53" t="s">
        <v>1629</v>
      </c>
      <c r="S328" s="46" t="s">
        <v>1630</v>
      </c>
      <c r="T328" s="53" t="s">
        <v>1627</v>
      </c>
      <c r="U328" s="46" t="s">
        <v>1556</v>
      </c>
      <c r="V328" s="49"/>
    </row>
    <row r="329" hidden="1" spans="1:22">
      <c r="A329" s="37">
        <v>540425202017012</v>
      </c>
      <c r="B329" s="38" t="s">
        <v>20</v>
      </c>
      <c r="C329" s="484" t="s">
        <v>2275</v>
      </c>
      <c r="D329" s="40" t="s">
        <v>2276</v>
      </c>
      <c r="E329" s="57">
        <v>2020.11</v>
      </c>
      <c r="F329" s="40" t="s">
        <v>2209</v>
      </c>
      <c r="G329" s="40" t="s">
        <v>2168</v>
      </c>
      <c r="H329" s="42">
        <v>5</v>
      </c>
      <c r="I329" s="43">
        <v>1</v>
      </c>
      <c r="J329" s="48">
        <v>745380</v>
      </c>
      <c r="K329" s="44">
        <v>621150</v>
      </c>
      <c r="L329" s="44">
        <v>124230</v>
      </c>
      <c r="M329" s="53" t="s">
        <v>1625</v>
      </c>
      <c r="N329" s="46" t="s">
        <v>2256</v>
      </c>
      <c r="O329" s="45" t="s">
        <v>1421</v>
      </c>
      <c r="P329" s="53" t="s">
        <v>1627</v>
      </c>
      <c r="Q329" s="53" t="s">
        <v>1628</v>
      </c>
      <c r="R329" s="53" t="s">
        <v>1629</v>
      </c>
      <c r="S329" s="46" t="s">
        <v>1630</v>
      </c>
      <c r="T329" s="53" t="s">
        <v>1627</v>
      </c>
      <c r="U329" s="46" t="s">
        <v>1556</v>
      </c>
      <c r="V329" s="49"/>
    </row>
    <row r="330" hidden="1" spans="1:22">
      <c r="A330" s="37">
        <v>540425201907016</v>
      </c>
      <c r="B330" s="38" t="s">
        <v>20</v>
      </c>
      <c r="C330" s="484" t="s">
        <v>2277</v>
      </c>
      <c r="D330" s="40" t="s">
        <v>1698</v>
      </c>
      <c r="E330" s="57">
        <v>2020.03</v>
      </c>
      <c r="F330" s="40" t="s">
        <v>2278</v>
      </c>
      <c r="G330" s="40" t="s">
        <v>1642</v>
      </c>
      <c r="H330" s="42">
        <v>20</v>
      </c>
      <c r="I330" s="43">
        <v>1</v>
      </c>
      <c r="J330" s="48">
        <v>366700</v>
      </c>
      <c r="K330" s="44">
        <v>177238.33</v>
      </c>
      <c r="L330" s="44">
        <v>189461.67</v>
      </c>
      <c r="M330" s="53" t="s">
        <v>1625</v>
      </c>
      <c r="N330" s="46" t="s">
        <v>1643</v>
      </c>
      <c r="O330" s="45" t="s">
        <v>1421</v>
      </c>
      <c r="P330" s="53" t="s">
        <v>1627</v>
      </c>
      <c r="Q330" s="53" t="s">
        <v>1688</v>
      </c>
      <c r="R330" s="53" t="s">
        <v>1636</v>
      </c>
      <c r="S330" s="46" t="s">
        <v>1630</v>
      </c>
      <c r="T330" s="53" t="s">
        <v>1636</v>
      </c>
      <c r="U330" s="46" t="s">
        <v>1535</v>
      </c>
      <c r="V330" s="49"/>
    </row>
    <row r="331" hidden="1" spans="1:22">
      <c r="A331" s="37">
        <v>540425201907016</v>
      </c>
      <c r="B331" s="38" t="s">
        <v>20</v>
      </c>
      <c r="C331" s="484" t="s">
        <v>2279</v>
      </c>
      <c r="D331" s="40" t="s">
        <v>1709</v>
      </c>
      <c r="E331" s="57">
        <v>2020.03</v>
      </c>
      <c r="F331" s="40" t="s">
        <v>2278</v>
      </c>
      <c r="G331" s="40" t="s">
        <v>2152</v>
      </c>
      <c r="H331" s="42">
        <v>3</v>
      </c>
      <c r="I331" s="43">
        <v>33</v>
      </c>
      <c r="J331" s="48">
        <v>115500</v>
      </c>
      <c r="K331" s="44"/>
      <c r="L331" s="44">
        <v>115500</v>
      </c>
      <c r="M331" s="53" t="s">
        <v>1685</v>
      </c>
      <c r="N331" s="46" t="s">
        <v>1686</v>
      </c>
      <c r="O331" s="45" t="s">
        <v>1421</v>
      </c>
      <c r="P331" s="53" t="s">
        <v>1627</v>
      </c>
      <c r="Q331" s="53" t="s">
        <v>1688</v>
      </c>
      <c r="R331" s="53" t="s">
        <v>1636</v>
      </c>
      <c r="S331" s="46" t="s">
        <v>1630</v>
      </c>
      <c r="T331" s="53" t="s">
        <v>1636</v>
      </c>
      <c r="U331" s="46" t="s">
        <v>1535</v>
      </c>
      <c r="V331" s="49"/>
    </row>
    <row r="332" hidden="1" spans="1:22">
      <c r="A332" s="37">
        <v>540425201907016</v>
      </c>
      <c r="B332" s="38" t="s">
        <v>20</v>
      </c>
      <c r="C332" s="484" t="s">
        <v>2280</v>
      </c>
      <c r="D332" s="40" t="s">
        <v>1704</v>
      </c>
      <c r="E332" s="57">
        <v>2020.03</v>
      </c>
      <c r="F332" s="40" t="s">
        <v>2278</v>
      </c>
      <c r="G332" s="40" t="s">
        <v>1675</v>
      </c>
      <c r="H332" s="42">
        <v>10</v>
      </c>
      <c r="I332" s="43">
        <v>1</v>
      </c>
      <c r="J332" s="48">
        <v>10000</v>
      </c>
      <c r="K332" s="44">
        <v>4833.33</v>
      </c>
      <c r="L332" s="44">
        <v>5166.67</v>
      </c>
      <c r="M332" s="53" t="s">
        <v>1625</v>
      </c>
      <c r="N332" s="46" t="s">
        <v>1652</v>
      </c>
      <c r="O332" s="45" t="s">
        <v>1421</v>
      </c>
      <c r="P332" s="53" t="s">
        <v>1627</v>
      </c>
      <c r="Q332" s="53" t="s">
        <v>1688</v>
      </c>
      <c r="R332" s="53" t="s">
        <v>1636</v>
      </c>
      <c r="S332" s="46" t="s">
        <v>1630</v>
      </c>
      <c r="T332" s="53" t="s">
        <v>1636</v>
      </c>
      <c r="U332" s="46" t="s">
        <v>1535</v>
      </c>
      <c r="V332" s="49"/>
    </row>
    <row r="333" hidden="1" spans="1:22">
      <c r="A333" s="37">
        <v>540425201907016</v>
      </c>
      <c r="B333" s="38" t="s">
        <v>20</v>
      </c>
      <c r="C333" s="484" t="s">
        <v>2281</v>
      </c>
      <c r="D333" s="40" t="s">
        <v>1707</v>
      </c>
      <c r="E333" s="57">
        <v>2020.03</v>
      </c>
      <c r="F333" s="40" t="s">
        <v>2278</v>
      </c>
      <c r="G333" s="40" t="s">
        <v>1675</v>
      </c>
      <c r="H333" s="42">
        <v>10</v>
      </c>
      <c r="I333" s="43">
        <v>1</v>
      </c>
      <c r="J333" s="48">
        <v>7800</v>
      </c>
      <c r="K333" s="44">
        <v>3770</v>
      </c>
      <c r="L333" s="44">
        <v>4030</v>
      </c>
      <c r="M333" s="53" t="s">
        <v>1625</v>
      </c>
      <c r="N333" s="46" t="s">
        <v>1652</v>
      </c>
      <c r="O333" s="45" t="s">
        <v>1421</v>
      </c>
      <c r="P333" s="53" t="s">
        <v>1627</v>
      </c>
      <c r="Q333" s="53" t="s">
        <v>1688</v>
      </c>
      <c r="R333" s="53" t="s">
        <v>1636</v>
      </c>
      <c r="S333" s="46" t="s">
        <v>1630</v>
      </c>
      <c r="T333" s="53" t="s">
        <v>1636</v>
      </c>
      <c r="U333" s="46" t="s">
        <v>1535</v>
      </c>
      <c r="V333" s="49"/>
    </row>
    <row r="334" hidden="1" spans="1:22">
      <c r="A334" s="37">
        <v>540425201820016</v>
      </c>
      <c r="B334" s="38" t="s">
        <v>20</v>
      </c>
      <c r="C334" s="484" t="s">
        <v>2282</v>
      </c>
      <c r="D334" s="40" t="s">
        <v>2170</v>
      </c>
      <c r="E334" s="57">
        <v>2019.03</v>
      </c>
      <c r="F334" s="40" t="s">
        <v>2135</v>
      </c>
      <c r="G334" s="40" t="s">
        <v>2063</v>
      </c>
      <c r="H334" s="42">
        <v>10</v>
      </c>
      <c r="I334" s="43">
        <v>3622</v>
      </c>
      <c r="J334" s="48">
        <v>362240</v>
      </c>
      <c r="K334" s="44">
        <v>211306.7</v>
      </c>
      <c r="L334" s="44">
        <v>150933.3</v>
      </c>
      <c r="M334" s="53" t="s">
        <v>1685</v>
      </c>
      <c r="N334" s="46" t="s">
        <v>1866</v>
      </c>
      <c r="O334" s="45" t="s">
        <v>1421</v>
      </c>
      <c r="P334" s="53" t="s">
        <v>1627</v>
      </c>
      <c r="Q334" s="53" t="s">
        <v>1688</v>
      </c>
      <c r="R334" s="53" t="s">
        <v>1636</v>
      </c>
      <c r="S334" s="46" t="s">
        <v>1630</v>
      </c>
      <c r="T334" s="53" t="s">
        <v>1636</v>
      </c>
      <c r="U334" s="46" t="s">
        <v>1516</v>
      </c>
      <c r="V334" s="49"/>
    </row>
    <row r="335" hidden="1" spans="1:22">
      <c r="A335" s="37">
        <v>540425201919019</v>
      </c>
      <c r="B335" s="38" t="s">
        <v>20</v>
      </c>
      <c r="C335" s="485" t="s">
        <v>2283</v>
      </c>
      <c r="D335" s="40" t="s">
        <v>2284</v>
      </c>
      <c r="E335" s="57">
        <v>2019.11</v>
      </c>
      <c r="F335" s="40" t="s">
        <v>2285</v>
      </c>
      <c r="G335" s="40" t="s">
        <v>1651</v>
      </c>
      <c r="H335" s="42">
        <v>10</v>
      </c>
      <c r="I335" s="43">
        <v>1</v>
      </c>
      <c r="J335" s="48">
        <v>75000</v>
      </c>
      <c r="K335" s="44">
        <v>38750</v>
      </c>
      <c r="L335" s="44">
        <v>36250</v>
      </c>
      <c r="M335" s="53" t="s">
        <v>1625</v>
      </c>
      <c r="N335" s="46" t="s">
        <v>1652</v>
      </c>
      <c r="O335" s="45" t="s">
        <v>1421</v>
      </c>
      <c r="P335" s="53" t="s">
        <v>1627</v>
      </c>
      <c r="Q335" s="53" t="s">
        <v>1628</v>
      </c>
      <c r="R335" s="53" t="s">
        <v>1629</v>
      </c>
      <c r="S335" s="46" t="s">
        <v>1630</v>
      </c>
      <c r="T335" s="53" t="s">
        <v>1627</v>
      </c>
      <c r="U335" s="46" t="s">
        <v>1537</v>
      </c>
      <c r="V335" s="49"/>
    </row>
    <row r="336" hidden="1" spans="1:22">
      <c r="A336" s="37">
        <v>540425201919019</v>
      </c>
      <c r="B336" s="38" t="s">
        <v>20</v>
      </c>
      <c r="C336" s="485" t="s">
        <v>2286</v>
      </c>
      <c r="D336" s="40" t="s">
        <v>2287</v>
      </c>
      <c r="E336" s="57">
        <v>2019.11</v>
      </c>
      <c r="F336" s="40" t="s">
        <v>2285</v>
      </c>
      <c r="G336" s="40" t="s">
        <v>1642</v>
      </c>
      <c r="H336" s="42">
        <v>20</v>
      </c>
      <c r="I336" s="43">
        <v>1</v>
      </c>
      <c r="J336" s="48">
        <v>425000</v>
      </c>
      <c r="K336" s="44">
        <v>109791.67</v>
      </c>
      <c r="L336" s="44">
        <v>315208.33</v>
      </c>
      <c r="M336" s="53" t="s">
        <v>1625</v>
      </c>
      <c r="N336" s="46" t="s">
        <v>1643</v>
      </c>
      <c r="O336" s="45" t="s">
        <v>1421</v>
      </c>
      <c r="P336" s="53" t="s">
        <v>1627</v>
      </c>
      <c r="Q336" s="53" t="s">
        <v>1628</v>
      </c>
      <c r="R336" s="53" t="s">
        <v>1629</v>
      </c>
      <c r="S336" s="46" t="s">
        <v>1630</v>
      </c>
      <c r="T336" s="53" t="s">
        <v>1627</v>
      </c>
      <c r="U336" s="46" t="s">
        <v>1537</v>
      </c>
      <c r="V336" s="49"/>
    </row>
    <row r="337" s="28" customFormat="1" hidden="1" spans="1:22">
      <c r="A337" s="37">
        <v>540425202219045</v>
      </c>
      <c r="B337" s="38" t="s">
        <v>20</v>
      </c>
      <c r="C337" s="485" t="s">
        <v>2288</v>
      </c>
      <c r="D337" s="58" t="s">
        <v>2289</v>
      </c>
      <c r="E337" s="59">
        <v>2017.1</v>
      </c>
      <c r="F337" s="58" t="s">
        <v>2290</v>
      </c>
      <c r="G337" s="40" t="s">
        <v>2291</v>
      </c>
      <c r="H337" s="42">
        <v>20</v>
      </c>
      <c r="I337" s="58">
        <v>1</v>
      </c>
      <c r="J337" s="48">
        <v>78000000</v>
      </c>
      <c r="K337" s="48">
        <f>J337-L337</f>
        <v>27950000</v>
      </c>
      <c r="L337" s="48">
        <v>50050000</v>
      </c>
      <c r="M337" s="45" t="s">
        <v>1625</v>
      </c>
      <c r="N337" s="46" t="s">
        <v>1643</v>
      </c>
      <c r="O337" s="58" t="s">
        <v>1426</v>
      </c>
      <c r="P337" s="45" t="s">
        <v>1627</v>
      </c>
      <c r="Q337" s="45" t="s">
        <v>1628</v>
      </c>
      <c r="R337" s="45" t="s">
        <v>1629</v>
      </c>
      <c r="S337" s="46" t="s">
        <v>1630</v>
      </c>
      <c r="T337" s="45" t="s">
        <v>1627</v>
      </c>
      <c r="U337" s="58" t="s">
        <v>121</v>
      </c>
      <c r="V337" s="58"/>
    </row>
    <row r="338" s="28" customFormat="1" hidden="1" spans="1:22">
      <c r="A338" s="37">
        <v>540425202219055</v>
      </c>
      <c r="B338" s="38" t="s">
        <v>20</v>
      </c>
      <c r="C338" s="485" t="s">
        <v>2292</v>
      </c>
      <c r="D338" s="58" t="s">
        <v>2293</v>
      </c>
      <c r="E338" s="58">
        <v>2016.5</v>
      </c>
      <c r="F338" s="58" t="s">
        <v>984</v>
      </c>
      <c r="G338" s="40" t="s">
        <v>2294</v>
      </c>
      <c r="H338" s="42">
        <v>20</v>
      </c>
      <c r="I338" s="58">
        <v>1</v>
      </c>
      <c r="J338" s="48">
        <v>7552100</v>
      </c>
      <c r="K338" s="48">
        <f>J338-L338</f>
        <v>2863500</v>
      </c>
      <c r="L338" s="48">
        <f>468.86*10000</f>
        <v>4688600</v>
      </c>
      <c r="M338" s="45" t="s">
        <v>1625</v>
      </c>
      <c r="N338" s="46" t="s">
        <v>1643</v>
      </c>
      <c r="O338" s="58" t="s">
        <v>1426</v>
      </c>
      <c r="P338" s="45" t="s">
        <v>1627</v>
      </c>
      <c r="Q338" s="45" t="s">
        <v>1628</v>
      </c>
      <c r="R338" s="45" t="s">
        <v>1629</v>
      </c>
      <c r="S338" s="46" t="s">
        <v>1630</v>
      </c>
      <c r="T338" s="45" t="s">
        <v>1627</v>
      </c>
      <c r="U338" s="58" t="s">
        <v>121</v>
      </c>
      <c r="V338" s="58"/>
    </row>
    <row r="339" s="28" customFormat="1" hidden="1" spans="1:22">
      <c r="A339" s="37">
        <v>540425202219033</v>
      </c>
      <c r="B339" s="38" t="s">
        <v>20</v>
      </c>
      <c r="C339" s="485" t="s">
        <v>2295</v>
      </c>
      <c r="D339" s="58" t="s">
        <v>2296</v>
      </c>
      <c r="E339" s="57">
        <v>2022.12</v>
      </c>
      <c r="F339" s="58" t="s">
        <v>952</v>
      </c>
      <c r="G339" s="40" t="s">
        <v>2297</v>
      </c>
      <c r="H339" s="42">
        <v>20</v>
      </c>
      <c r="I339" s="58">
        <v>1</v>
      </c>
      <c r="J339" s="48">
        <v>5465900</v>
      </c>
      <c r="K339" s="48">
        <f>J339-L339</f>
        <v>546590</v>
      </c>
      <c r="L339" s="48">
        <v>4919310</v>
      </c>
      <c r="M339" s="45" t="s">
        <v>1625</v>
      </c>
      <c r="N339" s="46" t="s">
        <v>1643</v>
      </c>
      <c r="O339" s="58"/>
      <c r="P339" s="45" t="s">
        <v>1627</v>
      </c>
      <c r="Q339" s="58" t="s">
        <v>1688</v>
      </c>
      <c r="R339" s="58" t="s">
        <v>1636</v>
      </c>
      <c r="S339" s="46" t="s">
        <v>1630</v>
      </c>
      <c r="T339" s="58" t="s">
        <v>1636</v>
      </c>
      <c r="U339" s="58"/>
      <c r="V339" s="58" t="s">
        <v>2298</v>
      </c>
    </row>
    <row r="340" s="28" customFormat="1" hidden="1" spans="1:22">
      <c r="A340" s="37">
        <v>540425202219033</v>
      </c>
      <c r="B340" s="38" t="s">
        <v>20</v>
      </c>
      <c r="C340" s="485" t="s">
        <v>2299</v>
      </c>
      <c r="D340" s="58" t="s">
        <v>2300</v>
      </c>
      <c r="E340" s="57">
        <v>2022.12</v>
      </c>
      <c r="F340" s="58" t="s">
        <v>952</v>
      </c>
      <c r="G340" s="40" t="s">
        <v>2301</v>
      </c>
      <c r="H340" s="42">
        <v>20</v>
      </c>
      <c r="I340" s="58">
        <v>1</v>
      </c>
      <c r="J340" s="48">
        <v>148200</v>
      </c>
      <c r="K340" s="48">
        <f t="shared" ref="K340:K346" si="0">J340-L340</f>
        <v>14820</v>
      </c>
      <c r="L340" s="48">
        <v>133380</v>
      </c>
      <c r="M340" s="45" t="s">
        <v>1625</v>
      </c>
      <c r="N340" s="46" t="s">
        <v>1643</v>
      </c>
      <c r="O340" s="58"/>
      <c r="P340" s="45" t="s">
        <v>1627</v>
      </c>
      <c r="Q340" s="58" t="s">
        <v>1688</v>
      </c>
      <c r="R340" s="58" t="s">
        <v>1636</v>
      </c>
      <c r="S340" s="46" t="s">
        <v>1630</v>
      </c>
      <c r="T340" s="58" t="s">
        <v>1636</v>
      </c>
      <c r="U340" s="58"/>
      <c r="V340" s="58" t="s">
        <v>2298</v>
      </c>
    </row>
    <row r="341" s="28" customFormat="1" hidden="1" spans="1:22">
      <c r="A341" s="37">
        <v>540425202219033</v>
      </c>
      <c r="B341" s="38" t="s">
        <v>20</v>
      </c>
      <c r="C341" s="485" t="s">
        <v>2302</v>
      </c>
      <c r="D341" s="58" t="s">
        <v>2303</v>
      </c>
      <c r="E341" s="57">
        <v>2022.12</v>
      </c>
      <c r="F341" s="58" t="s">
        <v>952</v>
      </c>
      <c r="G341" s="40" t="s">
        <v>2304</v>
      </c>
      <c r="H341" s="42">
        <v>20</v>
      </c>
      <c r="I341" s="58">
        <v>1</v>
      </c>
      <c r="J341" s="48">
        <v>1308300</v>
      </c>
      <c r="K341" s="48">
        <f t="shared" si="0"/>
        <v>130830</v>
      </c>
      <c r="L341" s="48">
        <v>1177470</v>
      </c>
      <c r="M341" s="45" t="s">
        <v>1625</v>
      </c>
      <c r="N341" s="46" t="s">
        <v>1643</v>
      </c>
      <c r="O341" s="58"/>
      <c r="P341" s="45" t="s">
        <v>1627</v>
      </c>
      <c r="Q341" s="58" t="s">
        <v>1688</v>
      </c>
      <c r="R341" s="58" t="s">
        <v>1636</v>
      </c>
      <c r="S341" s="46" t="s">
        <v>1630</v>
      </c>
      <c r="T341" s="58" t="s">
        <v>1636</v>
      </c>
      <c r="U341" s="58"/>
      <c r="V341" s="58" t="s">
        <v>2298</v>
      </c>
    </row>
    <row r="342" s="28" customFormat="1" hidden="1" spans="1:22">
      <c r="A342" s="37">
        <v>540425202219033</v>
      </c>
      <c r="B342" s="38" t="s">
        <v>20</v>
      </c>
      <c r="C342" s="485" t="s">
        <v>2305</v>
      </c>
      <c r="D342" s="58" t="s">
        <v>2306</v>
      </c>
      <c r="E342" s="57">
        <v>2022.12</v>
      </c>
      <c r="F342" s="58" t="s">
        <v>952</v>
      </c>
      <c r="G342" s="40" t="s">
        <v>2307</v>
      </c>
      <c r="H342" s="42">
        <v>20</v>
      </c>
      <c r="I342" s="58">
        <v>1</v>
      </c>
      <c r="J342" s="48">
        <v>539000</v>
      </c>
      <c r="K342" s="48">
        <f t="shared" si="0"/>
        <v>53900</v>
      </c>
      <c r="L342" s="48">
        <v>485100</v>
      </c>
      <c r="M342" s="45" t="s">
        <v>1625</v>
      </c>
      <c r="N342" s="46" t="s">
        <v>1643</v>
      </c>
      <c r="O342" s="58"/>
      <c r="P342" s="45" t="s">
        <v>1627</v>
      </c>
      <c r="Q342" s="58" t="s">
        <v>1688</v>
      </c>
      <c r="R342" s="58" t="s">
        <v>1636</v>
      </c>
      <c r="S342" s="46" t="s">
        <v>1630</v>
      </c>
      <c r="T342" s="58" t="s">
        <v>1636</v>
      </c>
      <c r="U342" s="58"/>
      <c r="V342" s="58" t="s">
        <v>2298</v>
      </c>
    </row>
    <row r="343" s="28" customFormat="1" hidden="1" spans="1:22">
      <c r="A343" s="37">
        <v>540425202219033</v>
      </c>
      <c r="B343" s="38" t="s">
        <v>20</v>
      </c>
      <c r="C343" s="485" t="s">
        <v>2308</v>
      </c>
      <c r="D343" s="58" t="s">
        <v>2309</v>
      </c>
      <c r="E343" s="57">
        <v>2022.12</v>
      </c>
      <c r="F343" s="58" t="s">
        <v>952</v>
      </c>
      <c r="G343" s="40" t="s">
        <v>1675</v>
      </c>
      <c r="H343" s="42">
        <v>10</v>
      </c>
      <c r="I343" s="58">
        <v>1</v>
      </c>
      <c r="J343" s="48">
        <v>85000</v>
      </c>
      <c r="K343" s="48">
        <f t="shared" si="0"/>
        <v>17000</v>
      </c>
      <c r="L343" s="48">
        <v>68000</v>
      </c>
      <c r="M343" s="45" t="s">
        <v>1625</v>
      </c>
      <c r="N343" s="46" t="s">
        <v>1652</v>
      </c>
      <c r="O343" s="58"/>
      <c r="P343" s="45" t="s">
        <v>1627</v>
      </c>
      <c r="Q343" s="58" t="s">
        <v>1688</v>
      </c>
      <c r="R343" s="58" t="s">
        <v>1636</v>
      </c>
      <c r="S343" s="46" t="s">
        <v>1630</v>
      </c>
      <c r="T343" s="58" t="s">
        <v>1636</v>
      </c>
      <c r="U343" s="58"/>
      <c r="V343" s="58" t="s">
        <v>2298</v>
      </c>
    </row>
    <row r="344" s="28" customFormat="1" hidden="1" spans="1:22">
      <c r="A344" s="37">
        <v>540425202219033</v>
      </c>
      <c r="B344" s="38" t="s">
        <v>20</v>
      </c>
      <c r="C344" s="485" t="s">
        <v>2310</v>
      </c>
      <c r="D344" s="58" t="s">
        <v>2311</v>
      </c>
      <c r="E344" s="57">
        <v>2022.12</v>
      </c>
      <c r="F344" s="58" t="s">
        <v>952</v>
      </c>
      <c r="G344" s="40" t="s">
        <v>1675</v>
      </c>
      <c r="H344" s="42">
        <v>10</v>
      </c>
      <c r="I344" s="58">
        <v>1</v>
      </c>
      <c r="J344" s="48">
        <v>80000</v>
      </c>
      <c r="K344" s="48">
        <f t="shared" si="0"/>
        <v>16000</v>
      </c>
      <c r="L344" s="48">
        <v>64000</v>
      </c>
      <c r="M344" s="45" t="s">
        <v>1625</v>
      </c>
      <c r="N344" s="46" t="s">
        <v>1652</v>
      </c>
      <c r="O344" s="58"/>
      <c r="P344" s="45" t="s">
        <v>1627</v>
      </c>
      <c r="Q344" s="58" t="s">
        <v>1688</v>
      </c>
      <c r="R344" s="58" t="s">
        <v>1636</v>
      </c>
      <c r="S344" s="46" t="s">
        <v>1630</v>
      </c>
      <c r="T344" s="58" t="s">
        <v>1636</v>
      </c>
      <c r="U344" s="58"/>
      <c r="V344" s="58" t="s">
        <v>2298</v>
      </c>
    </row>
    <row r="345" s="28" customFormat="1" hidden="1" spans="1:22">
      <c r="A345" s="37">
        <v>540425202219033</v>
      </c>
      <c r="B345" s="38" t="s">
        <v>20</v>
      </c>
      <c r="C345" s="485" t="s">
        <v>2312</v>
      </c>
      <c r="D345" s="58" t="s">
        <v>2313</v>
      </c>
      <c r="E345" s="57">
        <v>2022.12</v>
      </c>
      <c r="F345" s="58" t="s">
        <v>952</v>
      </c>
      <c r="G345" s="58" t="s">
        <v>2314</v>
      </c>
      <c r="H345" s="42">
        <v>8</v>
      </c>
      <c r="I345" s="58">
        <v>1</v>
      </c>
      <c r="J345" s="48">
        <v>175000</v>
      </c>
      <c r="K345" s="48">
        <f t="shared" si="0"/>
        <v>43750</v>
      </c>
      <c r="L345" s="48">
        <v>131250</v>
      </c>
      <c r="M345" s="45" t="s">
        <v>1625</v>
      </c>
      <c r="N345" s="58" t="s">
        <v>2315</v>
      </c>
      <c r="O345" s="58"/>
      <c r="P345" s="45" t="s">
        <v>1627</v>
      </c>
      <c r="Q345" s="58" t="s">
        <v>1688</v>
      </c>
      <c r="R345" s="58" t="s">
        <v>1636</v>
      </c>
      <c r="S345" s="46" t="s">
        <v>1630</v>
      </c>
      <c r="T345" s="58" t="s">
        <v>1636</v>
      </c>
      <c r="U345" s="58"/>
      <c r="V345" s="58" t="s">
        <v>2298</v>
      </c>
    </row>
    <row r="346" s="28" customFormat="1" hidden="1" spans="1:22">
      <c r="A346" s="37">
        <v>540425202219033</v>
      </c>
      <c r="B346" s="38" t="s">
        <v>20</v>
      </c>
      <c r="C346" s="485" t="s">
        <v>2316</v>
      </c>
      <c r="D346" s="58" t="s">
        <v>2317</v>
      </c>
      <c r="E346" s="57">
        <v>2022.12</v>
      </c>
      <c r="F346" s="58" t="s">
        <v>952</v>
      </c>
      <c r="G346" s="58" t="s">
        <v>2314</v>
      </c>
      <c r="H346" s="42">
        <v>8</v>
      </c>
      <c r="I346" s="58">
        <v>1</v>
      </c>
      <c r="J346" s="48">
        <v>45000</v>
      </c>
      <c r="K346" s="48">
        <f t="shared" si="0"/>
        <v>11250</v>
      </c>
      <c r="L346" s="48">
        <v>33750</v>
      </c>
      <c r="M346" s="45" t="s">
        <v>1625</v>
      </c>
      <c r="N346" s="58" t="s">
        <v>2315</v>
      </c>
      <c r="O346" s="58"/>
      <c r="P346" s="45" t="s">
        <v>1627</v>
      </c>
      <c r="Q346" s="58" t="s">
        <v>1688</v>
      </c>
      <c r="R346" s="58" t="s">
        <v>1636</v>
      </c>
      <c r="S346" s="46" t="s">
        <v>1630</v>
      </c>
      <c r="T346" s="58" t="s">
        <v>1636</v>
      </c>
      <c r="U346" s="58"/>
      <c r="V346" s="58" t="s">
        <v>2298</v>
      </c>
    </row>
    <row r="347" hidden="1" spans="1:22">
      <c r="A347" s="37">
        <v>540425201912010</v>
      </c>
      <c r="B347" s="38" t="s">
        <v>20</v>
      </c>
      <c r="C347" s="485" t="s">
        <v>2318</v>
      </c>
      <c r="D347" s="60" t="s">
        <v>2319</v>
      </c>
      <c r="E347" s="57">
        <v>2019.12</v>
      </c>
      <c r="F347" s="58" t="str">
        <f>_xlfn.XLOOKUP(A347,附件3!A177:A212,附件3!G177:G212)</f>
        <v>上察隅镇松林村</v>
      </c>
      <c r="G347" s="60"/>
      <c r="H347" s="42">
        <v>10</v>
      </c>
      <c r="I347" s="58">
        <v>1</v>
      </c>
      <c r="J347" s="48">
        <v>2208203.73</v>
      </c>
      <c r="K347" s="48">
        <v>1104101.865</v>
      </c>
      <c r="L347" s="48">
        <f>J347-K347</f>
        <v>1104101.865</v>
      </c>
      <c r="M347" s="53" t="s">
        <v>1685</v>
      </c>
      <c r="N347" s="46" t="s">
        <v>1866</v>
      </c>
      <c r="O347" s="45" t="s">
        <v>1421</v>
      </c>
      <c r="P347" s="45" t="s">
        <v>1627</v>
      </c>
      <c r="Q347" s="60" t="s">
        <v>1628</v>
      </c>
      <c r="R347" s="60" t="s">
        <v>1629</v>
      </c>
      <c r="S347" s="46" t="s">
        <v>1630</v>
      </c>
      <c r="T347" s="60" t="s">
        <v>1627</v>
      </c>
      <c r="U347" s="60"/>
      <c r="V347" s="60"/>
    </row>
    <row r="348" hidden="1" spans="1:22">
      <c r="A348" s="37">
        <v>540425201812030</v>
      </c>
      <c r="B348" s="38" t="s">
        <v>20</v>
      </c>
      <c r="C348" s="485" t="s">
        <v>2320</v>
      </c>
      <c r="D348" s="60" t="s">
        <v>2319</v>
      </c>
      <c r="E348" s="57">
        <v>2018.12</v>
      </c>
      <c r="F348" s="58" t="e">
        <f>_xlfn.XLOOKUP(A348,附件3!A178:A213,附件3!G178:G213)</f>
        <v>#N/A</v>
      </c>
      <c r="H348" s="42">
        <v>10</v>
      </c>
      <c r="I348" s="58">
        <v>1</v>
      </c>
      <c r="J348" s="48">
        <v>4810000</v>
      </c>
      <c r="K348" s="48">
        <v>2405000</v>
      </c>
      <c r="L348" s="48">
        <f t="shared" ref="L348:L379" si="1">J348-K348</f>
        <v>2405000</v>
      </c>
      <c r="M348" s="53" t="s">
        <v>1685</v>
      </c>
      <c r="N348" s="46" t="s">
        <v>1866</v>
      </c>
      <c r="O348" s="45" t="s">
        <v>1421</v>
      </c>
      <c r="P348" s="45" t="s">
        <v>1627</v>
      </c>
      <c r="Q348" s="60" t="s">
        <v>1628</v>
      </c>
      <c r="R348" s="60" t="s">
        <v>1629</v>
      </c>
      <c r="S348" s="46" t="s">
        <v>1630</v>
      </c>
      <c r="T348" s="60" t="s">
        <v>1700</v>
      </c>
      <c r="U348" s="60"/>
      <c r="V348" s="60"/>
    </row>
    <row r="349" hidden="1" spans="1:22">
      <c r="A349" s="37">
        <v>540425201812031</v>
      </c>
      <c r="B349" s="38" t="s">
        <v>20</v>
      </c>
      <c r="C349" s="485" t="s">
        <v>2321</v>
      </c>
      <c r="D349" s="60" t="s">
        <v>2319</v>
      </c>
      <c r="E349" s="57">
        <v>2020.12</v>
      </c>
      <c r="F349" s="58" t="str">
        <f>_xlfn.XLOOKUP(A349,附件3!A178:A214,附件3!G178:G214)</f>
        <v>下察隅沙玛村</v>
      </c>
      <c r="G349" s="60"/>
      <c r="H349" s="42">
        <v>10</v>
      </c>
      <c r="I349" s="58">
        <v>1</v>
      </c>
      <c r="J349" s="48">
        <v>8133813.96</v>
      </c>
      <c r="K349" s="48">
        <v>4066906.98</v>
      </c>
      <c r="L349" s="48">
        <f t="shared" si="1"/>
        <v>4066906.98</v>
      </c>
      <c r="M349" s="53" t="s">
        <v>1685</v>
      </c>
      <c r="N349" s="46" t="s">
        <v>1866</v>
      </c>
      <c r="O349" s="45" t="s">
        <v>1421</v>
      </c>
      <c r="P349" s="45" t="s">
        <v>1627</v>
      </c>
      <c r="Q349" s="60" t="s">
        <v>1628</v>
      </c>
      <c r="R349" s="60" t="s">
        <v>1629</v>
      </c>
      <c r="S349" s="46" t="s">
        <v>1630</v>
      </c>
      <c r="T349" s="60" t="s">
        <v>1700</v>
      </c>
      <c r="U349" s="60" t="s">
        <v>1471</v>
      </c>
      <c r="V349" s="60"/>
    </row>
    <row r="350" hidden="1" spans="1:22">
      <c r="A350" s="37">
        <v>540425201812037</v>
      </c>
      <c r="B350" s="38" t="s">
        <v>20</v>
      </c>
      <c r="C350" s="485" t="s">
        <v>2322</v>
      </c>
      <c r="D350" s="60" t="s">
        <v>2319</v>
      </c>
      <c r="E350" s="57">
        <v>2020.12</v>
      </c>
      <c r="F350" s="58" t="str">
        <f>_xlfn.XLOOKUP(A350,附件3!A179:A215,附件3!G179:G215)</f>
        <v>下察隅镇扎巴村</v>
      </c>
      <c r="G350" s="60" t="s">
        <v>2323</v>
      </c>
      <c r="H350" s="42">
        <v>10</v>
      </c>
      <c r="I350" s="58">
        <v>1</v>
      </c>
      <c r="J350" s="48">
        <v>2109500</v>
      </c>
      <c r="K350" s="48">
        <v>1054750</v>
      </c>
      <c r="L350" s="48">
        <f t="shared" si="1"/>
        <v>1054750</v>
      </c>
      <c r="M350" s="53" t="s">
        <v>1685</v>
      </c>
      <c r="N350" s="46" t="s">
        <v>1866</v>
      </c>
      <c r="O350" s="45" t="s">
        <v>1421</v>
      </c>
      <c r="P350" s="45" t="s">
        <v>1627</v>
      </c>
      <c r="Q350" s="60" t="s">
        <v>1628</v>
      </c>
      <c r="R350" s="60" t="s">
        <v>1629</v>
      </c>
      <c r="S350" s="46" t="s">
        <v>1630</v>
      </c>
      <c r="T350" s="60" t="s">
        <v>1700</v>
      </c>
      <c r="U350" s="60" t="s">
        <v>1569</v>
      </c>
      <c r="V350" s="60"/>
    </row>
    <row r="351" hidden="1" spans="1:22">
      <c r="A351" s="37">
        <v>540425201812039</v>
      </c>
      <c r="B351" s="38" t="s">
        <v>20</v>
      </c>
      <c r="C351" s="485" t="s">
        <v>2324</v>
      </c>
      <c r="D351" s="60" t="s">
        <v>2319</v>
      </c>
      <c r="E351" s="57">
        <v>2020.12</v>
      </c>
      <c r="F351" s="58" t="str">
        <f>_xlfn.XLOOKUP(A351,附件3!A180:A216,附件3!G180:G216)</f>
        <v>下察隅镇巴安通村</v>
      </c>
      <c r="G351" s="60"/>
      <c r="H351" s="42">
        <v>10</v>
      </c>
      <c r="I351" s="58">
        <v>1</v>
      </c>
      <c r="J351" s="48">
        <v>13892293.04</v>
      </c>
      <c r="K351" s="48">
        <v>6946146.52</v>
      </c>
      <c r="L351" s="48">
        <f t="shared" si="1"/>
        <v>6946146.52</v>
      </c>
      <c r="M351" s="53" t="s">
        <v>1685</v>
      </c>
      <c r="N351" s="46" t="s">
        <v>1866</v>
      </c>
      <c r="O351" s="45" t="s">
        <v>1421</v>
      </c>
      <c r="P351" s="45" t="s">
        <v>1627</v>
      </c>
      <c r="Q351" s="60" t="s">
        <v>1628</v>
      </c>
      <c r="R351" s="60" t="s">
        <v>1629</v>
      </c>
      <c r="S351" s="46" t="s">
        <v>1630</v>
      </c>
      <c r="T351" s="60" t="s">
        <v>1700</v>
      </c>
      <c r="U351" s="60" t="s">
        <v>1545</v>
      </c>
      <c r="V351" s="60"/>
    </row>
    <row r="352" hidden="1" spans="1:22">
      <c r="A352" s="37">
        <v>540425201812040</v>
      </c>
      <c r="B352" s="38" t="s">
        <v>20</v>
      </c>
      <c r="C352" s="485" t="s">
        <v>2325</v>
      </c>
      <c r="D352" s="60" t="s">
        <v>2319</v>
      </c>
      <c r="E352" s="57">
        <v>2022.12</v>
      </c>
      <c r="F352" s="58" t="str">
        <f>_xlfn.XLOOKUP(A352,附件3!A181:A217,附件3!G181:G217)</f>
        <v>下察隅仲萨村</v>
      </c>
      <c r="G352" s="60"/>
      <c r="H352" s="42">
        <v>10</v>
      </c>
      <c r="I352" s="58">
        <v>1</v>
      </c>
      <c r="J352" s="48">
        <v>7741900</v>
      </c>
      <c r="K352" s="48">
        <v>3870950</v>
      </c>
      <c r="L352" s="48">
        <f t="shared" si="1"/>
        <v>3870950</v>
      </c>
      <c r="M352" s="53" t="s">
        <v>1685</v>
      </c>
      <c r="N352" s="46" t="s">
        <v>1866</v>
      </c>
      <c r="O352" s="45" t="s">
        <v>1421</v>
      </c>
      <c r="P352" s="45" t="s">
        <v>1627</v>
      </c>
      <c r="Q352" s="60" t="s">
        <v>1628</v>
      </c>
      <c r="R352" s="60" t="s">
        <v>1629</v>
      </c>
      <c r="S352" s="46" t="s">
        <v>1630</v>
      </c>
      <c r="T352" s="60" t="s">
        <v>1700</v>
      </c>
      <c r="U352" s="60" t="s">
        <v>1570</v>
      </c>
      <c r="V352" s="60"/>
    </row>
    <row r="353" hidden="1" spans="1:22">
      <c r="A353" s="37">
        <v>540425201812043</v>
      </c>
      <c r="B353" s="38" t="s">
        <v>20</v>
      </c>
      <c r="C353" s="485" t="s">
        <v>2326</v>
      </c>
      <c r="D353" s="60" t="s">
        <v>2319</v>
      </c>
      <c r="E353" s="57">
        <v>2019.12</v>
      </c>
      <c r="F353" s="58" t="str">
        <f>_xlfn.XLOOKUP(A353,附件3!A182:A217,附件3!G182:G217)</f>
        <v>上察隅巩固村</v>
      </c>
      <c r="G353" s="60"/>
      <c r="H353" s="42">
        <v>10</v>
      </c>
      <c r="I353" s="58">
        <v>1</v>
      </c>
      <c r="J353" s="48">
        <v>2840380.24</v>
      </c>
      <c r="K353" s="48">
        <v>1420190.12</v>
      </c>
      <c r="L353" s="48">
        <f t="shared" si="1"/>
        <v>1420190.12</v>
      </c>
      <c r="M353" s="53" t="s">
        <v>1685</v>
      </c>
      <c r="N353" s="46" t="s">
        <v>1866</v>
      </c>
      <c r="O353" s="45" t="s">
        <v>1421</v>
      </c>
      <c r="P353" s="45" t="s">
        <v>1627</v>
      </c>
      <c r="Q353" s="60" t="s">
        <v>1628</v>
      </c>
      <c r="R353" s="60" t="s">
        <v>1629</v>
      </c>
      <c r="S353" s="46" t="s">
        <v>1630</v>
      </c>
      <c r="T353" s="60" t="s">
        <v>1700</v>
      </c>
      <c r="U353" s="60" t="s">
        <v>1571</v>
      </c>
      <c r="V353" s="60"/>
    </row>
    <row r="354" hidden="1" spans="1:22">
      <c r="A354" s="37">
        <v>540425201812044</v>
      </c>
      <c r="B354" s="38" t="s">
        <v>20</v>
      </c>
      <c r="C354" s="485" t="s">
        <v>2327</v>
      </c>
      <c r="D354" s="60" t="s">
        <v>2319</v>
      </c>
      <c r="E354" s="57">
        <v>2019.12</v>
      </c>
      <c r="F354" s="58" t="str">
        <f>_xlfn.XLOOKUP(A354,附件3!A183:A217,附件3!G183:G217)</f>
        <v>上察隅巩固村</v>
      </c>
      <c r="G354" s="60"/>
      <c r="H354" s="42">
        <v>10</v>
      </c>
      <c r="I354" s="58">
        <v>1</v>
      </c>
      <c r="J354" s="48">
        <v>6537187.76</v>
      </c>
      <c r="K354" s="48">
        <v>3268593.88</v>
      </c>
      <c r="L354" s="48">
        <f t="shared" si="1"/>
        <v>3268593.88</v>
      </c>
      <c r="M354" s="53" t="s">
        <v>1685</v>
      </c>
      <c r="N354" s="46" t="s">
        <v>1866</v>
      </c>
      <c r="O354" s="45" t="s">
        <v>1421</v>
      </c>
      <c r="P354" s="45" t="s">
        <v>1627</v>
      </c>
      <c r="Q354" s="60" t="s">
        <v>1628</v>
      </c>
      <c r="R354" s="60" t="s">
        <v>1629</v>
      </c>
      <c r="S354" s="46" t="s">
        <v>1630</v>
      </c>
      <c r="T354" s="60" t="s">
        <v>1700</v>
      </c>
      <c r="U354" s="60" t="s">
        <v>1571</v>
      </c>
      <c r="V354" s="60"/>
    </row>
    <row r="355" hidden="1" spans="1:22">
      <c r="A355" s="37">
        <v>540425201812045</v>
      </c>
      <c r="B355" s="38" t="s">
        <v>20</v>
      </c>
      <c r="C355" s="485" t="s">
        <v>2328</v>
      </c>
      <c r="D355" s="60" t="s">
        <v>2319</v>
      </c>
      <c r="E355" s="57">
        <v>2022.12</v>
      </c>
      <c r="F355" s="58" t="str">
        <f>_xlfn.XLOOKUP(A355,附件3!A184:A218,附件3!G184:G218)</f>
        <v>上察隅镇岗藏村</v>
      </c>
      <c r="G355" s="60"/>
      <c r="H355" s="42">
        <v>10</v>
      </c>
      <c r="I355" s="58">
        <v>1</v>
      </c>
      <c r="J355" s="48">
        <v>3686500</v>
      </c>
      <c r="K355" s="48">
        <v>1843250</v>
      </c>
      <c r="L355" s="48">
        <f t="shared" si="1"/>
        <v>1843250</v>
      </c>
      <c r="M355" s="53" t="s">
        <v>1685</v>
      </c>
      <c r="N355" s="46" t="s">
        <v>1866</v>
      </c>
      <c r="O355" s="45" t="s">
        <v>1421</v>
      </c>
      <c r="P355" s="45" t="s">
        <v>1627</v>
      </c>
      <c r="Q355" s="60" t="s">
        <v>1628</v>
      </c>
      <c r="R355" s="60" t="s">
        <v>1629</v>
      </c>
      <c r="S355" s="46" t="s">
        <v>1630</v>
      </c>
      <c r="T355" s="60" t="s">
        <v>1700</v>
      </c>
      <c r="U355" s="60" t="s">
        <v>1572</v>
      </c>
      <c r="V355" s="60"/>
    </row>
    <row r="356" hidden="1" spans="1:22">
      <c r="A356" s="37">
        <v>540425201812046</v>
      </c>
      <c r="B356" s="38" t="s">
        <v>20</v>
      </c>
      <c r="C356" s="485" t="s">
        <v>2329</v>
      </c>
      <c r="D356" s="60" t="s">
        <v>2319</v>
      </c>
      <c r="E356" s="57">
        <v>2019.12</v>
      </c>
      <c r="F356" s="58" t="str">
        <f>_xlfn.XLOOKUP(A356,附件3!A185:A219,附件3!G185:G219)</f>
        <v>上察隅镇西巴村</v>
      </c>
      <c r="G356" s="60"/>
      <c r="H356" s="42">
        <v>10</v>
      </c>
      <c r="I356" s="58">
        <v>1</v>
      </c>
      <c r="J356" s="48">
        <v>18660000</v>
      </c>
      <c r="K356" s="48">
        <v>9330000</v>
      </c>
      <c r="L356" s="48">
        <f t="shared" si="1"/>
        <v>9330000</v>
      </c>
      <c r="M356" s="53" t="s">
        <v>1685</v>
      </c>
      <c r="N356" s="46" t="s">
        <v>1866</v>
      </c>
      <c r="O356" s="45" t="s">
        <v>1421</v>
      </c>
      <c r="P356" s="45" t="s">
        <v>1627</v>
      </c>
      <c r="Q356" s="60" t="s">
        <v>1628</v>
      </c>
      <c r="R356" s="60" t="s">
        <v>1629</v>
      </c>
      <c r="S356" s="46" t="s">
        <v>1630</v>
      </c>
      <c r="T356" s="60" t="s">
        <v>1700</v>
      </c>
      <c r="U356" s="60" t="s">
        <v>1480</v>
      </c>
      <c r="V356" s="60"/>
    </row>
    <row r="357" hidden="1" spans="1:22">
      <c r="A357" s="37">
        <v>540425201812047</v>
      </c>
      <c r="B357" s="38" t="s">
        <v>20</v>
      </c>
      <c r="C357" s="485" t="s">
        <v>2330</v>
      </c>
      <c r="D357" s="60" t="s">
        <v>2331</v>
      </c>
      <c r="E357" s="57">
        <v>2021.12</v>
      </c>
      <c r="F357" s="58" t="str">
        <f>_xlfn.XLOOKUP(A357,附件3!A186:A220,附件3!G186:G220)</f>
        <v>上察隅巩固村</v>
      </c>
      <c r="G357" s="60" t="s">
        <v>1642</v>
      </c>
      <c r="H357" s="42">
        <v>20</v>
      </c>
      <c r="I357" s="58">
        <v>1</v>
      </c>
      <c r="J357" s="48">
        <v>2597372.67</v>
      </c>
      <c r="K357" s="48">
        <v>649343.1675</v>
      </c>
      <c r="L357" s="48">
        <f t="shared" si="1"/>
        <v>1948029.5025</v>
      </c>
      <c r="M357" s="53" t="s">
        <v>1625</v>
      </c>
      <c r="N357" s="46" t="s">
        <v>1643</v>
      </c>
      <c r="O357" s="45" t="s">
        <v>1421</v>
      </c>
      <c r="P357" s="45" t="s">
        <v>1627</v>
      </c>
      <c r="Q357" s="60" t="s">
        <v>1628</v>
      </c>
      <c r="R357" s="60" t="s">
        <v>1629</v>
      </c>
      <c r="S357" s="46" t="s">
        <v>1630</v>
      </c>
      <c r="T357" s="60" t="s">
        <v>1700</v>
      </c>
      <c r="U357" s="60" t="s">
        <v>1571</v>
      </c>
      <c r="V357" s="60"/>
    </row>
    <row r="358" hidden="1" spans="1:22">
      <c r="A358" s="37">
        <v>540425201812048</v>
      </c>
      <c r="B358" s="38" t="s">
        <v>20</v>
      </c>
      <c r="C358" s="485" t="s">
        <v>2332</v>
      </c>
      <c r="D358" s="60" t="s">
        <v>2319</v>
      </c>
      <c r="E358" s="57">
        <v>2019.12</v>
      </c>
      <c r="F358" s="58" t="str">
        <f>_xlfn.XLOOKUP(A358,附件3!A187:A221,附件3!G187:G221)</f>
        <v>上察隅米古村</v>
      </c>
      <c r="G358" s="60"/>
      <c r="H358" s="42">
        <v>10</v>
      </c>
      <c r="I358" s="58">
        <v>1</v>
      </c>
      <c r="J358" s="48">
        <v>2347474.48</v>
      </c>
      <c r="K358" s="48">
        <v>1173737.24</v>
      </c>
      <c r="L358" s="48">
        <f t="shared" si="1"/>
        <v>1173737.24</v>
      </c>
      <c r="M358" s="53" t="s">
        <v>1685</v>
      </c>
      <c r="N358" s="46" t="s">
        <v>1866</v>
      </c>
      <c r="O358" s="45" t="s">
        <v>1421</v>
      </c>
      <c r="P358" s="45" t="s">
        <v>1627</v>
      </c>
      <c r="Q358" s="60" t="s">
        <v>1628</v>
      </c>
      <c r="R358" s="60" t="s">
        <v>1629</v>
      </c>
      <c r="S358" s="46" t="s">
        <v>1630</v>
      </c>
      <c r="T358" s="60" t="s">
        <v>1700</v>
      </c>
      <c r="U358" s="60" t="s">
        <v>1494</v>
      </c>
      <c r="V358" s="60"/>
    </row>
    <row r="359" s="29" customFormat="1" hidden="1" spans="1:22">
      <c r="A359" s="61">
        <v>540425201812049</v>
      </c>
      <c r="B359" s="62" t="s">
        <v>20</v>
      </c>
      <c r="C359" s="488" t="s">
        <v>2333</v>
      </c>
      <c r="D359" s="63" t="s">
        <v>2319</v>
      </c>
      <c r="E359" s="64">
        <v>2019.12</v>
      </c>
      <c r="F359" s="63" t="str">
        <f>_xlfn.XLOOKUP(A359,附件3!A188:A222,附件3!G188:G222)</f>
        <v>竹瓦根镇巴嘎村</v>
      </c>
      <c r="G359" s="63"/>
      <c r="H359" s="65">
        <v>10</v>
      </c>
      <c r="I359" s="63">
        <v>1</v>
      </c>
      <c r="J359" s="66">
        <v>9210385.66</v>
      </c>
      <c r="K359" s="66">
        <v>4605192.83</v>
      </c>
      <c r="L359" s="66">
        <f t="shared" si="1"/>
        <v>4605192.83</v>
      </c>
      <c r="M359" s="67" t="s">
        <v>1685</v>
      </c>
      <c r="N359" s="68" t="s">
        <v>1866</v>
      </c>
      <c r="O359" s="67" t="s">
        <v>1421</v>
      </c>
      <c r="P359" s="67" t="s">
        <v>1627</v>
      </c>
      <c r="Q359" s="63" t="s">
        <v>1628</v>
      </c>
      <c r="R359" s="63" t="s">
        <v>1629</v>
      </c>
      <c r="S359" s="68" t="s">
        <v>1630</v>
      </c>
      <c r="T359" s="63" t="s">
        <v>1700</v>
      </c>
      <c r="U359" s="63" t="s">
        <v>1573</v>
      </c>
      <c r="V359" s="63"/>
    </row>
    <row r="360" hidden="1" spans="1:22">
      <c r="A360" s="37">
        <v>540425201812050</v>
      </c>
      <c r="B360" s="38" t="s">
        <v>20</v>
      </c>
      <c r="C360" s="485" t="s">
        <v>2334</v>
      </c>
      <c r="D360" s="60" t="s">
        <v>2319</v>
      </c>
      <c r="E360" s="57">
        <v>2020.12</v>
      </c>
      <c r="F360" s="58" t="str">
        <f>_xlfn.XLOOKUP(A360,附件3!A189:A223,附件3!G189:G223)</f>
        <v>下察隅镇</v>
      </c>
      <c r="G360" s="60"/>
      <c r="H360" s="42">
        <v>10</v>
      </c>
      <c r="I360" s="58">
        <v>1</v>
      </c>
      <c r="J360" s="48">
        <v>7883621.97</v>
      </c>
      <c r="K360" s="48">
        <v>3941810.985</v>
      </c>
      <c r="L360" s="48">
        <f t="shared" si="1"/>
        <v>3941810.985</v>
      </c>
      <c r="M360" s="53" t="s">
        <v>1685</v>
      </c>
      <c r="N360" s="46" t="s">
        <v>1866</v>
      </c>
      <c r="O360" s="45" t="s">
        <v>1421</v>
      </c>
      <c r="P360" s="45" t="s">
        <v>1627</v>
      </c>
      <c r="Q360" s="60" t="s">
        <v>1628</v>
      </c>
      <c r="R360" s="60" t="s">
        <v>1629</v>
      </c>
      <c r="S360" s="46" t="s">
        <v>1630</v>
      </c>
      <c r="T360" s="60" t="s">
        <v>1700</v>
      </c>
      <c r="U360" s="60" t="s">
        <v>1558</v>
      </c>
      <c r="V360" s="60"/>
    </row>
    <row r="361" hidden="1" spans="1:22">
      <c r="A361" s="37">
        <v>540425201812051</v>
      </c>
      <c r="B361" s="38" t="s">
        <v>20</v>
      </c>
      <c r="C361" s="485" t="s">
        <v>2335</v>
      </c>
      <c r="D361" s="60" t="s">
        <v>2336</v>
      </c>
      <c r="E361" s="57">
        <v>2021.12</v>
      </c>
      <c r="F361" s="58" t="str">
        <f>_xlfn.XLOOKUP(A361,附件3!A190:A224,附件3!G190:G224)</f>
        <v>下察隅镇塔林村</v>
      </c>
      <c r="G361" s="60" t="s">
        <v>1642</v>
      </c>
      <c r="H361" s="42">
        <v>20</v>
      </c>
      <c r="I361" s="58">
        <v>1</v>
      </c>
      <c r="J361" s="48">
        <v>2802977.41</v>
      </c>
      <c r="K361" s="48">
        <v>700744.3525</v>
      </c>
      <c r="L361" s="48">
        <f t="shared" si="1"/>
        <v>2102233.0575</v>
      </c>
      <c r="M361" s="53" t="s">
        <v>1625</v>
      </c>
      <c r="N361" s="46" t="s">
        <v>1643</v>
      </c>
      <c r="O361" s="45" t="s">
        <v>1421</v>
      </c>
      <c r="P361" s="45" t="s">
        <v>1627</v>
      </c>
      <c r="Q361" s="60" t="s">
        <v>1628</v>
      </c>
      <c r="R361" s="60" t="s">
        <v>1629</v>
      </c>
      <c r="S361" s="46" t="s">
        <v>1630</v>
      </c>
      <c r="T361" s="60" t="s">
        <v>1700</v>
      </c>
      <c r="U361" s="60" t="s">
        <v>1574</v>
      </c>
      <c r="V361" s="60"/>
    </row>
    <row r="362" hidden="1" spans="1:22">
      <c r="A362" s="37">
        <v>540425201812052</v>
      </c>
      <c r="B362" s="38" t="s">
        <v>20</v>
      </c>
      <c r="C362" s="485" t="s">
        <v>2337</v>
      </c>
      <c r="D362" s="60" t="s">
        <v>2319</v>
      </c>
      <c r="E362" s="57">
        <v>2018.12</v>
      </c>
      <c r="F362" s="58" t="str">
        <f>_xlfn.XLOOKUP(A362,附件3!A191:A225,附件3!G191:G225)</f>
        <v>下察隅镇沙玛村</v>
      </c>
      <c r="G362" s="60"/>
      <c r="H362" s="42">
        <v>10</v>
      </c>
      <c r="I362" s="58">
        <v>1</v>
      </c>
      <c r="J362" s="48">
        <v>1607648.74</v>
      </c>
      <c r="K362" s="48">
        <v>803824.37</v>
      </c>
      <c r="L362" s="48">
        <f t="shared" si="1"/>
        <v>803824.37</v>
      </c>
      <c r="M362" s="53" t="s">
        <v>1685</v>
      </c>
      <c r="N362" s="46" t="s">
        <v>1866</v>
      </c>
      <c r="O362" s="45" t="s">
        <v>1421</v>
      </c>
      <c r="P362" s="45" t="s">
        <v>1627</v>
      </c>
      <c r="Q362" s="60" t="s">
        <v>1628</v>
      </c>
      <c r="R362" s="60" t="s">
        <v>1629</v>
      </c>
      <c r="S362" s="46" t="s">
        <v>1630</v>
      </c>
      <c r="T362" s="60" t="s">
        <v>1700</v>
      </c>
      <c r="U362" s="60" t="s">
        <v>1471</v>
      </c>
      <c r="V362" s="60"/>
    </row>
    <row r="363" hidden="1" spans="1:22">
      <c r="A363" s="37">
        <v>540425201812053</v>
      </c>
      <c r="B363" s="38" t="s">
        <v>20</v>
      </c>
      <c r="C363" s="485" t="s">
        <v>2338</v>
      </c>
      <c r="D363" s="60" t="s">
        <v>2319</v>
      </c>
      <c r="E363" s="57">
        <v>2018.12</v>
      </c>
      <c r="F363" s="58" t="str">
        <f>_xlfn.XLOOKUP(A363,附件3!A192:A226,附件3!G192:G226)</f>
        <v>上察隅米古村</v>
      </c>
      <c r="G363" s="60"/>
      <c r="H363" s="42">
        <v>10</v>
      </c>
      <c r="I363" s="58">
        <v>1</v>
      </c>
      <c r="J363" s="48">
        <v>2546718.51</v>
      </c>
      <c r="K363" s="48">
        <v>1273359.255</v>
      </c>
      <c r="L363" s="48">
        <f t="shared" si="1"/>
        <v>1273359.255</v>
      </c>
      <c r="M363" s="53" t="s">
        <v>1685</v>
      </c>
      <c r="N363" s="46" t="s">
        <v>1866</v>
      </c>
      <c r="O363" s="45" t="s">
        <v>1421</v>
      </c>
      <c r="P363" s="45" t="s">
        <v>1627</v>
      </c>
      <c r="Q363" s="60" t="s">
        <v>1628</v>
      </c>
      <c r="R363" s="60" t="s">
        <v>1629</v>
      </c>
      <c r="S363" s="46" t="s">
        <v>1630</v>
      </c>
      <c r="T363" s="60" t="s">
        <v>1700</v>
      </c>
      <c r="U363" s="60" t="s">
        <v>1494</v>
      </c>
      <c r="V363" s="60"/>
    </row>
    <row r="364" hidden="1" spans="1:22">
      <c r="A364" s="37">
        <v>540425201812054</v>
      </c>
      <c r="B364" s="38" t="s">
        <v>20</v>
      </c>
      <c r="C364" s="485" t="s">
        <v>2339</v>
      </c>
      <c r="D364" s="60" t="s">
        <v>2336</v>
      </c>
      <c r="E364" s="57">
        <v>2022.12</v>
      </c>
      <c r="F364" s="58" t="str">
        <f>_xlfn.XLOOKUP(A364,附件3!A193:A227,附件3!G193:G227)</f>
        <v>下察隅沙琼村</v>
      </c>
      <c r="G364" s="60" t="s">
        <v>1642</v>
      </c>
      <c r="H364" s="42">
        <v>20</v>
      </c>
      <c r="I364" s="58">
        <v>1</v>
      </c>
      <c r="J364" s="48">
        <v>3000000</v>
      </c>
      <c r="K364" s="48">
        <v>750000</v>
      </c>
      <c r="L364" s="48">
        <f t="shared" si="1"/>
        <v>2250000</v>
      </c>
      <c r="M364" s="53" t="s">
        <v>1625</v>
      </c>
      <c r="N364" s="46" t="s">
        <v>1643</v>
      </c>
      <c r="O364" s="45" t="s">
        <v>1421</v>
      </c>
      <c r="P364" s="45" t="s">
        <v>1627</v>
      </c>
      <c r="Q364" s="60" t="s">
        <v>1628</v>
      </c>
      <c r="R364" s="60" t="s">
        <v>1629</v>
      </c>
      <c r="S364" s="46" t="s">
        <v>1630</v>
      </c>
      <c r="T364" s="60" t="s">
        <v>1700</v>
      </c>
      <c r="U364" s="60" t="s">
        <v>1449</v>
      </c>
      <c r="V364" s="60"/>
    </row>
    <row r="365" hidden="1" spans="1:22">
      <c r="A365" s="37">
        <v>540425201812057</v>
      </c>
      <c r="B365" s="38" t="s">
        <v>20</v>
      </c>
      <c r="C365" s="485" t="s">
        <v>2340</v>
      </c>
      <c r="D365" s="60" t="s">
        <v>2319</v>
      </c>
      <c r="E365" s="57">
        <v>2019.12</v>
      </c>
      <c r="F365" s="58" t="str">
        <f>_xlfn.XLOOKUP(A365,附件3!A194:A228,附件3!G194:G228)</f>
        <v>下察隅镇沙玛村</v>
      </c>
      <c r="G365" s="60"/>
      <c r="H365" s="42">
        <v>10</v>
      </c>
      <c r="I365" s="58">
        <v>1</v>
      </c>
      <c r="J365" s="48">
        <v>5183481.14</v>
      </c>
      <c r="K365" s="48">
        <v>2591740.57</v>
      </c>
      <c r="L365" s="48">
        <f t="shared" si="1"/>
        <v>2591740.57</v>
      </c>
      <c r="M365" s="53" t="s">
        <v>1685</v>
      </c>
      <c r="N365" s="46" t="s">
        <v>1866</v>
      </c>
      <c r="O365" s="45" t="s">
        <v>1421</v>
      </c>
      <c r="P365" s="45" t="s">
        <v>1627</v>
      </c>
      <c r="Q365" s="60" t="s">
        <v>1628</v>
      </c>
      <c r="R365" s="60" t="s">
        <v>1629</v>
      </c>
      <c r="S365" s="46" t="s">
        <v>1630</v>
      </c>
      <c r="T365" s="60" t="s">
        <v>1700</v>
      </c>
      <c r="U365" s="60" t="s">
        <v>1471</v>
      </c>
      <c r="V365" s="60"/>
    </row>
    <row r="366" hidden="1" spans="1:22">
      <c r="A366" s="37">
        <v>540425201812058</v>
      </c>
      <c r="B366" s="38" t="s">
        <v>20</v>
      </c>
      <c r="C366" s="485" t="s">
        <v>2341</v>
      </c>
      <c r="D366" s="60" t="s">
        <v>2319</v>
      </c>
      <c r="E366" s="57">
        <v>2019.12</v>
      </c>
      <c r="F366" s="58" t="str">
        <f>_xlfn.XLOOKUP(A366,附件3!A195:A229,附件3!G195:G229)</f>
        <v>下察隅镇沙玛村</v>
      </c>
      <c r="G366" s="60"/>
      <c r="H366" s="42">
        <v>10</v>
      </c>
      <c r="I366" s="58">
        <v>1</v>
      </c>
      <c r="J366" s="48">
        <v>7585661.62</v>
      </c>
      <c r="K366" s="48">
        <v>3792830.81</v>
      </c>
      <c r="L366" s="48">
        <f t="shared" si="1"/>
        <v>3792830.81</v>
      </c>
      <c r="M366" s="53" t="s">
        <v>1685</v>
      </c>
      <c r="N366" s="46" t="s">
        <v>1866</v>
      </c>
      <c r="O366" s="45" t="s">
        <v>1421</v>
      </c>
      <c r="P366" s="45" t="s">
        <v>1627</v>
      </c>
      <c r="Q366" s="60" t="s">
        <v>1628</v>
      </c>
      <c r="R366" s="60" t="s">
        <v>1629</v>
      </c>
      <c r="S366" s="46" t="s">
        <v>1630</v>
      </c>
      <c r="T366" s="60" t="s">
        <v>1700</v>
      </c>
      <c r="U366" s="60" t="s">
        <v>1471</v>
      </c>
      <c r="V366" s="60"/>
    </row>
    <row r="367" hidden="1" spans="1:22">
      <c r="A367" s="37">
        <v>540425201812059</v>
      </c>
      <c r="B367" s="38" t="s">
        <v>20</v>
      </c>
      <c r="C367" s="485" t="s">
        <v>2342</v>
      </c>
      <c r="D367" s="60" t="s">
        <v>2319</v>
      </c>
      <c r="E367" s="57">
        <v>2017.12</v>
      </c>
      <c r="F367" s="58" t="str">
        <f>_xlfn.XLOOKUP(A367,附件3!A196:A229,附件3!G196:G229)</f>
        <v>下察隅镇沙玛、卡地村</v>
      </c>
      <c r="G367" s="60" t="s">
        <v>2343</v>
      </c>
      <c r="H367" s="42">
        <v>10</v>
      </c>
      <c r="I367" s="58">
        <v>1</v>
      </c>
      <c r="J367" s="48">
        <v>6370000</v>
      </c>
      <c r="K367" s="48">
        <v>3185000</v>
      </c>
      <c r="L367" s="48">
        <f t="shared" si="1"/>
        <v>3185000</v>
      </c>
      <c r="M367" s="53" t="s">
        <v>1685</v>
      </c>
      <c r="N367" s="46" t="s">
        <v>1866</v>
      </c>
      <c r="O367" s="45" t="s">
        <v>1421</v>
      </c>
      <c r="P367" s="45" t="s">
        <v>1627</v>
      </c>
      <c r="Q367" s="60" t="s">
        <v>1628</v>
      </c>
      <c r="R367" s="60" t="s">
        <v>1629</v>
      </c>
      <c r="S367" s="46" t="s">
        <v>1630</v>
      </c>
      <c r="T367" s="60" t="s">
        <v>1700</v>
      </c>
      <c r="U367" s="60" t="s">
        <v>1575</v>
      </c>
      <c r="V367" s="60"/>
    </row>
    <row r="368" hidden="1" spans="1:22">
      <c r="A368" s="37">
        <v>540425201812060</v>
      </c>
      <c r="B368" s="38" t="s">
        <v>20</v>
      </c>
      <c r="C368" s="485" t="s">
        <v>2344</v>
      </c>
      <c r="D368" s="60" t="s">
        <v>2319</v>
      </c>
      <c r="E368" s="57">
        <v>2019.12</v>
      </c>
      <c r="F368" s="58" t="str">
        <f>_xlfn.XLOOKUP(A368,附件3!A197:A229,附件3!G197:G229)</f>
        <v>下察隅镇宗古村</v>
      </c>
      <c r="G368" s="60" t="s">
        <v>2345</v>
      </c>
      <c r="H368" s="42">
        <v>10</v>
      </c>
      <c r="I368" s="58">
        <v>1</v>
      </c>
      <c r="J368" s="48">
        <v>6834000</v>
      </c>
      <c r="K368" s="48">
        <v>3417000</v>
      </c>
      <c r="L368" s="48">
        <f t="shared" si="1"/>
        <v>3417000</v>
      </c>
      <c r="M368" s="53" t="s">
        <v>1685</v>
      </c>
      <c r="N368" s="46" t="s">
        <v>1866</v>
      </c>
      <c r="O368" s="45" t="s">
        <v>1421</v>
      </c>
      <c r="P368" s="45" t="s">
        <v>1627</v>
      </c>
      <c r="Q368" s="60" t="s">
        <v>1628</v>
      </c>
      <c r="R368" s="60" t="s">
        <v>1629</v>
      </c>
      <c r="S368" s="46" t="s">
        <v>1630</v>
      </c>
      <c r="T368" s="60" t="s">
        <v>1700</v>
      </c>
      <c r="U368" s="60" t="s">
        <v>1576</v>
      </c>
      <c r="V368" s="60"/>
    </row>
    <row r="369" hidden="1" spans="1:22">
      <c r="A369" s="37">
        <v>540425201812061</v>
      </c>
      <c r="B369" s="38" t="s">
        <v>20</v>
      </c>
      <c r="C369" s="485" t="s">
        <v>2346</v>
      </c>
      <c r="D369" s="60" t="s">
        <v>2319</v>
      </c>
      <c r="E369" s="57">
        <v>2019.12</v>
      </c>
      <c r="F369" s="58" t="str">
        <f>_xlfn.XLOOKUP(A369,附件3!A198:A230,附件3!G198:G230)</f>
        <v>下察隅镇自更村</v>
      </c>
      <c r="G369" s="60" t="s">
        <v>2347</v>
      </c>
      <c r="H369" s="42">
        <v>10</v>
      </c>
      <c r="I369" s="58">
        <v>1</v>
      </c>
      <c r="J369" s="48">
        <v>7697900</v>
      </c>
      <c r="K369" s="48">
        <v>3848950</v>
      </c>
      <c r="L369" s="48">
        <f t="shared" si="1"/>
        <v>3848950</v>
      </c>
      <c r="M369" s="53" t="s">
        <v>1685</v>
      </c>
      <c r="N369" s="46" t="s">
        <v>1866</v>
      </c>
      <c r="O369" s="45" t="s">
        <v>1421</v>
      </c>
      <c r="P369" s="45" t="s">
        <v>1627</v>
      </c>
      <c r="Q369" s="60" t="s">
        <v>1628</v>
      </c>
      <c r="R369" s="60" t="s">
        <v>1629</v>
      </c>
      <c r="S369" s="46" t="s">
        <v>1630</v>
      </c>
      <c r="T369" s="60" t="s">
        <v>1700</v>
      </c>
      <c r="U369" s="60" t="s">
        <v>1459</v>
      </c>
      <c r="V369" s="60"/>
    </row>
    <row r="370" hidden="1" spans="1:22">
      <c r="A370" s="37">
        <v>540425201812062</v>
      </c>
      <c r="B370" s="38" t="s">
        <v>20</v>
      </c>
      <c r="C370" s="485" t="s">
        <v>2348</v>
      </c>
      <c r="D370" s="60" t="s">
        <v>2319</v>
      </c>
      <c r="E370" s="57">
        <v>2019.12</v>
      </c>
      <c r="F370" s="58" t="str">
        <f>_xlfn.XLOOKUP(A370,附件3!A199:A231,附件3!G199:G231)</f>
        <v>下察隅镇竹尼村</v>
      </c>
      <c r="G370" s="60" t="s">
        <v>2349</v>
      </c>
      <c r="H370" s="42">
        <v>10</v>
      </c>
      <c r="I370" s="58">
        <v>1</v>
      </c>
      <c r="J370" s="48">
        <v>13981400</v>
      </c>
      <c r="K370" s="48">
        <v>6990700</v>
      </c>
      <c r="L370" s="48">
        <f t="shared" si="1"/>
        <v>6990700</v>
      </c>
      <c r="M370" s="53" t="s">
        <v>1685</v>
      </c>
      <c r="N370" s="46" t="s">
        <v>1866</v>
      </c>
      <c r="O370" s="45" t="s">
        <v>1421</v>
      </c>
      <c r="P370" s="45" t="s">
        <v>1627</v>
      </c>
      <c r="Q370" s="60" t="s">
        <v>1628</v>
      </c>
      <c r="R370" s="60" t="s">
        <v>1629</v>
      </c>
      <c r="S370" s="46" t="s">
        <v>1630</v>
      </c>
      <c r="T370" s="60" t="s">
        <v>1700</v>
      </c>
      <c r="U370" s="60" t="s">
        <v>1577</v>
      </c>
      <c r="V370" s="60"/>
    </row>
    <row r="371" hidden="1" spans="1:22">
      <c r="A371" s="37">
        <v>540425201812063</v>
      </c>
      <c r="B371" s="38" t="s">
        <v>20</v>
      </c>
      <c r="C371" s="485" t="s">
        <v>2350</v>
      </c>
      <c r="D371" s="60" t="s">
        <v>2319</v>
      </c>
      <c r="E371" s="57">
        <v>2019.12</v>
      </c>
      <c r="F371" s="58" t="str">
        <f>_xlfn.XLOOKUP(A371,附件3!A200:A232,附件3!G200:G232)</f>
        <v>下察隅镇塔玛村</v>
      </c>
      <c r="G371" s="60" t="s">
        <v>2351</v>
      </c>
      <c r="H371" s="42">
        <v>10</v>
      </c>
      <c r="I371" s="58">
        <v>1</v>
      </c>
      <c r="J371" s="48">
        <v>7770300</v>
      </c>
      <c r="K371" s="48">
        <v>3885150</v>
      </c>
      <c r="L371" s="48">
        <f t="shared" si="1"/>
        <v>3885150</v>
      </c>
      <c r="M371" s="53" t="s">
        <v>1685</v>
      </c>
      <c r="N371" s="46" t="s">
        <v>1866</v>
      </c>
      <c r="O371" s="45" t="s">
        <v>1421</v>
      </c>
      <c r="P371" s="45" t="s">
        <v>1627</v>
      </c>
      <c r="Q371" s="60" t="s">
        <v>1628</v>
      </c>
      <c r="R371" s="60" t="s">
        <v>1629</v>
      </c>
      <c r="S371" s="46" t="s">
        <v>1630</v>
      </c>
      <c r="T371" s="60" t="s">
        <v>1700</v>
      </c>
      <c r="U371" s="60" t="s">
        <v>1465</v>
      </c>
      <c r="V371" s="60"/>
    </row>
    <row r="372" hidden="1" spans="1:22">
      <c r="A372" s="37">
        <v>540425201812064</v>
      </c>
      <c r="B372" s="38" t="s">
        <v>20</v>
      </c>
      <c r="C372" s="485" t="s">
        <v>2352</v>
      </c>
      <c r="D372" s="60" t="s">
        <v>2319</v>
      </c>
      <c r="E372" s="57">
        <v>2019.12</v>
      </c>
      <c r="F372" s="58" t="str">
        <f>_xlfn.XLOOKUP(A372,附件3!A201:A233,附件3!G201:G233)</f>
        <v>下察隅镇塔林村</v>
      </c>
      <c r="G372" s="60" t="s">
        <v>2353</v>
      </c>
      <c r="H372" s="42">
        <v>10</v>
      </c>
      <c r="I372" s="58">
        <v>1</v>
      </c>
      <c r="J372" s="48">
        <v>8544600</v>
      </c>
      <c r="K372" s="48">
        <v>4272300</v>
      </c>
      <c r="L372" s="48">
        <f t="shared" si="1"/>
        <v>4272300</v>
      </c>
      <c r="M372" s="53" t="s">
        <v>1685</v>
      </c>
      <c r="N372" s="46" t="s">
        <v>1866</v>
      </c>
      <c r="O372" s="45" t="s">
        <v>1421</v>
      </c>
      <c r="P372" s="45" t="s">
        <v>1627</v>
      </c>
      <c r="Q372" s="60" t="s">
        <v>1628</v>
      </c>
      <c r="R372" s="60" t="s">
        <v>1629</v>
      </c>
      <c r="S372" s="46" t="s">
        <v>1630</v>
      </c>
      <c r="T372" s="60" t="s">
        <v>1700</v>
      </c>
      <c r="U372" s="60" t="s">
        <v>1574</v>
      </c>
      <c r="V372" s="60"/>
    </row>
    <row r="373" hidden="1" spans="1:22">
      <c r="A373" s="37">
        <v>540425201812065</v>
      </c>
      <c r="B373" s="38" t="s">
        <v>20</v>
      </c>
      <c r="C373" s="485" t="s">
        <v>2354</v>
      </c>
      <c r="D373" s="60" t="s">
        <v>2319</v>
      </c>
      <c r="E373" s="57">
        <v>2019.12</v>
      </c>
      <c r="F373" s="58" t="str">
        <f>_xlfn.XLOOKUP(A373,附件3!A202:A233,附件3!G202:G233)</f>
        <v>下察隅镇沙琼村</v>
      </c>
      <c r="G373" s="60" t="s">
        <v>2355</v>
      </c>
      <c r="H373" s="42">
        <v>10</v>
      </c>
      <c r="I373" s="58">
        <v>1</v>
      </c>
      <c r="J373" s="48">
        <v>32382000</v>
      </c>
      <c r="K373" s="48">
        <v>16191000</v>
      </c>
      <c r="L373" s="48">
        <f t="shared" si="1"/>
        <v>16191000</v>
      </c>
      <c r="M373" s="53" t="s">
        <v>1685</v>
      </c>
      <c r="N373" s="46" t="s">
        <v>1866</v>
      </c>
      <c r="O373" s="45" t="s">
        <v>1421</v>
      </c>
      <c r="P373" s="45" t="s">
        <v>1627</v>
      </c>
      <c r="Q373" s="60" t="s">
        <v>1628</v>
      </c>
      <c r="R373" s="60" t="s">
        <v>1629</v>
      </c>
      <c r="S373" s="46" t="s">
        <v>1630</v>
      </c>
      <c r="T373" s="60" t="s">
        <v>1700</v>
      </c>
      <c r="U373" s="60" t="s">
        <v>1449</v>
      </c>
      <c r="V373" s="60"/>
    </row>
    <row r="374" hidden="1" spans="1:22">
      <c r="A374" s="37">
        <v>540425201812066</v>
      </c>
      <c r="B374" s="38" t="s">
        <v>20</v>
      </c>
      <c r="C374" s="485" t="s">
        <v>2356</v>
      </c>
      <c r="D374" s="60" t="s">
        <v>2319</v>
      </c>
      <c r="E374" s="57">
        <v>2019.12</v>
      </c>
      <c r="F374" s="58" t="str">
        <f>_xlfn.XLOOKUP(A374,附件3!A203:A236,附件3!G203:G236)</f>
        <v>下察隅镇共同村</v>
      </c>
      <c r="G374" s="60" t="s">
        <v>2357</v>
      </c>
      <c r="H374" s="42">
        <v>10</v>
      </c>
      <c r="I374" s="58">
        <v>1</v>
      </c>
      <c r="J374" s="48">
        <v>5134400</v>
      </c>
      <c r="K374" s="48">
        <v>2567200</v>
      </c>
      <c r="L374" s="48">
        <f t="shared" si="1"/>
        <v>2567200</v>
      </c>
      <c r="M374" s="53" t="s">
        <v>1685</v>
      </c>
      <c r="N374" s="46" t="s">
        <v>1866</v>
      </c>
      <c r="O374" s="45" t="s">
        <v>1421</v>
      </c>
      <c r="P374" s="45" t="s">
        <v>1627</v>
      </c>
      <c r="Q374" s="60" t="s">
        <v>1628</v>
      </c>
      <c r="R374" s="60" t="s">
        <v>1629</v>
      </c>
      <c r="S374" s="46" t="s">
        <v>1630</v>
      </c>
      <c r="T374" s="60" t="s">
        <v>1700</v>
      </c>
      <c r="U374" s="60" t="s">
        <v>1462</v>
      </c>
      <c r="V374" s="60"/>
    </row>
    <row r="375" hidden="1" spans="1:22">
      <c r="A375" s="37">
        <v>540425201812067</v>
      </c>
      <c r="B375" s="38" t="s">
        <v>20</v>
      </c>
      <c r="C375" s="485" t="s">
        <v>2358</v>
      </c>
      <c r="D375" s="60" t="s">
        <v>2319</v>
      </c>
      <c r="E375" s="57">
        <v>2019.12</v>
      </c>
      <c r="F375" s="58" t="str">
        <f>_xlfn.XLOOKUP(A375,附件3!A204:A237,附件3!G204:G237)</f>
        <v>下察隅镇嘎腰村</v>
      </c>
      <c r="G375" s="60" t="s">
        <v>2359</v>
      </c>
      <c r="H375" s="42">
        <v>10</v>
      </c>
      <c r="I375" s="58">
        <v>1</v>
      </c>
      <c r="J375" s="48">
        <v>8397400</v>
      </c>
      <c r="K375" s="48">
        <v>4198700</v>
      </c>
      <c r="L375" s="48">
        <f t="shared" si="1"/>
        <v>4198700</v>
      </c>
      <c r="M375" s="53" t="s">
        <v>1685</v>
      </c>
      <c r="N375" s="46" t="s">
        <v>1866</v>
      </c>
      <c r="O375" s="45" t="s">
        <v>1421</v>
      </c>
      <c r="P375" s="45" t="s">
        <v>1627</v>
      </c>
      <c r="Q375" s="60" t="s">
        <v>1628</v>
      </c>
      <c r="R375" s="60" t="s">
        <v>1629</v>
      </c>
      <c r="S375" s="46" t="s">
        <v>1630</v>
      </c>
      <c r="T375" s="60" t="s">
        <v>1700</v>
      </c>
      <c r="U375" s="60" t="s">
        <v>1578</v>
      </c>
      <c r="V375" s="60"/>
    </row>
    <row r="376" hidden="1" spans="1:22">
      <c r="A376" s="37">
        <v>540425201812068</v>
      </c>
      <c r="B376" s="38" t="s">
        <v>20</v>
      </c>
      <c r="C376" s="485" t="s">
        <v>2360</v>
      </c>
      <c r="D376" s="60" t="s">
        <v>2319</v>
      </c>
      <c r="E376" s="57">
        <v>2019.12</v>
      </c>
      <c r="F376" s="58" t="str">
        <f>_xlfn.XLOOKUP(A376,附件3!A205:A238,附件3!G205:G238)</f>
        <v>下察隅镇嘎堆嘎美村</v>
      </c>
      <c r="G376" s="60" t="s">
        <v>2347</v>
      </c>
      <c r="H376" s="42">
        <v>10</v>
      </c>
      <c r="I376" s="58">
        <v>1</v>
      </c>
      <c r="J376" s="48">
        <v>7912011.6</v>
      </c>
      <c r="K376" s="48">
        <v>3956005.8</v>
      </c>
      <c r="L376" s="48">
        <f t="shared" si="1"/>
        <v>3956005.8</v>
      </c>
      <c r="M376" s="53" t="s">
        <v>1685</v>
      </c>
      <c r="N376" s="46" t="s">
        <v>1866</v>
      </c>
      <c r="O376" s="45" t="s">
        <v>1421</v>
      </c>
      <c r="P376" s="45" t="s">
        <v>1627</v>
      </c>
      <c r="Q376" s="60" t="s">
        <v>1628</v>
      </c>
      <c r="R376" s="60" t="s">
        <v>1629</v>
      </c>
      <c r="S376" s="46" t="s">
        <v>1630</v>
      </c>
      <c r="T376" s="60" t="s">
        <v>1700</v>
      </c>
      <c r="U376" s="60" t="s">
        <v>1579</v>
      </c>
      <c r="V376" s="60"/>
    </row>
    <row r="377" hidden="1" spans="1:22">
      <c r="A377" s="37">
        <v>540425201812069</v>
      </c>
      <c r="B377" s="38" t="s">
        <v>20</v>
      </c>
      <c r="C377" s="485" t="s">
        <v>2361</v>
      </c>
      <c r="D377" s="60" t="s">
        <v>2319</v>
      </c>
      <c r="E377" s="57">
        <v>2019.12</v>
      </c>
      <c r="F377" s="58" t="str">
        <f>_xlfn.XLOOKUP(A377,附件3!A206:A239,附件3!G206:G239)</f>
        <v>下察隅镇新村</v>
      </c>
      <c r="G377" s="60" t="s">
        <v>2362</v>
      </c>
      <c r="H377" s="42">
        <v>10</v>
      </c>
      <c r="I377" s="58">
        <v>1</v>
      </c>
      <c r="J377" s="48">
        <v>6240294.39</v>
      </c>
      <c r="K377" s="48">
        <v>3120147.195</v>
      </c>
      <c r="L377" s="48">
        <f t="shared" si="1"/>
        <v>3120147.195</v>
      </c>
      <c r="M377" s="53" t="s">
        <v>1685</v>
      </c>
      <c r="N377" s="46" t="s">
        <v>1866</v>
      </c>
      <c r="O377" s="45" t="s">
        <v>1421</v>
      </c>
      <c r="P377" s="45" t="s">
        <v>1627</v>
      </c>
      <c r="Q377" s="60" t="s">
        <v>1628</v>
      </c>
      <c r="R377" s="60" t="s">
        <v>1629</v>
      </c>
      <c r="S377" s="46" t="s">
        <v>1630</v>
      </c>
      <c r="T377" s="60" t="s">
        <v>1700</v>
      </c>
      <c r="U377" s="60" t="s">
        <v>1580</v>
      </c>
      <c r="V377" s="60"/>
    </row>
    <row r="378" hidden="1" spans="1:22">
      <c r="A378" s="37">
        <v>540425201812070</v>
      </c>
      <c r="B378" s="38" t="s">
        <v>20</v>
      </c>
      <c r="C378" s="485" t="s">
        <v>2363</v>
      </c>
      <c r="D378" s="60" t="s">
        <v>2319</v>
      </c>
      <c r="E378" s="57">
        <v>2019.12</v>
      </c>
      <c r="F378" s="58" t="str">
        <f>_xlfn.XLOOKUP(A378,附件3!A207:A240,附件3!G207:G240)</f>
        <v>下察隅镇扎巴村</v>
      </c>
      <c r="G378" s="60" t="s">
        <v>2364</v>
      </c>
      <c r="H378" s="42">
        <v>10</v>
      </c>
      <c r="I378" s="58">
        <v>1</v>
      </c>
      <c r="J378" s="48">
        <v>3016400</v>
      </c>
      <c r="K378" s="48">
        <v>1508200</v>
      </c>
      <c r="L378" s="48">
        <f t="shared" si="1"/>
        <v>1508200</v>
      </c>
      <c r="M378" s="53" t="s">
        <v>1685</v>
      </c>
      <c r="N378" s="46" t="s">
        <v>1866</v>
      </c>
      <c r="O378" s="45" t="s">
        <v>1421</v>
      </c>
      <c r="P378" s="45" t="s">
        <v>1627</v>
      </c>
      <c r="Q378" s="60" t="s">
        <v>1628</v>
      </c>
      <c r="R378" s="60" t="s">
        <v>1629</v>
      </c>
      <c r="S378" s="46" t="s">
        <v>1630</v>
      </c>
      <c r="T378" s="60" t="s">
        <v>1700</v>
      </c>
      <c r="U378" s="60" t="s">
        <v>1569</v>
      </c>
      <c r="V378" s="60"/>
    </row>
    <row r="379" hidden="1" spans="1:22">
      <c r="A379" s="37">
        <v>540425201812071</v>
      </c>
      <c r="B379" s="38" t="s">
        <v>20</v>
      </c>
      <c r="C379" s="485" t="s">
        <v>2365</v>
      </c>
      <c r="D379" s="60" t="s">
        <v>2319</v>
      </c>
      <c r="E379" s="57">
        <v>2022.12</v>
      </c>
      <c r="F379" s="58" t="str">
        <f>_xlfn.XLOOKUP(A379,附件3!A208:A241,附件3!G208:G241)</f>
        <v>上察隅永宁村</v>
      </c>
      <c r="G379" s="60" t="s">
        <v>2366</v>
      </c>
      <c r="H379" s="42">
        <v>10</v>
      </c>
      <c r="I379" s="58">
        <v>1</v>
      </c>
      <c r="J379" s="48">
        <v>4000000</v>
      </c>
      <c r="K379" s="48">
        <v>2000000</v>
      </c>
      <c r="L379" s="48">
        <f t="shared" si="1"/>
        <v>2000000</v>
      </c>
      <c r="M379" s="53" t="s">
        <v>1685</v>
      </c>
      <c r="N379" s="46" t="s">
        <v>1866</v>
      </c>
      <c r="O379" s="45" t="s">
        <v>1421</v>
      </c>
      <c r="P379" s="45" t="s">
        <v>1627</v>
      </c>
      <c r="Q379" s="60" t="s">
        <v>1628</v>
      </c>
      <c r="R379" s="60" t="s">
        <v>1629</v>
      </c>
      <c r="S379" s="46" t="s">
        <v>1630</v>
      </c>
      <c r="T379" s="60" t="s">
        <v>1700</v>
      </c>
      <c r="U379" s="60" t="s">
        <v>1571</v>
      </c>
      <c r="V379" s="60"/>
    </row>
    <row r="380" hidden="1" spans="1:22">
      <c r="A380" s="37">
        <v>540425202112023</v>
      </c>
      <c r="B380" s="38" t="s">
        <v>20</v>
      </c>
      <c r="C380" s="485" t="s">
        <v>2367</v>
      </c>
      <c r="D380" s="60" t="s">
        <v>2368</v>
      </c>
      <c r="E380" s="57">
        <v>2022.1</v>
      </c>
      <c r="F380" s="60" t="s">
        <v>2369</v>
      </c>
      <c r="G380" s="60" t="s">
        <v>1647</v>
      </c>
      <c r="H380" s="69">
        <v>20</v>
      </c>
      <c r="I380" s="60">
        <v>1</v>
      </c>
      <c r="J380" s="48">
        <v>25911400</v>
      </c>
      <c r="K380" s="48">
        <v>3886710</v>
      </c>
      <c r="L380" s="48">
        <v>22024690</v>
      </c>
      <c r="M380" s="60" t="s">
        <v>1625</v>
      </c>
      <c r="N380" s="60" t="s">
        <v>1643</v>
      </c>
      <c r="O380" s="60" t="s">
        <v>1426</v>
      </c>
      <c r="P380" s="60" t="s">
        <v>1627</v>
      </c>
      <c r="Q380" s="60" t="s">
        <v>1628</v>
      </c>
      <c r="R380" s="60" t="s">
        <v>1629</v>
      </c>
      <c r="S380" s="46" t="s">
        <v>1630</v>
      </c>
      <c r="T380" s="60" t="s">
        <v>1627</v>
      </c>
      <c r="U380" s="60" t="s">
        <v>121</v>
      </c>
      <c r="V380" s="60"/>
    </row>
    <row r="381" hidden="1" spans="1:22">
      <c r="A381" s="37">
        <v>540425201307022</v>
      </c>
      <c r="B381" s="38" t="s">
        <v>20</v>
      </c>
      <c r="C381" s="70" t="s">
        <v>2370</v>
      </c>
      <c r="D381" s="60" t="s">
        <v>1698</v>
      </c>
      <c r="E381" s="60">
        <v>2014.6</v>
      </c>
      <c r="F381" s="60" t="s">
        <v>1027</v>
      </c>
      <c r="G381" s="60" t="s">
        <v>1642</v>
      </c>
      <c r="H381" s="69">
        <v>20</v>
      </c>
      <c r="I381" s="60">
        <v>1</v>
      </c>
      <c r="J381" s="71">
        <v>399244</v>
      </c>
      <c r="K381" s="71">
        <f>J381/20*10.5</f>
        <v>209603.1</v>
      </c>
      <c r="L381" s="71">
        <f>J381-K381</f>
        <v>189640.9</v>
      </c>
      <c r="M381" s="60" t="s">
        <v>1625</v>
      </c>
      <c r="N381" s="60" t="s">
        <v>1643</v>
      </c>
      <c r="O381" s="60" t="s">
        <v>1421</v>
      </c>
      <c r="P381" s="60" t="s">
        <v>1627</v>
      </c>
      <c r="Q381" s="60" t="s">
        <v>1688</v>
      </c>
      <c r="R381" s="60"/>
      <c r="S381" s="60" t="s">
        <v>1630</v>
      </c>
      <c r="T381" s="60" t="s">
        <v>1636</v>
      </c>
      <c r="U381" s="60" t="s">
        <v>1581</v>
      </c>
      <c r="V381" s="60"/>
    </row>
    <row r="382" spans="1:22">
      <c r="A382" s="72"/>
      <c r="B382" s="38"/>
      <c r="C382" s="73"/>
      <c r="D382" s="60"/>
      <c r="E382" s="60"/>
      <c r="F382" s="60"/>
      <c r="G382" s="60"/>
      <c r="H382" s="69"/>
      <c r="I382" s="60"/>
      <c r="J382" s="71"/>
      <c r="K382" s="71"/>
      <c r="L382" s="71"/>
      <c r="M382" s="60"/>
      <c r="N382" s="60"/>
      <c r="O382" s="60"/>
      <c r="P382" s="60"/>
      <c r="Q382" s="60"/>
      <c r="R382" s="60"/>
      <c r="S382" s="60"/>
      <c r="T382" s="60"/>
      <c r="U382" s="60"/>
      <c r="V382" s="60"/>
    </row>
    <row r="383" spans="1:22">
      <c r="A383" s="72"/>
      <c r="B383" s="38"/>
      <c r="C383" s="73"/>
      <c r="D383" s="60"/>
      <c r="E383" s="60"/>
      <c r="F383" s="60"/>
      <c r="G383" s="60"/>
      <c r="H383" s="69"/>
      <c r="I383" s="60"/>
      <c r="J383" s="71"/>
      <c r="K383" s="71"/>
      <c r="L383" s="71"/>
      <c r="M383" s="60"/>
      <c r="N383" s="60"/>
      <c r="O383" s="60"/>
      <c r="P383" s="60"/>
      <c r="Q383" s="60"/>
      <c r="R383" s="60"/>
      <c r="S383" s="60"/>
      <c r="T383" s="60"/>
      <c r="U383" s="60"/>
      <c r="V383" s="60"/>
    </row>
    <row r="384" spans="1:22">
      <c r="A384" s="72"/>
      <c r="B384" s="38"/>
      <c r="C384" s="73"/>
      <c r="D384" s="60"/>
      <c r="E384" s="60"/>
      <c r="F384" s="60"/>
      <c r="G384" s="60"/>
      <c r="H384" s="69"/>
      <c r="I384" s="60"/>
      <c r="J384" s="71"/>
      <c r="K384" s="71"/>
      <c r="L384" s="71"/>
      <c r="M384" s="60"/>
      <c r="N384" s="60"/>
      <c r="O384" s="60"/>
      <c r="P384" s="60"/>
      <c r="Q384" s="60"/>
      <c r="R384" s="60"/>
      <c r="S384" s="60"/>
      <c r="T384" s="60"/>
      <c r="U384" s="60"/>
      <c r="V384" s="60"/>
    </row>
    <row r="385" spans="1:22">
      <c r="A385" s="72"/>
      <c r="B385" s="38"/>
      <c r="C385" s="73"/>
      <c r="D385" s="60"/>
      <c r="E385" s="60"/>
      <c r="F385" s="60"/>
      <c r="G385" s="60"/>
      <c r="H385" s="69"/>
      <c r="I385" s="60"/>
      <c r="J385" s="71"/>
      <c r="K385" s="71"/>
      <c r="L385" s="71"/>
      <c r="M385" s="60"/>
      <c r="N385" s="60"/>
      <c r="O385" s="60"/>
      <c r="P385" s="60"/>
      <c r="Q385" s="60"/>
      <c r="R385" s="60"/>
      <c r="S385" s="60"/>
      <c r="T385" s="60"/>
      <c r="U385" s="60"/>
      <c r="V385" s="60"/>
    </row>
    <row r="386" spans="1:22">
      <c r="A386" s="72"/>
      <c r="B386" s="38"/>
      <c r="C386" s="73"/>
      <c r="D386" s="60"/>
      <c r="E386" s="60"/>
      <c r="F386" s="60"/>
      <c r="G386" s="60"/>
      <c r="H386" s="69"/>
      <c r="I386" s="60"/>
      <c r="J386" s="71"/>
      <c r="K386" s="71"/>
      <c r="L386" s="71"/>
      <c r="M386" s="60"/>
      <c r="N386" s="60"/>
      <c r="O386" s="60"/>
      <c r="P386" s="60"/>
      <c r="Q386" s="60"/>
      <c r="R386" s="60"/>
      <c r="S386" s="60"/>
      <c r="T386" s="60"/>
      <c r="U386" s="60"/>
      <c r="V386" s="60"/>
    </row>
    <row r="387" spans="1:22">
      <c r="A387" s="72"/>
      <c r="B387" s="38"/>
      <c r="C387" s="73"/>
      <c r="D387" s="60"/>
      <c r="E387" s="60"/>
      <c r="F387" s="60"/>
      <c r="G387" s="60"/>
      <c r="H387" s="69"/>
      <c r="I387" s="60"/>
      <c r="J387" s="71"/>
      <c r="K387" s="71"/>
      <c r="L387" s="71"/>
      <c r="M387" s="60"/>
      <c r="N387" s="60"/>
      <c r="O387" s="60"/>
      <c r="P387" s="60"/>
      <c r="Q387" s="60"/>
      <c r="R387" s="60"/>
      <c r="S387" s="60"/>
      <c r="T387" s="60"/>
      <c r="U387" s="60"/>
      <c r="V387" s="60"/>
    </row>
    <row r="388" spans="1:22">
      <c r="A388" s="72"/>
      <c r="B388" s="38"/>
      <c r="C388" s="73"/>
      <c r="D388" s="60"/>
      <c r="E388" s="60"/>
      <c r="F388" s="60"/>
      <c r="G388" s="60"/>
      <c r="H388" s="69"/>
      <c r="I388" s="60"/>
      <c r="J388" s="71"/>
      <c r="K388" s="71"/>
      <c r="L388" s="71"/>
      <c r="M388" s="60"/>
      <c r="N388" s="60"/>
      <c r="O388" s="60"/>
      <c r="P388" s="60"/>
      <c r="Q388" s="60"/>
      <c r="R388" s="60"/>
      <c r="S388" s="60"/>
      <c r="T388" s="60"/>
      <c r="U388" s="60"/>
      <c r="V388" s="60"/>
    </row>
    <row r="389" spans="1:22">
      <c r="A389" s="72"/>
      <c r="B389" s="38"/>
      <c r="C389" s="74"/>
      <c r="D389" s="60"/>
      <c r="E389" s="60"/>
      <c r="F389" s="60"/>
      <c r="G389" s="60"/>
      <c r="H389" s="69"/>
      <c r="I389" s="60"/>
      <c r="J389" s="71"/>
      <c r="K389" s="71"/>
      <c r="L389" s="71"/>
      <c r="M389" s="60"/>
      <c r="N389" s="60"/>
      <c r="O389" s="60"/>
      <c r="P389" s="60"/>
      <c r="Q389" s="60"/>
      <c r="R389" s="60"/>
      <c r="S389" s="60"/>
      <c r="T389" s="60"/>
      <c r="U389" s="60"/>
      <c r="V389" s="60"/>
    </row>
    <row r="390" spans="1:22">
      <c r="A390" s="72"/>
      <c r="B390" s="38"/>
      <c r="C390" s="74"/>
      <c r="D390" s="60"/>
      <c r="E390" s="60"/>
      <c r="F390" s="60"/>
      <c r="G390" s="60"/>
      <c r="H390" s="69"/>
      <c r="I390" s="60"/>
      <c r="J390" s="71"/>
      <c r="K390" s="71"/>
      <c r="L390" s="71"/>
      <c r="M390" s="60"/>
      <c r="N390" s="60"/>
      <c r="O390" s="60"/>
      <c r="P390" s="60"/>
      <c r="Q390" s="60"/>
      <c r="R390" s="60"/>
      <c r="S390" s="60"/>
      <c r="T390" s="60"/>
      <c r="U390" s="60"/>
      <c r="V390" s="60"/>
    </row>
    <row r="391" spans="1:22">
      <c r="A391" s="72"/>
      <c r="B391" s="38"/>
      <c r="C391" s="74"/>
      <c r="D391" s="60"/>
      <c r="E391" s="60"/>
      <c r="F391" s="60"/>
      <c r="G391" s="60"/>
      <c r="H391" s="69"/>
      <c r="I391" s="60"/>
      <c r="J391" s="71"/>
      <c r="K391" s="71"/>
      <c r="L391" s="71"/>
      <c r="M391" s="60"/>
      <c r="N391" s="60"/>
      <c r="O391" s="60"/>
      <c r="P391" s="60"/>
      <c r="Q391" s="60"/>
      <c r="R391" s="60"/>
      <c r="S391" s="60"/>
      <c r="T391" s="60"/>
      <c r="U391" s="60"/>
      <c r="V391" s="60"/>
    </row>
    <row r="392" spans="1:22">
      <c r="A392" s="72"/>
      <c r="B392" s="38"/>
      <c r="C392" s="74"/>
      <c r="D392" s="60"/>
      <c r="E392" s="60"/>
      <c r="F392" s="60"/>
      <c r="G392" s="60"/>
      <c r="H392" s="69"/>
      <c r="I392" s="60"/>
      <c r="J392" s="71"/>
      <c r="K392" s="71"/>
      <c r="L392" s="71"/>
      <c r="M392" s="60"/>
      <c r="N392" s="60"/>
      <c r="O392" s="60"/>
      <c r="P392" s="60"/>
      <c r="Q392" s="60"/>
      <c r="R392" s="60"/>
      <c r="S392" s="60"/>
      <c r="T392" s="60"/>
      <c r="U392" s="60"/>
      <c r="V392" s="60"/>
    </row>
    <row r="393" spans="1:22">
      <c r="A393" s="72"/>
      <c r="B393" s="38"/>
      <c r="C393" s="74"/>
      <c r="D393" s="60"/>
      <c r="E393" s="60"/>
      <c r="F393" s="60"/>
      <c r="G393" s="60"/>
      <c r="H393" s="69"/>
      <c r="I393" s="60"/>
      <c r="J393" s="71"/>
      <c r="K393" s="71"/>
      <c r="L393" s="71"/>
      <c r="M393" s="60"/>
      <c r="N393" s="60"/>
      <c r="O393" s="60"/>
      <c r="P393" s="60"/>
      <c r="Q393" s="60"/>
      <c r="R393" s="60"/>
      <c r="S393" s="60"/>
      <c r="T393" s="60"/>
      <c r="U393" s="60"/>
      <c r="V393" s="60"/>
    </row>
    <row r="394" spans="1:22">
      <c r="A394" s="72"/>
      <c r="B394" s="38"/>
      <c r="C394" s="74"/>
      <c r="D394" s="60"/>
      <c r="E394" s="60"/>
      <c r="F394" s="60"/>
      <c r="G394" s="60"/>
      <c r="H394" s="69"/>
      <c r="I394" s="60"/>
      <c r="J394" s="60"/>
      <c r="K394" s="60"/>
      <c r="L394" s="60"/>
      <c r="M394" s="60"/>
      <c r="N394" s="60"/>
      <c r="O394" s="60"/>
      <c r="P394" s="60"/>
      <c r="Q394" s="60"/>
      <c r="R394" s="60"/>
      <c r="S394" s="60"/>
      <c r="T394" s="60"/>
      <c r="U394" s="60"/>
      <c r="V394" s="60"/>
    </row>
    <row r="395" spans="1:22">
      <c r="A395" s="72"/>
      <c r="B395" s="38"/>
      <c r="C395" s="74"/>
      <c r="D395" s="60"/>
      <c r="E395" s="60"/>
      <c r="F395" s="60"/>
      <c r="G395" s="60"/>
      <c r="H395" s="69"/>
      <c r="I395" s="60"/>
      <c r="J395" s="60"/>
      <c r="K395" s="60"/>
      <c r="L395" s="60"/>
      <c r="M395" s="60"/>
      <c r="N395" s="60"/>
      <c r="O395" s="60"/>
      <c r="P395" s="60"/>
      <c r="Q395" s="60"/>
      <c r="R395" s="60"/>
      <c r="S395" s="60"/>
      <c r="T395" s="60"/>
      <c r="U395" s="60"/>
      <c r="V395" s="60"/>
    </row>
    <row r="396" spans="1:22">
      <c r="A396" s="75"/>
      <c r="B396" s="38"/>
      <c r="C396" s="60"/>
      <c r="D396" s="60"/>
      <c r="E396" s="60"/>
      <c r="F396" s="60"/>
      <c r="G396" s="60"/>
      <c r="H396" s="69"/>
      <c r="I396" s="60"/>
      <c r="J396" s="60"/>
      <c r="K396" s="60"/>
      <c r="L396" s="60"/>
      <c r="M396" s="60"/>
      <c r="N396" s="60"/>
      <c r="O396" s="60"/>
      <c r="P396" s="60"/>
      <c r="Q396" s="60"/>
      <c r="R396" s="60"/>
      <c r="S396" s="60"/>
      <c r="T396" s="60"/>
      <c r="U396" s="60"/>
      <c r="V396" s="60"/>
    </row>
    <row r="397" spans="1:22">
      <c r="A397" s="75"/>
      <c r="B397" s="38"/>
      <c r="C397" s="60"/>
      <c r="D397" s="60"/>
      <c r="E397" s="60"/>
      <c r="F397" s="60"/>
      <c r="G397" s="60"/>
      <c r="H397" s="69"/>
      <c r="I397" s="60"/>
      <c r="J397" s="60"/>
      <c r="K397" s="60"/>
      <c r="L397" s="60"/>
      <c r="M397" s="60"/>
      <c r="N397" s="60"/>
      <c r="O397" s="60"/>
      <c r="P397" s="60"/>
      <c r="Q397" s="60"/>
      <c r="R397" s="60"/>
      <c r="S397" s="60"/>
      <c r="T397" s="60"/>
      <c r="U397" s="60"/>
      <c r="V397" s="60"/>
    </row>
    <row r="398" spans="1:22">
      <c r="A398" s="75"/>
      <c r="B398" s="38"/>
      <c r="C398" s="60"/>
      <c r="D398" s="60"/>
      <c r="E398" s="60"/>
      <c r="F398" s="60"/>
      <c r="G398" s="60"/>
      <c r="H398" s="69"/>
      <c r="I398" s="60"/>
      <c r="J398" s="60"/>
      <c r="K398" s="60"/>
      <c r="L398" s="60"/>
      <c r="M398" s="60"/>
      <c r="N398" s="60"/>
      <c r="O398" s="60"/>
      <c r="P398" s="60"/>
      <c r="Q398" s="60"/>
      <c r="R398" s="60"/>
      <c r="S398" s="60"/>
      <c r="T398" s="60"/>
      <c r="U398" s="60"/>
      <c r="V398" s="60"/>
    </row>
    <row r="399" spans="1:22">
      <c r="A399" s="73"/>
      <c r="B399" s="38"/>
      <c r="C399" s="60"/>
      <c r="D399" s="60"/>
      <c r="E399" s="60"/>
      <c r="F399" s="60"/>
      <c r="G399" s="60"/>
      <c r="H399" s="69"/>
      <c r="I399" s="60"/>
      <c r="J399" s="60"/>
      <c r="K399" s="60"/>
      <c r="L399" s="60"/>
      <c r="M399" s="60"/>
      <c r="N399" s="60"/>
      <c r="O399" s="60"/>
      <c r="P399" s="60"/>
      <c r="Q399" s="60"/>
      <c r="R399" s="60"/>
      <c r="S399" s="60"/>
      <c r="T399" s="60"/>
      <c r="U399" s="60"/>
      <c r="V399" s="60"/>
    </row>
  </sheetData>
  <sheetProtection formatCells="0" formatColumns="0" formatRows="0" insertRows="0" insertColumns="0" insertHyperlinks="0" deleteColumns="0" deleteRows="0" sort="0" autoFilter="0" pivotTables="0"/>
  <autoFilter xmlns:etc="http://www.wps.cn/officeDocument/2017/etCustomData" ref="A3:V381" etc:filterBottomFollowUsedRange="0">
    <filterColumn colId="0">
      <customFilters>
        <customFilter operator="equal" val="540425202104006"/>
      </customFilters>
    </filterColumn>
    <extLst/>
  </autoFilter>
  <mergeCells count="2">
    <mergeCell ref="A1:V1"/>
    <mergeCell ref="Q2:R2"/>
  </mergeCells>
  <pageMargins left="0.751388888888889" right="0.751388888888889" top="1" bottom="1" header="0.5" footer="0.5"/>
  <pageSetup paperSize="9" scale="34" fitToHeight="0" orientation="landscape" horizontalDpi="600"/>
  <headerFooter/>
  <ignoredErrors>
    <ignoredError sqref="F347:F379" formulaRange="1"/>
  </ignoredError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pageSetUpPr fitToPage="1"/>
  </sheetPr>
  <dimension ref="A1:Y199"/>
  <sheetViews>
    <sheetView zoomScale="70" zoomScaleNormal="70" workbookViewId="0">
      <pane ySplit="3" topLeftCell="A4" activePane="bottomLeft" state="frozen"/>
      <selection/>
      <selection pane="bottomLeft" activeCell="F203" sqref="F203"/>
    </sheetView>
  </sheetViews>
  <sheetFormatPr defaultColWidth="9.02727272727273" defaultRowHeight="14"/>
  <cols>
    <col min="1" max="1" width="18.5454545454545" style="12" customWidth="1"/>
    <col min="2" max="2" width="13.5090909090909" style="13" customWidth="1"/>
    <col min="3" max="3" width="22.9454545454545" style="1" customWidth="1"/>
    <col min="4" max="4" width="13.2727272727273" style="1" customWidth="1"/>
    <col min="5" max="5" width="11.6272727272727" style="1" customWidth="1"/>
    <col min="6" max="6" width="15.6454545454545" style="1" customWidth="1"/>
    <col min="7" max="7" width="9.14545454545454" style="1" customWidth="1"/>
    <col min="8" max="8" width="14.1272727272727" style="1" customWidth="1"/>
    <col min="9" max="9" width="8.80909090909091" style="1" customWidth="1"/>
    <col min="10" max="10" width="15" style="1" customWidth="1"/>
    <col min="11" max="11" width="14.3727272727273" style="1" customWidth="1"/>
    <col min="12" max="12" width="14.9909090909091" style="1" customWidth="1"/>
    <col min="13" max="13" width="18.2545454545455" style="1" customWidth="1"/>
    <col min="14" max="14" width="19.5" style="1" customWidth="1"/>
    <col min="15" max="16" width="11.0545454545455" style="1" customWidth="1"/>
    <col min="17" max="18" width="13.2545454545455" style="1" customWidth="1"/>
    <col min="19" max="19" width="11.6272727272727" style="1" customWidth="1"/>
    <col min="20" max="20" width="13.0454545454545" style="1" customWidth="1"/>
    <col min="21" max="21" width="35.7090909090909" style="1" customWidth="1"/>
    <col min="22" max="22" width="6.75454545454545" style="1" customWidth="1"/>
    <col min="23" max="23" width="8" style="1" customWidth="1"/>
    <col min="24" max="24" width="10.6272727272727" style="1" customWidth="1"/>
    <col min="25" max="25" width="8.80909090909091" style="1" customWidth="1"/>
    <col min="26" max="16384" width="9.02727272727273" style="1"/>
  </cols>
  <sheetData>
    <row r="1" ht="75" customHeight="1" spans="1:25">
      <c r="A1" s="14" t="s">
        <v>2371</v>
      </c>
      <c r="B1" s="15"/>
      <c r="C1" s="16"/>
      <c r="D1" s="16"/>
      <c r="E1" s="16"/>
      <c r="F1" s="16"/>
      <c r="G1" s="16"/>
      <c r="H1" s="16"/>
      <c r="I1" s="16"/>
      <c r="J1" s="16"/>
      <c r="K1" s="16"/>
      <c r="L1" s="16"/>
      <c r="M1" s="16"/>
      <c r="N1" s="16"/>
      <c r="O1" s="16"/>
      <c r="P1" s="16"/>
      <c r="Q1" s="16"/>
      <c r="R1" s="16"/>
      <c r="S1" s="16"/>
      <c r="T1" s="16"/>
      <c r="U1" s="16"/>
      <c r="V1" s="16"/>
      <c r="W1" s="16"/>
      <c r="X1" s="16"/>
      <c r="Y1" s="16"/>
    </row>
    <row r="2" ht="87.5" spans="1:25">
      <c r="A2" s="17" t="s">
        <v>1588</v>
      </c>
      <c r="B2" s="18" t="s">
        <v>1400</v>
      </c>
      <c r="C2" s="3" t="s">
        <v>1589</v>
      </c>
      <c r="D2" s="3" t="s">
        <v>2372</v>
      </c>
      <c r="E2" s="3" t="s">
        <v>1591</v>
      </c>
      <c r="F2" s="3" t="s">
        <v>2373</v>
      </c>
      <c r="G2" s="3" t="s">
        <v>1593</v>
      </c>
      <c r="H2" s="3" t="s">
        <v>1594</v>
      </c>
      <c r="I2" s="3" t="s">
        <v>2374</v>
      </c>
      <c r="J2" s="3" t="s">
        <v>2375</v>
      </c>
      <c r="K2" s="3" t="s">
        <v>2376</v>
      </c>
      <c r="L2" s="3" t="s">
        <v>2377</v>
      </c>
      <c r="M2" s="3" t="s">
        <v>1598</v>
      </c>
      <c r="N2" s="3" t="s">
        <v>1599</v>
      </c>
      <c r="O2" s="3" t="s">
        <v>1600</v>
      </c>
      <c r="P2" s="4" t="s">
        <v>2378</v>
      </c>
      <c r="Q2" s="3" t="s">
        <v>1602</v>
      </c>
      <c r="R2" s="3" t="s">
        <v>1603</v>
      </c>
      <c r="S2" s="3" t="s">
        <v>2379</v>
      </c>
      <c r="T2" s="3" t="s">
        <v>1604</v>
      </c>
      <c r="U2" s="3" t="s">
        <v>2380</v>
      </c>
      <c r="V2" s="3" t="s">
        <v>2381</v>
      </c>
      <c r="W2" s="3" t="s">
        <v>2382</v>
      </c>
      <c r="X2" s="3" t="s">
        <v>2383</v>
      </c>
      <c r="Y2" s="3" t="s">
        <v>893</v>
      </c>
    </row>
    <row r="3" ht="175" spans="1:25">
      <c r="A3" s="19" t="s">
        <v>2384</v>
      </c>
      <c r="B3" s="20"/>
      <c r="C3" s="5" t="s">
        <v>1606</v>
      </c>
      <c r="D3" s="5" t="s">
        <v>1607</v>
      </c>
      <c r="E3" s="5" t="s">
        <v>1608</v>
      </c>
      <c r="F3" s="5"/>
      <c r="G3" s="5"/>
      <c r="H3" s="5" t="s">
        <v>1609</v>
      </c>
      <c r="I3" s="5"/>
      <c r="J3" s="5" t="s">
        <v>1610</v>
      </c>
      <c r="K3" s="5" t="s">
        <v>1611</v>
      </c>
      <c r="L3" s="5" t="s">
        <v>1612</v>
      </c>
      <c r="M3" s="5" t="s">
        <v>2385</v>
      </c>
      <c r="N3" s="5" t="s">
        <v>1614</v>
      </c>
      <c r="O3" s="5" t="s">
        <v>1615</v>
      </c>
      <c r="P3" s="5" t="s">
        <v>1616</v>
      </c>
      <c r="Q3" s="6" t="s">
        <v>1617</v>
      </c>
      <c r="R3" s="7" t="s">
        <v>1618</v>
      </c>
      <c r="S3" s="5" t="s">
        <v>1619</v>
      </c>
      <c r="T3" s="6" t="s">
        <v>2386</v>
      </c>
      <c r="U3" s="5"/>
      <c r="V3" s="5"/>
      <c r="W3" s="5" t="s">
        <v>2387</v>
      </c>
      <c r="X3" s="5" t="s">
        <v>2388</v>
      </c>
      <c r="Y3" s="5"/>
    </row>
    <row r="4" ht="28" hidden="1" spans="1:25">
      <c r="A4" s="21">
        <v>540425201908007</v>
      </c>
      <c r="B4" s="22" t="s">
        <v>20</v>
      </c>
      <c r="C4" s="489" t="s">
        <v>1677</v>
      </c>
      <c r="D4" s="9" t="s">
        <v>1640</v>
      </c>
      <c r="E4" s="23">
        <v>43709</v>
      </c>
      <c r="F4" s="9" t="s">
        <v>1671</v>
      </c>
      <c r="G4" s="9" t="s">
        <v>1642</v>
      </c>
      <c r="H4" s="9">
        <v>20</v>
      </c>
      <c r="I4" s="9">
        <v>1</v>
      </c>
      <c r="J4" s="9">
        <v>273400</v>
      </c>
      <c r="K4" s="9">
        <v>72906.67</v>
      </c>
      <c r="L4" s="9">
        <v>200493.33</v>
      </c>
      <c r="M4" s="9" t="s">
        <v>1625</v>
      </c>
      <c r="N4" s="9" t="s">
        <v>1643</v>
      </c>
      <c r="O4" s="9" t="s">
        <v>1421</v>
      </c>
      <c r="P4" s="9" t="s">
        <v>1627</v>
      </c>
      <c r="Q4" s="9" t="s">
        <v>1628</v>
      </c>
      <c r="R4" s="9" t="s">
        <v>1629</v>
      </c>
      <c r="S4" s="9" t="s">
        <v>1630</v>
      </c>
      <c r="T4" s="9" t="s">
        <v>1636</v>
      </c>
      <c r="U4" s="9" t="s">
        <v>1427</v>
      </c>
      <c r="V4" s="9"/>
      <c r="W4" s="9" t="s">
        <v>56</v>
      </c>
      <c r="X4" s="9"/>
      <c r="Y4" s="9"/>
    </row>
    <row r="5" ht="28" hidden="1" spans="1:25">
      <c r="A5" s="21">
        <v>540425201908007</v>
      </c>
      <c r="B5" s="22" t="s">
        <v>20</v>
      </c>
      <c r="C5" s="489" t="s">
        <v>1678</v>
      </c>
      <c r="D5" s="9" t="s">
        <v>1679</v>
      </c>
      <c r="E5" s="23">
        <v>43709</v>
      </c>
      <c r="F5" s="9" t="s">
        <v>1671</v>
      </c>
      <c r="G5" s="9" t="s">
        <v>1624</v>
      </c>
      <c r="H5" s="9">
        <v>5</v>
      </c>
      <c r="I5" s="9">
        <v>1</v>
      </c>
      <c r="J5" s="9">
        <v>400</v>
      </c>
      <c r="K5" s="9">
        <v>400</v>
      </c>
      <c r="L5" s="9">
        <v>0</v>
      </c>
      <c r="M5" s="9" t="s">
        <v>1625</v>
      </c>
      <c r="N5" s="9" t="s">
        <v>1652</v>
      </c>
      <c r="O5" s="9" t="s">
        <v>1421</v>
      </c>
      <c r="P5" s="9" t="s">
        <v>1627</v>
      </c>
      <c r="Q5" s="9" t="s">
        <v>1628</v>
      </c>
      <c r="R5" s="9" t="s">
        <v>1629</v>
      </c>
      <c r="S5" s="9" t="s">
        <v>1630</v>
      </c>
      <c r="T5" s="9" t="s">
        <v>1636</v>
      </c>
      <c r="U5" s="9" t="s">
        <v>1427</v>
      </c>
      <c r="V5" s="9"/>
      <c r="W5" s="9" t="s">
        <v>56</v>
      </c>
      <c r="X5" s="9"/>
      <c r="Y5" s="9"/>
    </row>
    <row r="6" ht="28" hidden="1" spans="1:25">
      <c r="A6" s="21">
        <v>540425201908007</v>
      </c>
      <c r="B6" s="22" t="s">
        <v>20</v>
      </c>
      <c r="C6" s="489" t="s">
        <v>1680</v>
      </c>
      <c r="D6" s="9" t="s">
        <v>1679</v>
      </c>
      <c r="E6" s="23">
        <v>43709</v>
      </c>
      <c r="F6" s="9" t="s">
        <v>1671</v>
      </c>
      <c r="G6" s="9" t="s">
        <v>1624</v>
      </c>
      <c r="H6" s="9">
        <v>5</v>
      </c>
      <c r="I6" s="9">
        <v>1</v>
      </c>
      <c r="J6" s="9">
        <v>400</v>
      </c>
      <c r="K6" s="9">
        <v>400</v>
      </c>
      <c r="L6" s="9">
        <v>0</v>
      </c>
      <c r="M6" s="9" t="s">
        <v>1625</v>
      </c>
      <c r="N6" s="9" t="s">
        <v>1652</v>
      </c>
      <c r="O6" s="9" t="s">
        <v>1421</v>
      </c>
      <c r="P6" s="9" t="s">
        <v>1627</v>
      </c>
      <c r="Q6" s="9" t="s">
        <v>1628</v>
      </c>
      <c r="R6" s="9" t="s">
        <v>1629</v>
      </c>
      <c r="S6" s="9" t="s">
        <v>1630</v>
      </c>
      <c r="T6" s="9" t="s">
        <v>1636</v>
      </c>
      <c r="U6" s="9" t="s">
        <v>1427</v>
      </c>
      <c r="V6" s="9"/>
      <c r="W6" s="9" t="s">
        <v>56</v>
      </c>
      <c r="X6" s="9"/>
      <c r="Y6" s="9"/>
    </row>
    <row r="7" ht="28" hidden="1" spans="1:25">
      <c r="A7" s="21">
        <v>540425201908007</v>
      </c>
      <c r="B7" s="22" t="s">
        <v>20</v>
      </c>
      <c r="C7" s="489" t="s">
        <v>1681</v>
      </c>
      <c r="D7" s="9" t="s">
        <v>1679</v>
      </c>
      <c r="E7" s="23">
        <v>43709</v>
      </c>
      <c r="F7" s="9" t="s">
        <v>1671</v>
      </c>
      <c r="G7" s="9" t="s">
        <v>1624</v>
      </c>
      <c r="H7" s="9">
        <v>5</v>
      </c>
      <c r="I7" s="9">
        <v>1</v>
      </c>
      <c r="J7" s="9">
        <v>400</v>
      </c>
      <c r="K7" s="9">
        <v>400</v>
      </c>
      <c r="L7" s="9">
        <v>0</v>
      </c>
      <c r="M7" s="9" t="s">
        <v>1625</v>
      </c>
      <c r="N7" s="9" t="s">
        <v>1652</v>
      </c>
      <c r="O7" s="9" t="s">
        <v>1421</v>
      </c>
      <c r="P7" s="9" t="s">
        <v>1627</v>
      </c>
      <c r="Q7" s="9" t="s">
        <v>1628</v>
      </c>
      <c r="R7" s="9" t="s">
        <v>1629</v>
      </c>
      <c r="S7" s="9" t="s">
        <v>1630</v>
      </c>
      <c r="T7" s="9" t="s">
        <v>1636</v>
      </c>
      <c r="U7" s="9" t="s">
        <v>1427</v>
      </c>
      <c r="V7" s="9"/>
      <c r="W7" s="9" t="s">
        <v>56</v>
      </c>
      <c r="X7" s="9"/>
      <c r="Y7" s="9"/>
    </row>
    <row r="8" ht="28" hidden="1" spans="1:25">
      <c r="A8" s="21">
        <v>540425201908007</v>
      </c>
      <c r="B8" s="22" t="s">
        <v>20</v>
      </c>
      <c r="C8" s="489" t="s">
        <v>1682</v>
      </c>
      <c r="D8" s="9" t="s">
        <v>1683</v>
      </c>
      <c r="E8" s="23">
        <v>43709</v>
      </c>
      <c r="F8" s="9" t="s">
        <v>1671</v>
      </c>
      <c r="G8" s="9" t="s">
        <v>1684</v>
      </c>
      <c r="H8" s="9">
        <v>3</v>
      </c>
      <c r="I8" s="9">
        <v>200</v>
      </c>
      <c r="J8" s="9">
        <v>7000</v>
      </c>
      <c r="K8" s="9">
        <v>7000</v>
      </c>
      <c r="L8" s="9">
        <v>0</v>
      </c>
      <c r="M8" s="9" t="s">
        <v>1685</v>
      </c>
      <c r="N8" s="9" t="s">
        <v>1686</v>
      </c>
      <c r="O8" s="9" t="s">
        <v>1421</v>
      </c>
      <c r="P8" s="9" t="s">
        <v>1687</v>
      </c>
      <c r="Q8" s="9" t="s">
        <v>1688</v>
      </c>
      <c r="R8" s="9" t="s">
        <v>1689</v>
      </c>
      <c r="S8" s="9" t="s">
        <v>1630</v>
      </c>
      <c r="T8" s="9" t="s">
        <v>1636</v>
      </c>
      <c r="U8" s="9" t="s">
        <v>1427</v>
      </c>
      <c r="V8" s="9"/>
      <c r="W8" s="9" t="s">
        <v>56</v>
      </c>
      <c r="X8" s="9"/>
      <c r="Y8" s="9"/>
    </row>
    <row r="9" ht="28" hidden="1" spans="1:25">
      <c r="A9" s="21">
        <v>540425201908007</v>
      </c>
      <c r="B9" s="22" t="s">
        <v>20</v>
      </c>
      <c r="C9" s="489" t="s">
        <v>1690</v>
      </c>
      <c r="D9" s="9" t="s">
        <v>1691</v>
      </c>
      <c r="E9" s="23">
        <v>43709</v>
      </c>
      <c r="F9" s="9" t="s">
        <v>1671</v>
      </c>
      <c r="G9" s="9" t="s">
        <v>1684</v>
      </c>
      <c r="H9" s="9">
        <v>3</v>
      </c>
      <c r="I9" s="9">
        <v>92</v>
      </c>
      <c r="J9" s="9">
        <v>18400</v>
      </c>
      <c r="K9" s="9">
        <v>18400</v>
      </c>
      <c r="L9" s="9">
        <v>0</v>
      </c>
      <c r="M9" s="9" t="s">
        <v>1685</v>
      </c>
      <c r="N9" s="9" t="s">
        <v>1686</v>
      </c>
      <c r="O9" s="9" t="s">
        <v>1421</v>
      </c>
      <c r="P9" s="9" t="s">
        <v>1687</v>
      </c>
      <c r="Q9" s="9" t="s">
        <v>1688</v>
      </c>
      <c r="R9" s="9" t="s">
        <v>1689</v>
      </c>
      <c r="S9" s="9" t="s">
        <v>1630</v>
      </c>
      <c r="T9" s="9" t="s">
        <v>1636</v>
      </c>
      <c r="U9" s="9" t="s">
        <v>1427</v>
      </c>
      <c r="V9" s="9"/>
      <c r="W9" s="9" t="s">
        <v>56</v>
      </c>
      <c r="X9" s="9"/>
      <c r="Y9" s="9"/>
    </row>
    <row r="10" ht="28" hidden="1" spans="1:25">
      <c r="A10" s="21">
        <v>540425201807010</v>
      </c>
      <c r="B10" s="22" t="s">
        <v>20</v>
      </c>
      <c r="C10" s="489" t="s">
        <v>1697</v>
      </c>
      <c r="D10" s="9" t="s">
        <v>1698</v>
      </c>
      <c r="E10" s="23">
        <v>43952</v>
      </c>
      <c r="F10" s="9" t="s">
        <v>1699</v>
      </c>
      <c r="G10" s="9" t="s">
        <v>1642</v>
      </c>
      <c r="H10" s="9">
        <v>20</v>
      </c>
      <c r="I10" s="9">
        <v>1</v>
      </c>
      <c r="J10" s="9">
        <v>191100</v>
      </c>
      <c r="K10" s="9">
        <v>44590</v>
      </c>
      <c r="L10" s="9">
        <v>146510</v>
      </c>
      <c r="M10" s="9" t="s">
        <v>1625</v>
      </c>
      <c r="N10" s="9" t="s">
        <v>1643</v>
      </c>
      <c r="O10" s="9" t="s">
        <v>1421</v>
      </c>
      <c r="P10" s="9" t="s">
        <v>1627</v>
      </c>
      <c r="Q10" s="9" t="s">
        <v>1628</v>
      </c>
      <c r="R10" s="9" t="s">
        <v>1629</v>
      </c>
      <c r="S10" s="9" t="s">
        <v>1630</v>
      </c>
      <c r="T10" s="9" t="s">
        <v>1700</v>
      </c>
      <c r="U10" s="9" t="s">
        <v>1447</v>
      </c>
      <c r="V10" s="9"/>
      <c r="W10" s="9" t="s">
        <v>56</v>
      </c>
      <c r="X10" s="9"/>
      <c r="Y10" s="9"/>
    </row>
    <row r="11" ht="28" hidden="1" spans="1:25">
      <c r="A11" s="21">
        <v>540425201807010</v>
      </c>
      <c r="B11" s="22" t="s">
        <v>20</v>
      </c>
      <c r="C11" s="489" t="s">
        <v>1701</v>
      </c>
      <c r="D11" s="9" t="s">
        <v>1702</v>
      </c>
      <c r="E11" s="23">
        <v>43952</v>
      </c>
      <c r="F11" s="9" t="s">
        <v>1699</v>
      </c>
      <c r="G11" s="9" t="s">
        <v>1642</v>
      </c>
      <c r="H11" s="9">
        <v>20</v>
      </c>
      <c r="I11" s="9">
        <v>1</v>
      </c>
      <c r="J11" s="9">
        <v>70600</v>
      </c>
      <c r="K11" s="9">
        <v>16473.33</v>
      </c>
      <c r="L11" s="9">
        <v>54126.67</v>
      </c>
      <c r="M11" s="9" t="s">
        <v>1625</v>
      </c>
      <c r="N11" s="9" t="s">
        <v>1643</v>
      </c>
      <c r="O11" s="9" t="s">
        <v>1421</v>
      </c>
      <c r="P11" s="9" t="s">
        <v>1627</v>
      </c>
      <c r="Q11" s="9" t="s">
        <v>1628</v>
      </c>
      <c r="R11" s="9" t="s">
        <v>1629</v>
      </c>
      <c r="S11" s="9" t="s">
        <v>1630</v>
      </c>
      <c r="T11" s="9" t="s">
        <v>1700</v>
      </c>
      <c r="U11" s="9" t="s">
        <v>1447</v>
      </c>
      <c r="V11" s="9"/>
      <c r="W11" s="9" t="s">
        <v>56</v>
      </c>
      <c r="X11" s="9"/>
      <c r="Y11" s="9"/>
    </row>
    <row r="12" ht="28" hidden="1" spans="1:25">
      <c r="A12" s="21">
        <v>540425201807010</v>
      </c>
      <c r="B12" s="22" t="s">
        <v>20</v>
      </c>
      <c r="C12" s="489" t="s">
        <v>1703</v>
      </c>
      <c r="D12" s="9" t="s">
        <v>1704</v>
      </c>
      <c r="E12" s="23">
        <v>43952</v>
      </c>
      <c r="F12" s="9" t="s">
        <v>1699</v>
      </c>
      <c r="G12" s="9" t="s">
        <v>1675</v>
      </c>
      <c r="H12" s="9">
        <v>5</v>
      </c>
      <c r="I12" s="9">
        <v>1</v>
      </c>
      <c r="J12" s="9">
        <v>10000</v>
      </c>
      <c r="K12" s="9">
        <v>9333.33</v>
      </c>
      <c r="L12" s="9">
        <v>666.67</v>
      </c>
      <c r="M12" s="9" t="s">
        <v>1625</v>
      </c>
      <c r="N12" s="9" t="s">
        <v>1652</v>
      </c>
      <c r="O12" s="9" t="s">
        <v>1421</v>
      </c>
      <c r="P12" s="9" t="s">
        <v>1705</v>
      </c>
      <c r="Q12" s="9" t="s">
        <v>1688</v>
      </c>
      <c r="R12" s="9" t="s">
        <v>1687</v>
      </c>
      <c r="S12" s="9" t="s">
        <v>1630</v>
      </c>
      <c r="T12" s="9" t="s">
        <v>1636</v>
      </c>
      <c r="U12" s="9" t="s">
        <v>1447</v>
      </c>
      <c r="V12" s="9"/>
      <c r="W12" s="9" t="s">
        <v>56</v>
      </c>
      <c r="X12" s="9"/>
      <c r="Y12" s="9"/>
    </row>
    <row r="13" ht="28" hidden="1" spans="1:25">
      <c r="A13" s="21">
        <v>540425201807010</v>
      </c>
      <c r="B13" s="22" t="s">
        <v>20</v>
      </c>
      <c r="C13" s="489" t="s">
        <v>1706</v>
      </c>
      <c r="D13" s="9" t="s">
        <v>1707</v>
      </c>
      <c r="E13" s="23">
        <v>43952</v>
      </c>
      <c r="F13" s="9" t="s">
        <v>1699</v>
      </c>
      <c r="G13" s="9" t="s">
        <v>1675</v>
      </c>
      <c r="H13" s="9">
        <v>5</v>
      </c>
      <c r="I13" s="9">
        <v>1</v>
      </c>
      <c r="J13" s="9">
        <v>7800</v>
      </c>
      <c r="K13" s="9">
        <v>7280</v>
      </c>
      <c r="L13" s="9">
        <v>520</v>
      </c>
      <c r="M13" s="9" t="s">
        <v>1625</v>
      </c>
      <c r="N13" s="9" t="s">
        <v>1652</v>
      </c>
      <c r="O13" s="9" t="s">
        <v>1421</v>
      </c>
      <c r="P13" s="9" t="s">
        <v>1705</v>
      </c>
      <c r="Q13" s="9" t="s">
        <v>1688</v>
      </c>
      <c r="R13" s="9" t="s">
        <v>1636</v>
      </c>
      <c r="S13" s="9" t="s">
        <v>1630</v>
      </c>
      <c r="T13" s="9" t="s">
        <v>1636</v>
      </c>
      <c r="U13" s="9" t="s">
        <v>1447</v>
      </c>
      <c r="V13" s="9"/>
      <c r="W13" s="9" t="s">
        <v>56</v>
      </c>
      <c r="X13" s="9"/>
      <c r="Y13" s="9"/>
    </row>
    <row r="14" ht="28" hidden="1" spans="1:25">
      <c r="A14" s="21">
        <v>540425201807010</v>
      </c>
      <c r="B14" s="22" t="s">
        <v>20</v>
      </c>
      <c r="C14" s="489" t="s">
        <v>1708</v>
      </c>
      <c r="D14" s="9" t="s">
        <v>1709</v>
      </c>
      <c r="E14" s="23">
        <v>43952</v>
      </c>
      <c r="F14" s="9" t="s">
        <v>1699</v>
      </c>
      <c r="G14" s="9" t="s">
        <v>1684</v>
      </c>
      <c r="H14" s="9">
        <v>3</v>
      </c>
      <c r="I14" s="9">
        <v>63</v>
      </c>
      <c r="J14" s="9">
        <v>220500</v>
      </c>
      <c r="K14" s="9">
        <v>220500</v>
      </c>
      <c r="L14" s="9">
        <v>0</v>
      </c>
      <c r="M14" s="9" t="s">
        <v>1685</v>
      </c>
      <c r="N14" s="9" t="s">
        <v>1686</v>
      </c>
      <c r="O14" s="9" t="s">
        <v>1421</v>
      </c>
      <c r="P14" s="9" t="s">
        <v>1705</v>
      </c>
      <c r="Q14" s="9" t="s">
        <v>1688</v>
      </c>
      <c r="R14" s="9" t="s">
        <v>1689</v>
      </c>
      <c r="S14" s="9" t="s">
        <v>1630</v>
      </c>
      <c r="T14" s="9" t="s">
        <v>1636</v>
      </c>
      <c r="U14" s="9" t="s">
        <v>1447</v>
      </c>
      <c r="V14" s="9"/>
      <c r="W14" s="9" t="s">
        <v>56</v>
      </c>
      <c r="X14" s="9"/>
      <c r="Y14" s="9"/>
    </row>
    <row r="15" ht="28" hidden="1" spans="1:25">
      <c r="A15" s="21">
        <v>540425201819017</v>
      </c>
      <c r="B15" s="22" t="s">
        <v>20</v>
      </c>
      <c r="C15" s="489" t="s">
        <v>1710</v>
      </c>
      <c r="D15" s="9" t="s">
        <v>1711</v>
      </c>
      <c r="E15" s="23">
        <v>43101</v>
      </c>
      <c r="F15" s="9" t="s">
        <v>1712</v>
      </c>
      <c r="G15" s="9" t="s">
        <v>1642</v>
      </c>
      <c r="H15" s="9">
        <v>20</v>
      </c>
      <c r="I15" s="9">
        <v>1</v>
      </c>
      <c r="J15" s="9">
        <v>300000</v>
      </c>
      <c r="K15" s="9">
        <v>105000</v>
      </c>
      <c r="L15" s="9">
        <v>195000</v>
      </c>
      <c r="M15" s="9" t="s">
        <v>1625</v>
      </c>
      <c r="N15" s="9" t="s">
        <v>1643</v>
      </c>
      <c r="O15" s="9" t="s">
        <v>1421</v>
      </c>
      <c r="P15" s="9" t="s">
        <v>1627</v>
      </c>
      <c r="Q15" s="9" t="s">
        <v>1628</v>
      </c>
      <c r="R15" s="9" t="s">
        <v>1629</v>
      </c>
      <c r="S15" s="9" t="s">
        <v>1630</v>
      </c>
      <c r="T15" s="9" t="s">
        <v>1700</v>
      </c>
      <c r="U15" s="9" t="s">
        <v>1442</v>
      </c>
      <c r="V15" s="9"/>
      <c r="W15" s="9" t="s">
        <v>56</v>
      </c>
      <c r="X15" s="9"/>
      <c r="Y15" s="9"/>
    </row>
    <row r="16" ht="28" hidden="1" spans="1:25">
      <c r="A16" s="21">
        <v>540425201819018</v>
      </c>
      <c r="B16" s="22" t="s">
        <v>20</v>
      </c>
      <c r="C16" s="489" t="s">
        <v>1713</v>
      </c>
      <c r="D16" s="9" t="s">
        <v>1711</v>
      </c>
      <c r="E16" s="23">
        <v>43101</v>
      </c>
      <c r="F16" s="9" t="s">
        <v>1714</v>
      </c>
      <c r="G16" s="9" t="s">
        <v>1642</v>
      </c>
      <c r="H16" s="9">
        <v>20</v>
      </c>
      <c r="I16" s="9">
        <v>1</v>
      </c>
      <c r="J16" s="9">
        <v>370000</v>
      </c>
      <c r="K16" s="9">
        <v>129500</v>
      </c>
      <c r="L16" s="9">
        <v>240500</v>
      </c>
      <c r="M16" s="9" t="s">
        <v>1625</v>
      </c>
      <c r="N16" s="9" t="s">
        <v>1643</v>
      </c>
      <c r="O16" s="9" t="s">
        <v>1421</v>
      </c>
      <c r="P16" s="9" t="s">
        <v>1627</v>
      </c>
      <c r="Q16" s="9" t="s">
        <v>1688</v>
      </c>
      <c r="R16" s="9" t="s">
        <v>1636</v>
      </c>
      <c r="S16" s="9" t="s">
        <v>1630</v>
      </c>
      <c r="T16" s="9" t="s">
        <v>1636</v>
      </c>
      <c r="U16" s="9" t="s">
        <v>1436</v>
      </c>
      <c r="V16" s="9"/>
      <c r="W16" s="9" t="s">
        <v>56</v>
      </c>
      <c r="X16" s="9"/>
      <c r="Y16" s="9"/>
    </row>
    <row r="17" ht="28" hidden="1" spans="1:25">
      <c r="A17" s="21">
        <v>540425201819018</v>
      </c>
      <c r="B17" s="22" t="s">
        <v>20</v>
      </c>
      <c r="C17" s="489" t="s">
        <v>1715</v>
      </c>
      <c r="D17" s="9" t="s">
        <v>1716</v>
      </c>
      <c r="E17" s="23">
        <v>43101</v>
      </c>
      <c r="F17" s="9" t="s">
        <v>1714</v>
      </c>
      <c r="G17" s="9" t="s">
        <v>1675</v>
      </c>
      <c r="H17" s="9">
        <v>5</v>
      </c>
      <c r="I17" s="9">
        <v>1</v>
      </c>
      <c r="J17" s="9">
        <v>10000</v>
      </c>
      <c r="K17" s="9">
        <v>10000</v>
      </c>
      <c r="L17" s="9">
        <v>0</v>
      </c>
      <c r="M17" s="9" t="s">
        <v>1625</v>
      </c>
      <c r="N17" s="9" t="s">
        <v>1652</v>
      </c>
      <c r="O17" s="9" t="s">
        <v>1421</v>
      </c>
      <c r="P17" s="9" t="s">
        <v>1627</v>
      </c>
      <c r="Q17" s="9" t="s">
        <v>1688</v>
      </c>
      <c r="R17" s="9" t="s">
        <v>1636</v>
      </c>
      <c r="S17" s="9" t="s">
        <v>1630</v>
      </c>
      <c r="T17" s="9" t="s">
        <v>1636</v>
      </c>
      <c r="U17" s="9" t="s">
        <v>1436</v>
      </c>
      <c r="V17" s="9"/>
      <c r="W17" s="9" t="s">
        <v>56</v>
      </c>
      <c r="X17" s="9"/>
      <c r="Y17" s="9"/>
    </row>
    <row r="18" ht="28" hidden="1" spans="1:25">
      <c r="A18" s="21">
        <v>540425201819018</v>
      </c>
      <c r="B18" s="22" t="s">
        <v>20</v>
      </c>
      <c r="C18" s="489" t="s">
        <v>1717</v>
      </c>
      <c r="D18" s="9" t="s">
        <v>1718</v>
      </c>
      <c r="E18" s="23">
        <v>43101</v>
      </c>
      <c r="F18" s="9" t="s">
        <v>1714</v>
      </c>
      <c r="G18" s="9" t="s">
        <v>1675</v>
      </c>
      <c r="H18" s="9">
        <v>5</v>
      </c>
      <c r="I18" s="9">
        <v>1</v>
      </c>
      <c r="J18" s="9">
        <v>20000</v>
      </c>
      <c r="K18" s="9">
        <v>20000</v>
      </c>
      <c r="L18" s="9">
        <v>0</v>
      </c>
      <c r="M18" s="9" t="s">
        <v>1625</v>
      </c>
      <c r="N18" s="9" t="s">
        <v>1652</v>
      </c>
      <c r="O18" s="9" t="s">
        <v>1421</v>
      </c>
      <c r="P18" s="9" t="s">
        <v>1627</v>
      </c>
      <c r="Q18" s="9" t="s">
        <v>1688</v>
      </c>
      <c r="R18" s="9" t="s">
        <v>1636</v>
      </c>
      <c r="S18" s="9" t="s">
        <v>1630</v>
      </c>
      <c r="T18" s="9" t="s">
        <v>1636</v>
      </c>
      <c r="U18" s="9" t="s">
        <v>1436</v>
      </c>
      <c r="V18" s="9"/>
      <c r="W18" s="9" t="s">
        <v>56</v>
      </c>
      <c r="X18" s="9"/>
      <c r="Y18" s="9"/>
    </row>
    <row r="19" s="11" customFormat="1" ht="28" hidden="1" spans="1:25">
      <c r="A19" s="24">
        <v>540425201619038</v>
      </c>
      <c r="B19" s="25" t="s">
        <v>20</v>
      </c>
      <c r="C19" s="490" t="s">
        <v>1719</v>
      </c>
      <c r="D19" s="26" t="s">
        <v>1720</v>
      </c>
      <c r="E19" s="27">
        <v>42705</v>
      </c>
      <c r="F19" s="26" t="s">
        <v>1714</v>
      </c>
      <c r="G19" s="26" t="s">
        <v>1642</v>
      </c>
      <c r="H19" s="26">
        <v>20</v>
      </c>
      <c r="I19" s="26">
        <v>1</v>
      </c>
      <c r="J19" s="26">
        <v>300000</v>
      </c>
      <c r="K19" s="26">
        <v>121250</v>
      </c>
      <c r="L19" s="26">
        <v>178750</v>
      </c>
      <c r="M19" s="26" t="s">
        <v>1625</v>
      </c>
      <c r="N19" s="26" t="s">
        <v>1643</v>
      </c>
      <c r="O19" s="26" t="s">
        <v>1421</v>
      </c>
      <c r="P19" s="26" t="s">
        <v>1627</v>
      </c>
      <c r="Q19" s="26" t="s">
        <v>1688</v>
      </c>
      <c r="R19" s="26" t="s">
        <v>1636</v>
      </c>
      <c r="S19" s="26" t="s">
        <v>1630</v>
      </c>
      <c r="T19" s="26" t="s">
        <v>1636</v>
      </c>
      <c r="U19" s="26" t="s">
        <v>1436</v>
      </c>
      <c r="V19" s="26"/>
      <c r="W19" s="26" t="s">
        <v>56</v>
      </c>
      <c r="X19" s="26"/>
      <c r="Y19" s="26"/>
    </row>
    <row r="20" ht="28" hidden="1" spans="1:25">
      <c r="A20" s="21">
        <v>540425201719011</v>
      </c>
      <c r="B20" s="22" t="s">
        <v>20</v>
      </c>
      <c r="C20" s="489" t="s">
        <v>1721</v>
      </c>
      <c r="D20" s="9" t="s">
        <v>1722</v>
      </c>
      <c r="E20" s="23">
        <v>43070</v>
      </c>
      <c r="F20" s="9" t="s">
        <v>1696</v>
      </c>
      <c r="G20" s="9" t="s">
        <v>1642</v>
      </c>
      <c r="H20" s="9">
        <v>20</v>
      </c>
      <c r="I20" s="9">
        <v>1</v>
      </c>
      <c r="J20" s="9">
        <v>340000</v>
      </c>
      <c r="K20" s="9">
        <v>120416.67</v>
      </c>
      <c r="L20" s="9">
        <v>219583.33</v>
      </c>
      <c r="M20" s="9" t="s">
        <v>1625</v>
      </c>
      <c r="N20" s="9" t="s">
        <v>1643</v>
      </c>
      <c r="O20" s="9" t="s">
        <v>1421</v>
      </c>
      <c r="P20" s="9" t="s">
        <v>1627</v>
      </c>
      <c r="Q20" s="9" t="s">
        <v>1688</v>
      </c>
      <c r="R20" s="9" t="s">
        <v>1636</v>
      </c>
      <c r="S20" s="9" t="s">
        <v>1630</v>
      </c>
      <c r="T20" s="9" t="s">
        <v>1636</v>
      </c>
      <c r="U20" s="9" t="s">
        <v>1438</v>
      </c>
      <c r="V20" s="9"/>
      <c r="W20" s="9" t="s">
        <v>56</v>
      </c>
      <c r="X20" s="9"/>
      <c r="Y20" s="9"/>
    </row>
    <row r="21" ht="28" hidden="1" spans="1:25">
      <c r="A21" s="21">
        <v>540425201719011</v>
      </c>
      <c r="B21" s="22" t="s">
        <v>20</v>
      </c>
      <c r="C21" s="489" t="s">
        <v>1723</v>
      </c>
      <c r="D21" s="9" t="s">
        <v>1724</v>
      </c>
      <c r="E21" s="23">
        <v>43070</v>
      </c>
      <c r="F21" s="9" t="s">
        <v>1696</v>
      </c>
      <c r="G21" s="9" t="s">
        <v>1675</v>
      </c>
      <c r="H21" s="9">
        <v>5</v>
      </c>
      <c r="I21" s="9">
        <v>1</v>
      </c>
      <c r="J21" s="9">
        <v>20000</v>
      </c>
      <c r="K21" s="9">
        <v>20000</v>
      </c>
      <c r="L21" s="9">
        <v>0</v>
      </c>
      <c r="M21" s="9" t="s">
        <v>1625</v>
      </c>
      <c r="N21" s="9" t="s">
        <v>1652</v>
      </c>
      <c r="O21" s="9" t="s">
        <v>1421</v>
      </c>
      <c r="P21" s="9" t="s">
        <v>1627</v>
      </c>
      <c r="Q21" s="9" t="s">
        <v>1688</v>
      </c>
      <c r="R21" s="9" t="s">
        <v>1636</v>
      </c>
      <c r="S21" s="9" t="s">
        <v>1630</v>
      </c>
      <c r="T21" s="9" t="s">
        <v>1636</v>
      </c>
      <c r="U21" s="9" t="s">
        <v>1438</v>
      </c>
      <c r="V21" s="9"/>
      <c r="W21" s="9" t="s">
        <v>56</v>
      </c>
      <c r="X21" s="9"/>
      <c r="Y21" s="9"/>
    </row>
    <row r="22" ht="42" hidden="1" spans="1:25">
      <c r="A22" s="21">
        <v>540425202204008</v>
      </c>
      <c r="B22" s="22" t="s">
        <v>20</v>
      </c>
      <c r="C22" s="489" t="s">
        <v>1725</v>
      </c>
      <c r="D22" s="9" t="s">
        <v>1722</v>
      </c>
      <c r="E22" s="23">
        <v>42705</v>
      </c>
      <c r="F22" s="9" t="s">
        <v>1726</v>
      </c>
      <c r="G22" s="9" t="s">
        <v>1642</v>
      </c>
      <c r="H22" s="9">
        <v>20</v>
      </c>
      <c r="I22" s="9">
        <v>1</v>
      </c>
      <c r="J22" s="9">
        <v>300000</v>
      </c>
      <c r="K22" s="9">
        <v>121250</v>
      </c>
      <c r="L22" s="9">
        <v>178750</v>
      </c>
      <c r="M22" s="9" t="s">
        <v>1625</v>
      </c>
      <c r="N22" s="9" t="s">
        <v>1643</v>
      </c>
      <c r="O22" s="9" t="s">
        <v>1421</v>
      </c>
      <c r="P22" s="9" t="s">
        <v>1627</v>
      </c>
      <c r="Q22" s="9" t="s">
        <v>1688</v>
      </c>
      <c r="R22" s="9" t="s">
        <v>1636</v>
      </c>
      <c r="S22" s="9" t="s">
        <v>1630</v>
      </c>
      <c r="T22" s="9" t="s">
        <v>1636</v>
      </c>
      <c r="U22" s="9" t="s">
        <v>1440</v>
      </c>
      <c r="V22" s="9"/>
      <c r="W22" s="9" t="s">
        <v>56</v>
      </c>
      <c r="X22" s="9"/>
      <c r="Y22" s="9"/>
    </row>
    <row r="23" ht="28" hidden="1" spans="1:25">
      <c r="A23" s="21">
        <v>540425201517003</v>
      </c>
      <c r="B23" s="22" t="s">
        <v>20</v>
      </c>
      <c r="C23" s="489" t="s">
        <v>1727</v>
      </c>
      <c r="D23" s="9" t="s">
        <v>1728</v>
      </c>
      <c r="E23" s="23">
        <v>42339</v>
      </c>
      <c r="F23" s="9" t="s">
        <v>1729</v>
      </c>
      <c r="G23" s="9" t="s">
        <v>1642</v>
      </c>
      <c r="H23" s="9">
        <v>20</v>
      </c>
      <c r="I23" s="9">
        <v>1</v>
      </c>
      <c r="J23" s="9">
        <v>2000000</v>
      </c>
      <c r="K23" s="9">
        <v>908333.33</v>
      </c>
      <c r="L23" s="9">
        <v>1091666.67</v>
      </c>
      <c r="M23" s="9" t="s">
        <v>1625</v>
      </c>
      <c r="N23" s="9" t="s">
        <v>1643</v>
      </c>
      <c r="O23" s="9" t="s">
        <v>1421</v>
      </c>
      <c r="P23" s="9" t="s">
        <v>1627</v>
      </c>
      <c r="Q23" s="9" t="s">
        <v>1688</v>
      </c>
      <c r="R23" s="9" t="s">
        <v>1636</v>
      </c>
      <c r="S23" s="9" t="s">
        <v>1630</v>
      </c>
      <c r="T23" s="9" t="s">
        <v>1636</v>
      </c>
      <c r="U23" s="9" t="s">
        <v>1444</v>
      </c>
      <c r="V23" s="9"/>
      <c r="W23" s="9" t="s">
        <v>56</v>
      </c>
      <c r="X23" s="9"/>
      <c r="Y23" s="9"/>
    </row>
    <row r="24" ht="28" hidden="1" spans="1:25">
      <c r="A24" s="21">
        <v>540425202117015</v>
      </c>
      <c r="B24" s="22" t="s">
        <v>20</v>
      </c>
      <c r="C24" s="489" t="s">
        <v>1730</v>
      </c>
      <c r="D24" s="9" t="s">
        <v>1731</v>
      </c>
      <c r="E24" s="23">
        <v>44531</v>
      </c>
      <c r="F24" s="9" t="s">
        <v>1729</v>
      </c>
      <c r="G24" s="9" t="s">
        <v>1642</v>
      </c>
      <c r="H24" s="9">
        <v>20</v>
      </c>
      <c r="I24" s="9">
        <v>1</v>
      </c>
      <c r="J24" s="9">
        <v>4000000</v>
      </c>
      <c r="K24" s="9">
        <v>616666.67</v>
      </c>
      <c r="L24" s="9">
        <v>3383333.33</v>
      </c>
      <c r="M24" s="9" t="s">
        <v>1625</v>
      </c>
      <c r="N24" s="9" t="s">
        <v>1643</v>
      </c>
      <c r="O24" s="9" t="s">
        <v>1421</v>
      </c>
      <c r="P24" s="9" t="s">
        <v>1627</v>
      </c>
      <c r="Q24" s="9" t="s">
        <v>1688</v>
      </c>
      <c r="R24" s="9" t="s">
        <v>1636</v>
      </c>
      <c r="S24" s="9" t="s">
        <v>1630</v>
      </c>
      <c r="T24" s="9" t="s">
        <v>1636</v>
      </c>
      <c r="U24" s="9" t="s">
        <v>1444</v>
      </c>
      <c r="V24" s="9"/>
      <c r="W24" s="9" t="s">
        <v>56</v>
      </c>
      <c r="X24" s="9"/>
      <c r="Y24" s="9"/>
    </row>
    <row r="25" ht="28" hidden="1" spans="1:25">
      <c r="A25" s="21">
        <v>540425201808005</v>
      </c>
      <c r="B25" s="22" t="s">
        <v>20</v>
      </c>
      <c r="C25" s="489" t="s">
        <v>1751</v>
      </c>
      <c r="D25" s="9" t="s">
        <v>1752</v>
      </c>
      <c r="E25" s="23">
        <v>43678</v>
      </c>
      <c r="F25" s="9" t="s">
        <v>1712</v>
      </c>
      <c r="G25" s="9" t="s">
        <v>1684</v>
      </c>
      <c r="H25" s="9">
        <v>3</v>
      </c>
      <c r="I25" s="9">
        <v>1127</v>
      </c>
      <c r="J25" s="9">
        <v>169000</v>
      </c>
      <c r="K25" s="9">
        <v>169000</v>
      </c>
      <c r="L25" s="9">
        <v>0</v>
      </c>
      <c r="M25" s="9" t="s">
        <v>1685</v>
      </c>
      <c r="N25" s="9" t="s">
        <v>1686</v>
      </c>
      <c r="O25" s="9" t="s">
        <v>1421</v>
      </c>
      <c r="P25" s="9" t="s">
        <v>1687</v>
      </c>
      <c r="Q25" s="9" t="s">
        <v>1628</v>
      </c>
      <c r="R25" s="9" t="s">
        <v>1629</v>
      </c>
      <c r="S25" s="9" t="s">
        <v>1630</v>
      </c>
      <c r="T25" s="9" t="s">
        <v>1636</v>
      </c>
      <c r="U25" s="9" t="s">
        <v>1442</v>
      </c>
      <c r="V25" s="9"/>
      <c r="W25" s="9" t="s">
        <v>56</v>
      </c>
      <c r="X25" s="9"/>
      <c r="Y25" s="9"/>
    </row>
    <row r="26" ht="28" hidden="1" spans="1:25">
      <c r="A26" s="21">
        <v>540425201304001</v>
      </c>
      <c r="B26" s="22" t="s">
        <v>20</v>
      </c>
      <c r="C26" s="489" t="s">
        <v>1753</v>
      </c>
      <c r="D26" s="9" t="s">
        <v>1754</v>
      </c>
      <c r="E26" s="23">
        <v>41609</v>
      </c>
      <c r="F26" s="9" t="s">
        <v>1729</v>
      </c>
      <c r="G26" s="9" t="s">
        <v>1642</v>
      </c>
      <c r="H26" s="9">
        <v>20</v>
      </c>
      <c r="I26" s="9">
        <v>1</v>
      </c>
      <c r="J26" s="9">
        <v>755000</v>
      </c>
      <c r="K26" s="9">
        <v>418395.83</v>
      </c>
      <c r="L26" s="9">
        <v>336604.17</v>
      </c>
      <c r="M26" s="9" t="s">
        <v>1625</v>
      </c>
      <c r="N26" s="9" t="s">
        <v>1643</v>
      </c>
      <c r="O26" s="9" t="s">
        <v>1421</v>
      </c>
      <c r="P26" s="9" t="s">
        <v>1627</v>
      </c>
      <c r="Q26" s="9" t="s">
        <v>1688</v>
      </c>
      <c r="R26" s="9" t="s">
        <v>1636</v>
      </c>
      <c r="S26" s="9" t="s">
        <v>1630</v>
      </c>
      <c r="T26" s="9" t="s">
        <v>1636</v>
      </c>
      <c r="U26" s="9" t="s">
        <v>1444</v>
      </c>
      <c r="V26" s="9"/>
      <c r="W26" s="9" t="s">
        <v>56</v>
      </c>
      <c r="X26" s="9"/>
      <c r="Y26" s="9"/>
    </row>
    <row r="27" ht="28" hidden="1" spans="1:25">
      <c r="A27" s="21">
        <v>540425201304001</v>
      </c>
      <c r="B27" s="22" t="s">
        <v>20</v>
      </c>
      <c r="C27" s="489" t="s">
        <v>1755</v>
      </c>
      <c r="D27" s="9" t="s">
        <v>1756</v>
      </c>
      <c r="E27" s="23">
        <v>41609</v>
      </c>
      <c r="F27" s="9" t="s">
        <v>1729</v>
      </c>
      <c r="G27" s="9" t="s">
        <v>1642</v>
      </c>
      <c r="H27" s="9">
        <v>20</v>
      </c>
      <c r="I27" s="9">
        <v>1</v>
      </c>
      <c r="J27" s="9">
        <v>377500</v>
      </c>
      <c r="K27" s="9">
        <v>209197.92</v>
      </c>
      <c r="L27" s="9">
        <v>168302.08</v>
      </c>
      <c r="M27" s="9" t="s">
        <v>1625</v>
      </c>
      <c r="N27" s="9" t="s">
        <v>1643</v>
      </c>
      <c r="O27" s="9" t="s">
        <v>1421</v>
      </c>
      <c r="P27" s="9" t="s">
        <v>1627</v>
      </c>
      <c r="Q27" s="9" t="s">
        <v>1688</v>
      </c>
      <c r="R27" s="9" t="s">
        <v>1636</v>
      </c>
      <c r="S27" s="9" t="s">
        <v>1630</v>
      </c>
      <c r="T27" s="9" t="s">
        <v>1636</v>
      </c>
      <c r="U27" s="9" t="s">
        <v>1444</v>
      </c>
      <c r="V27" s="9"/>
      <c r="W27" s="9" t="s">
        <v>56</v>
      </c>
      <c r="X27" s="9"/>
      <c r="Y27" s="9"/>
    </row>
    <row r="28" ht="28" hidden="1" spans="1:25">
      <c r="A28" s="21">
        <v>540425201304001</v>
      </c>
      <c r="B28" s="22" t="s">
        <v>20</v>
      </c>
      <c r="C28" s="489" t="s">
        <v>1757</v>
      </c>
      <c r="D28" s="9" t="s">
        <v>1758</v>
      </c>
      <c r="E28" s="23">
        <v>41609</v>
      </c>
      <c r="F28" s="9" t="s">
        <v>1729</v>
      </c>
      <c r="G28" s="9" t="s">
        <v>1642</v>
      </c>
      <c r="H28" s="9">
        <v>20</v>
      </c>
      <c r="I28" s="9">
        <v>1</v>
      </c>
      <c r="J28" s="9">
        <v>377500</v>
      </c>
      <c r="K28" s="9">
        <v>209197.92</v>
      </c>
      <c r="L28" s="9">
        <v>168302.08</v>
      </c>
      <c r="M28" s="9" t="s">
        <v>1625</v>
      </c>
      <c r="N28" s="9" t="s">
        <v>1643</v>
      </c>
      <c r="O28" s="9" t="s">
        <v>1421</v>
      </c>
      <c r="P28" s="9" t="s">
        <v>1627</v>
      </c>
      <c r="Q28" s="9" t="s">
        <v>1688</v>
      </c>
      <c r="R28" s="9" t="s">
        <v>1636</v>
      </c>
      <c r="S28" s="9" t="s">
        <v>1630</v>
      </c>
      <c r="T28" s="9" t="s">
        <v>1636</v>
      </c>
      <c r="U28" s="9" t="s">
        <v>1444</v>
      </c>
      <c r="V28" s="9"/>
      <c r="W28" s="9" t="s">
        <v>56</v>
      </c>
      <c r="X28" s="9"/>
      <c r="Y28" s="9"/>
    </row>
    <row r="29" ht="28" hidden="1" spans="1:25">
      <c r="A29" s="21">
        <v>540425201719012</v>
      </c>
      <c r="B29" s="22" t="s">
        <v>20</v>
      </c>
      <c r="C29" s="489" t="s">
        <v>1759</v>
      </c>
      <c r="D29" s="9" t="s">
        <v>1722</v>
      </c>
      <c r="E29" s="23">
        <v>43070</v>
      </c>
      <c r="F29" s="9" t="s">
        <v>1729</v>
      </c>
      <c r="G29" s="9" t="s">
        <v>1642</v>
      </c>
      <c r="H29" s="9">
        <v>20</v>
      </c>
      <c r="I29" s="9">
        <v>1</v>
      </c>
      <c r="J29" s="9">
        <v>200000</v>
      </c>
      <c r="K29" s="9">
        <v>70833.33</v>
      </c>
      <c r="L29" s="9">
        <v>129166.67</v>
      </c>
      <c r="M29" s="9" t="s">
        <v>1625</v>
      </c>
      <c r="N29" s="9" t="s">
        <v>1643</v>
      </c>
      <c r="O29" s="9" t="s">
        <v>1421</v>
      </c>
      <c r="P29" s="9" t="s">
        <v>1627</v>
      </c>
      <c r="Q29" s="9" t="s">
        <v>1688</v>
      </c>
      <c r="R29" s="9" t="s">
        <v>1636</v>
      </c>
      <c r="S29" s="9" t="s">
        <v>1630</v>
      </c>
      <c r="T29" s="9" t="s">
        <v>1636</v>
      </c>
      <c r="U29" s="9" t="s">
        <v>1444</v>
      </c>
      <c r="V29" s="9"/>
      <c r="W29" s="9" t="s">
        <v>56</v>
      </c>
      <c r="X29" s="9"/>
      <c r="Y29" s="9"/>
    </row>
    <row r="30" ht="42" hidden="1" spans="1:25">
      <c r="A30" s="21">
        <v>540425202204008</v>
      </c>
      <c r="B30" s="22" t="s">
        <v>20</v>
      </c>
      <c r="C30" s="489" t="s">
        <v>1725</v>
      </c>
      <c r="D30" s="9" t="s">
        <v>1760</v>
      </c>
      <c r="E30" s="23">
        <v>45139</v>
      </c>
      <c r="F30" s="9" t="s">
        <v>1726</v>
      </c>
      <c r="G30" s="9" t="s">
        <v>1642</v>
      </c>
      <c r="H30" s="9">
        <v>20</v>
      </c>
      <c r="I30" s="9">
        <v>1</v>
      </c>
      <c r="J30" s="9">
        <v>1400417.86</v>
      </c>
      <c r="K30" s="9">
        <v>99196.27</v>
      </c>
      <c r="L30" s="9">
        <v>1301221.59</v>
      </c>
      <c r="M30" s="9" t="s">
        <v>1625</v>
      </c>
      <c r="N30" s="9" t="s">
        <v>1643</v>
      </c>
      <c r="O30" s="9" t="s">
        <v>1421</v>
      </c>
      <c r="P30" s="9" t="s">
        <v>1627</v>
      </c>
      <c r="Q30" s="9" t="s">
        <v>1628</v>
      </c>
      <c r="R30" s="9" t="s">
        <v>1629</v>
      </c>
      <c r="S30" s="9" t="s">
        <v>1630</v>
      </c>
      <c r="T30" s="9" t="s">
        <v>1700</v>
      </c>
      <c r="U30" s="9" t="s">
        <v>1440</v>
      </c>
      <c r="V30" s="9"/>
      <c r="W30" s="9" t="s">
        <v>56</v>
      </c>
      <c r="X30" s="9"/>
      <c r="Y30" s="9"/>
    </row>
    <row r="31" ht="42" hidden="1" spans="1:25">
      <c r="A31" s="21">
        <v>540425202204008</v>
      </c>
      <c r="B31" s="22" t="s">
        <v>20</v>
      </c>
      <c r="C31" s="489" t="s">
        <v>1761</v>
      </c>
      <c r="D31" s="9" t="s">
        <v>1762</v>
      </c>
      <c r="E31" s="23">
        <v>45139</v>
      </c>
      <c r="F31" s="9" t="s">
        <v>1726</v>
      </c>
      <c r="G31" s="9" t="s">
        <v>1642</v>
      </c>
      <c r="H31" s="9">
        <v>20</v>
      </c>
      <c r="I31" s="9">
        <v>1</v>
      </c>
      <c r="J31" s="9">
        <v>1400430.69</v>
      </c>
      <c r="K31" s="9">
        <v>99197.17</v>
      </c>
      <c r="L31" s="9">
        <v>1301233.52</v>
      </c>
      <c r="M31" s="9" t="s">
        <v>1625</v>
      </c>
      <c r="N31" s="9" t="s">
        <v>1643</v>
      </c>
      <c r="O31" s="9" t="s">
        <v>1421</v>
      </c>
      <c r="P31" s="9" t="s">
        <v>1627</v>
      </c>
      <c r="Q31" s="9" t="s">
        <v>1628</v>
      </c>
      <c r="R31" s="9" t="s">
        <v>1629</v>
      </c>
      <c r="S31" s="9" t="s">
        <v>1630</v>
      </c>
      <c r="T31" s="9" t="s">
        <v>1700</v>
      </c>
      <c r="U31" s="9" t="s">
        <v>1440</v>
      </c>
      <c r="V31" s="9"/>
      <c r="W31" s="9" t="s">
        <v>56</v>
      </c>
      <c r="X31" s="9"/>
      <c r="Y31" s="9"/>
    </row>
    <row r="32" ht="42" hidden="1" spans="1:25">
      <c r="A32" s="21">
        <v>540425202204008</v>
      </c>
      <c r="B32" s="22" t="s">
        <v>20</v>
      </c>
      <c r="C32" s="489" t="s">
        <v>1763</v>
      </c>
      <c r="D32" s="9" t="s">
        <v>1764</v>
      </c>
      <c r="E32" s="23">
        <v>45139</v>
      </c>
      <c r="F32" s="9" t="s">
        <v>1726</v>
      </c>
      <c r="G32" s="9" t="s">
        <v>1642</v>
      </c>
      <c r="H32" s="9">
        <v>20</v>
      </c>
      <c r="I32" s="9">
        <v>1</v>
      </c>
      <c r="J32" s="9">
        <v>1413184.54</v>
      </c>
      <c r="K32" s="9">
        <v>100100.57</v>
      </c>
      <c r="L32" s="9">
        <v>1313083.97</v>
      </c>
      <c r="M32" s="9" t="s">
        <v>1625</v>
      </c>
      <c r="N32" s="9" t="s">
        <v>1643</v>
      </c>
      <c r="O32" s="9" t="s">
        <v>1421</v>
      </c>
      <c r="P32" s="9" t="s">
        <v>1627</v>
      </c>
      <c r="Q32" s="9" t="s">
        <v>1628</v>
      </c>
      <c r="R32" s="9" t="s">
        <v>1629</v>
      </c>
      <c r="S32" s="9" t="s">
        <v>1630</v>
      </c>
      <c r="T32" s="9" t="s">
        <v>1700</v>
      </c>
      <c r="U32" s="9" t="s">
        <v>1440</v>
      </c>
      <c r="V32" s="9"/>
      <c r="W32" s="9" t="s">
        <v>56</v>
      </c>
      <c r="X32" s="9"/>
      <c r="Y32" s="9"/>
    </row>
    <row r="33" ht="42" hidden="1" spans="1:25">
      <c r="A33" s="21">
        <v>540425202204008</v>
      </c>
      <c r="B33" s="22" t="s">
        <v>20</v>
      </c>
      <c r="C33" s="489" t="s">
        <v>1765</v>
      </c>
      <c r="D33" s="9" t="s">
        <v>1766</v>
      </c>
      <c r="E33" s="23">
        <v>45139</v>
      </c>
      <c r="F33" s="9" t="s">
        <v>1726</v>
      </c>
      <c r="G33" s="9" t="s">
        <v>1642</v>
      </c>
      <c r="H33" s="9">
        <v>20</v>
      </c>
      <c r="I33" s="9">
        <v>1</v>
      </c>
      <c r="J33" s="9">
        <v>850984.91</v>
      </c>
      <c r="K33" s="9">
        <v>60278.1</v>
      </c>
      <c r="L33" s="9">
        <v>790706.81</v>
      </c>
      <c r="M33" s="9" t="s">
        <v>1625</v>
      </c>
      <c r="N33" s="9" t="s">
        <v>1643</v>
      </c>
      <c r="O33" s="9" t="s">
        <v>1421</v>
      </c>
      <c r="P33" s="9" t="s">
        <v>1627</v>
      </c>
      <c r="Q33" s="9" t="s">
        <v>1628</v>
      </c>
      <c r="R33" s="9" t="s">
        <v>1629</v>
      </c>
      <c r="S33" s="9" t="s">
        <v>1630</v>
      </c>
      <c r="T33" s="9" t="s">
        <v>1700</v>
      </c>
      <c r="U33" s="9" t="s">
        <v>1440</v>
      </c>
      <c r="V33" s="9"/>
      <c r="W33" s="9" t="s">
        <v>56</v>
      </c>
      <c r="X33" s="9"/>
      <c r="Y33" s="9"/>
    </row>
    <row r="34" ht="42" hidden="1" spans="1:25">
      <c r="A34" s="21">
        <v>540425202204008</v>
      </c>
      <c r="B34" s="22" t="s">
        <v>20</v>
      </c>
      <c r="C34" s="489" t="s">
        <v>1767</v>
      </c>
      <c r="D34" s="9" t="s">
        <v>1768</v>
      </c>
      <c r="E34" s="23">
        <v>45139</v>
      </c>
      <c r="F34" s="9" t="s">
        <v>1726</v>
      </c>
      <c r="G34" s="9" t="s">
        <v>1642</v>
      </c>
      <c r="H34" s="9">
        <v>20</v>
      </c>
      <c r="I34" s="9">
        <v>1</v>
      </c>
      <c r="J34" s="9">
        <v>603345.39</v>
      </c>
      <c r="K34" s="9">
        <v>42736.97</v>
      </c>
      <c r="L34" s="9">
        <v>560608.42</v>
      </c>
      <c r="M34" s="9" t="s">
        <v>1625</v>
      </c>
      <c r="N34" s="9" t="s">
        <v>1643</v>
      </c>
      <c r="O34" s="9" t="s">
        <v>1421</v>
      </c>
      <c r="P34" s="9" t="s">
        <v>1627</v>
      </c>
      <c r="Q34" s="9" t="s">
        <v>1628</v>
      </c>
      <c r="R34" s="9" t="s">
        <v>1629</v>
      </c>
      <c r="S34" s="9" t="s">
        <v>1630</v>
      </c>
      <c r="T34" s="9" t="s">
        <v>1700</v>
      </c>
      <c r="U34" s="9" t="s">
        <v>1440</v>
      </c>
      <c r="V34" s="9"/>
      <c r="W34" s="9" t="s">
        <v>56</v>
      </c>
      <c r="X34" s="9"/>
      <c r="Y34" s="9"/>
    </row>
    <row r="35" ht="42" hidden="1" spans="1:25">
      <c r="A35" s="21">
        <v>540425202204008</v>
      </c>
      <c r="B35" s="22" t="s">
        <v>20</v>
      </c>
      <c r="C35" s="489" t="s">
        <v>1769</v>
      </c>
      <c r="D35" s="9" t="s">
        <v>1770</v>
      </c>
      <c r="E35" s="23">
        <v>45139</v>
      </c>
      <c r="F35" s="9" t="s">
        <v>1726</v>
      </c>
      <c r="G35" s="9" t="s">
        <v>1642</v>
      </c>
      <c r="H35" s="9">
        <v>20</v>
      </c>
      <c r="I35" s="9">
        <v>1</v>
      </c>
      <c r="J35" s="9">
        <v>568744.49</v>
      </c>
      <c r="K35" s="9">
        <v>40286.07</v>
      </c>
      <c r="L35" s="9">
        <v>528458.42</v>
      </c>
      <c r="M35" s="9" t="s">
        <v>1625</v>
      </c>
      <c r="N35" s="9" t="s">
        <v>1643</v>
      </c>
      <c r="O35" s="9" t="s">
        <v>1421</v>
      </c>
      <c r="P35" s="9" t="s">
        <v>1627</v>
      </c>
      <c r="Q35" s="9" t="s">
        <v>1628</v>
      </c>
      <c r="R35" s="9" t="s">
        <v>1629</v>
      </c>
      <c r="S35" s="9" t="s">
        <v>1630</v>
      </c>
      <c r="T35" s="9" t="s">
        <v>1700</v>
      </c>
      <c r="U35" s="9" t="s">
        <v>1440</v>
      </c>
      <c r="V35" s="9"/>
      <c r="W35" s="9" t="s">
        <v>56</v>
      </c>
      <c r="X35" s="9"/>
      <c r="Y35" s="9"/>
    </row>
    <row r="36" ht="42" hidden="1" spans="1:25">
      <c r="A36" s="21">
        <v>540425202204008</v>
      </c>
      <c r="B36" s="22" t="s">
        <v>20</v>
      </c>
      <c r="C36" s="489" t="s">
        <v>1771</v>
      </c>
      <c r="D36" s="9" t="s">
        <v>1772</v>
      </c>
      <c r="E36" s="23">
        <v>45139</v>
      </c>
      <c r="F36" s="9" t="s">
        <v>1726</v>
      </c>
      <c r="G36" s="9" t="s">
        <v>1642</v>
      </c>
      <c r="H36" s="9">
        <v>20</v>
      </c>
      <c r="I36" s="9">
        <v>1</v>
      </c>
      <c r="J36" s="9">
        <v>385418.42</v>
      </c>
      <c r="K36" s="9">
        <v>27300.47</v>
      </c>
      <c r="L36" s="9">
        <v>358117.95</v>
      </c>
      <c r="M36" s="9" t="s">
        <v>1625</v>
      </c>
      <c r="N36" s="9" t="s">
        <v>1643</v>
      </c>
      <c r="O36" s="9" t="s">
        <v>1421</v>
      </c>
      <c r="P36" s="9" t="s">
        <v>1627</v>
      </c>
      <c r="Q36" s="9" t="s">
        <v>1628</v>
      </c>
      <c r="R36" s="9" t="s">
        <v>1629</v>
      </c>
      <c r="S36" s="9" t="s">
        <v>1630</v>
      </c>
      <c r="T36" s="9" t="s">
        <v>1700</v>
      </c>
      <c r="U36" s="9" t="s">
        <v>1440</v>
      </c>
      <c r="V36" s="9"/>
      <c r="W36" s="9" t="s">
        <v>56</v>
      </c>
      <c r="X36" s="9"/>
      <c r="Y36" s="9"/>
    </row>
    <row r="37" ht="42" hidden="1" spans="1:25">
      <c r="A37" s="21">
        <v>540425202204008</v>
      </c>
      <c r="B37" s="22" t="s">
        <v>20</v>
      </c>
      <c r="C37" s="489" t="s">
        <v>1773</v>
      </c>
      <c r="D37" s="9" t="s">
        <v>1774</v>
      </c>
      <c r="E37" s="23">
        <v>45139</v>
      </c>
      <c r="F37" s="9" t="s">
        <v>1726</v>
      </c>
      <c r="G37" s="9" t="s">
        <v>1642</v>
      </c>
      <c r="H37" s="9">
        <v>20</v>
      </c>
      <c r="I37" s="9">
        <v>1</v>
      </c>
      <c r="J37" s="9">
        <v>417013.46</v>
      </c>
      <c r="K37" s="9">
        <v>29538.45</v>
      </c>
      <c r="L37" s="9">
        <v>387475.01</v>
      </c>
      <c r="M37" s="9" t="s">
        <v>1625</v>
      </c>
      <c r="N37" s="9" t="s">
        <v>1643</v>
      </c>
      <c r="O37" s="9" t="s">
        <v>1421</v>
      </c>
      <c r="P37" s="9" t="s">
        <v>1627</v>
      </c>
      <c r="Q37" s="9" t="s">
        <v>1628</v>
      </c>
      <c r="R37" s="9" t="s">
        <v>1629</v>
      </c>
      <c r="S37" s="9" t="s">
        <v>1630</v>
      </c>
      <c r="T37" s="9" t="s">
        <v>1700</v>
      </c>
      <c r="U37" s="9" t="s">
        <v>1440</v>
      </c>
      <c r="V37" s="9"/>
      <c r="W37" s="9" t="s">
        <v>56</v>
      </c>
      <c r="X37" s="9"/>
      <c r="Y37" s="9"/>
    </row>
    <row r="38" ht="42" hidden="1" spans="1:25">
      <c r="A38" s="21">
        <v>540425202204008</v>
      </c>
      <c r="B38" s="22" t="s">
        <v>20</v>
      </c>
      <c r="C38" s="489" t="s">
        <v>1775</v>
      </c>
      <c r="D38" s="9" t="s">
        <v>1776</v>
      </c>
      <c r="E38" s="23">
        <v>45139</v>
      </c>
      <c r="F38" s="9" t="s">
        <v>1726</v>
      </c>
      <c r="G38" s="9" t="s">
        <v>1675</v>
      </c>
      <c r="H38" s="9">
        <v>5</v>
      </c>
      <c r="I38" s="9">
        <v>1</v>
      </c>
      <c r="J38" s="9">
        <v>5000</v>
      </c>
      <c r="K38" s="9">
        <v>1416.67</v>
      </c>
      <c r="L38" s="9">
        <v>3583.33</v>
      </c>
      <c r="M38" s="9" t="s">
        <v>1625</v>
      </c>
      <c r="N38" s="9" t="s">
        <v>1652</v>
      </c>
      <c r="O38" s="9" t="s">
        <v>1421</v>
      </c>
      <c r="P38" s="9" t="s">
        <v>1627</v>
      </c>
      <c r="Q38" s="9" t="s">
        <v>1628</v>
      </c>
      <c r="R38" s="9" t="s">
        <v>1629</v>
      </c>
      <c r="S38" s="9" t="s">
        <v>1630</v>
      </c>
      <c r="T38" s="9" t="s">
        <v>1700</v>
      </c>
      <c r="U38" s="9" t="s">
        <v>1440</v>
      </c>
      <c r="V38" s="9"/>
      <c r="W38" s="9" t="s">
        <v>56</v>
      </c>
      <c r="X38" s="9"/>
      <c r="Y38" s="9"/>
    </row>
    <row r="39" ht="42" hidden="1" spans="1:25">
      <c r="A39" s="21">
        <v>540425202204008</v>
      </c>
      <c r="B39" s="22" t="s">
        <v>20</v>
      </c>
      <c r="C39" s="489" t="s">
        <v>1777</v>
      </c>
      <c r="D39" s="9" t="s">
        <v>1776</v>
      </c>
      <c r="E39" s="23">
        <v>45139</v>
      </c>
      <c r="F39" s="9" t="s">
        <v>1726</v>
      </c>
      <c r="G39" s="9" t="s">
        <v>1675</v>
      </c>
      <c r="H39" s="9">
        <v>5</v>
      </c>
      <c r="I39" s="9">
        <v>1</v>
      </c>
      <c r="J39" s="9">
        <v>5000</v>
      </c>
      <c r="K39" s="9">
        <v>1416.67</v>
      </c>
      <c r="L39" s="9">
        <v>3583.33</v>
      </c>
      <c r="M39" s="9" t="s">
        <v>1625</v>
      </c>
      <c r="N39" s="9" t="s">
        <v>1652</v>
      </c>
      <c r="O39" s="9" t="s">
        <v>1421</v>
      </c>
      <c r="P39" s="9" t="s">
        <v>1627</v>
      </c>
      <c r="Q39" s="9" t="s">
        <v>1628</v>
      </c>
      <c r="R39" s="9" t="s">
        <v>1629</v>
      </c>
      <c r="S39" s="9" t="s">
        <v>1630</v>
      </c>
      <c r="T39" s="9" t="s">
        <v>1700</v>
      </c>
      <c r="U39" s="9" t="s">
        <v>1440</v>
      </c>
      <c r="V39" s="9"/>
      <c r="W39" s="9" t="s">
        <v>56</v>
      </c>
      <c r="X39" s="9"/>
      <c r="Y39" s="9"/>
    </row>
    <row r="40" ht="42" hidden="1" spans="1:25">
      <c r="A40" s="21">
        <v>540425202204008</v>
      </c>
      <c r="B40" s="22" t="s">
        <v>20</v>
      </c>
      <c r="C40" s="489" t="s">
        <v>1778</v>
      </c>
      <c r="D40" s="9" t="s">
        <v>1779</v>
      </c>
      <c r="E40" s="23">
        <v>45139</v>
      </c>
      <c r="F40" s="9" t="s">
        <v>1726</v>
      </c>
      <c r="G40" s="9" t="s">
        <v>1675</v>
      </c>
      <c r="H40" s="9">
        <v>5</v>
      </c>
      <c r="I40" s="9">
        <v>1</v>
      </c>
      <c r="J40" s="9">
        <v>81550</v>
      </c>
      <c r="K40" s="9">
        <v>23105.83</v>
      </c>
      <c r="L40" s="9">
        <v>58444.17</v>
      </c>
      <c r="M40" s="9" t="s">
        <v>1625</v>
      </c>
      <c r="N40" s="9" t="s">
        <v>1652</v>
      </c>
      <c r="O40" s="9" t="s">
        <v>1421</v>
      </c>
      <c r="P40" s="9" t="s">
        <v>1627</v>
      </c>
      <c r="Q40" s="9" t="s">
        <v>1628</v>
      </c>
      <c r="R40" s="9" t="s">
        <v>1629</v>
      </c>
      <c r="S40" s="9" t="s">
        <v>1630</v>
      </c>
      <c r="T40" s="9" t="s">
        <v>1700</v>
      </c>
      <c r="U40" s="9" t="s">
        <v>1440</v>
      </c>
      <c r="V40" s="9"/>
      <c r="W40" s="9" t="s">
        <v>56</v>
      </c>
      <c r="X40" s="9"/>
      <c r="Y40" s="9"/>
    </row>
    <row r="41" ht="42" hidden="1" spans="1:25">
      <c r="A41" s="21">
        <v>540425202204008</v>
      </c>
      <c r="B41" s="22" t="s">
        <v>20</v>
      </c>
      <c r="C41" s="489" t="s">
        <v>1780</v>
      </c>
      <c r="D41" s="9" t="s">
        <v>1674</v>
      </c>
      <c r="E41" s="23">
        <v>45139</v>
      </c>
      <c r="F41" s="9" t="s">
        <v>1726</v>
      </c>
      <c r="G41" s="9" t="s">
        <v>1675</v>
      </c>
      <c r="H41" s="9">
        <v>5</v>
      </c>
      <c r="I41" s="9">
        <v>1</v>
      </c>
      <c r="J41" s="9">
        <v>20000</v>
      </c>
      <c r="K41" s="9">
        <v>5666.67</v>
      </c>
      <c r="L41" s="9">
        <v>14333.33</v>
      </c>
      <c r="M41" s="9" t="s">
        <v>1625</v>
      </c>
      <c r="N41" s="9" t="s">
        <v>1652</v>
      </c>
      <c r="O41" s="9" t="s">
        <v>1421</v>
      </c>
      <c r="P41" s="9" t="s">
        <v>1627</v>
      </c>
      <c r="Q41" s="9" t="s">
        <v>1628</v>
      </c>
      <c r="R41" s="9" t="s">
        <v>1629</v>
      </c>
      <c r="S41" s="9" t="s">
        <v>1630</v>
      </c>
      <c r="T41" s="9" t="s">
        <v>1700</v>
      </c>
      <c r="U41" s="9" t="s">
        <v>1440</v>
      </c>
      <c r="V41" s="9"/>
      <c r="W41" s="9" t="s">
        <v>56</v>
      </c>
      <c r="X41" s="9"/>
      <c r="Y41" s="9"/>
    </row>
    <row r="42" ht="42" hidden="1" spans="1:25">
      <c r="A42" s="21">
        <v>540425202204008</v>
      </c>
      <c r="B42" s="22" t="s">
        <v>20</v>
      </c>
      <c r="C42" s="489" t="s">
        <v>1781</v>
      </c>
      <c r="D42" s="9" t="s">
        <v>1782</v>
      </c>
      <c r="E42" s="23">
        <v>45139</v>
      </c>
      <c r="F42" s="9" t="s">
        <v>1726</v>
      </c>
      <c r="G42" s="9" t="s">
        <v>1675</v>
      </c>
      <c r="H42" s="9">
        <v>5</v>
      </c>
      <c r="I42" s="9">
        <v>1</v>
      </c>
      <c r="J42" s="9">
        <v>30000</v>
      </c>
      <c r="K42" s="9">
        <v>8500</v>
      </c>
      <c r="L42" s="9">
        <v>21500</v>
      </c>
      <c r="M42" s="9" t="s">
        <v>1625</v>
      </c>
      <c r="N42" s="9" t="s">
        <v>1652</v>
      </c>
      <c r="O42" s="9" t="s">
        <v>1421</v>
      </c>
      <c r="P42" s="9" t="s">
        <v>1627</v>
      </c>
      <c r="Q42" s="9" t="s">
        <v>1628</v>
      </c>
      <c r="R42" s="9" t="s">
        <v>1629</v>
      </c>
      <c r="S42" s="9" t="s">
        <v>1630</v>
      </c>
      <c r="T42" s="9" t="s">
        <v>1700</v>
      </c>
      <c r="U42" s="9" t="s">
        <v>1440</v>
      </c>
      <c r="V42" s="9"/>
      <c r="W42" s="9" t="s">
        <v>56</v>
      </c>
      <c r="X42" s="9"/>
      <c r="Y42" s="9"/>
    </row>
    <row r="43" ht="42" hidden="1" spans="1:25">
      <c r="A43" s="21">
        <v>540425202204008</v>
      </c>
      <c r="B43" s="22" t="s">
        <v>20</v>
      </c>
      <c r="C43" s="489" t="s">
        <v>1783</v>
      </c>
      <c r="D43" s="9" t="s">
        <v>1784</v>
      </c>
      <c r="E43" s="23">
        <v>45139</v>
      </c>
      <c r="F43" s="9" t="s">
        <v>1726</v>
      </c>
      <c r="G43" s="9" t="s">
        <v>1684</v>
      </c>
      <c r="H43" s="9">
        <v>3</v>
      </c>
      <c r="I43" s="9">
        <v>106</v>
      </c>
      <c r="J43" s="9">
        <v>1450200</v>
      </c>
      <c r="K43" s="9">
        <v>684816.67</v>
      </c>
      <c r="L43" s="9">
        <v>765383.33</v>
      </c>
      <c r="M43" s="9" t="s">
        <v>1685</v>
      </c>
      <c r="N43" s="9" t="s">
        <v>1686</v>
      </c>
      <c r="O43" s="9" t="s">
        <v>1421</v>
      </c>
      <c r="P43" s="9" t="s">
        <v>1687</v>
      </c>
      <c r="Q43" s="9" t="s">
        <v>1688</v>
      </c>
      <c r="R43" s="9" t="s">
        <v>1689</v>
      </c>
      <c r="S43" s="9" t="s">
        <v>1630</v>
      </c>
      <c r="T43" s="9" t="s">
        <v>1636</v>
      </c>
      <c r="U43" s="9" t="s">
        <v>1440</v>
      </c>
      <c r="V43" s="9"/>
      <c r="W43" s="9" t="s">
        <v>56</v>
      </c>
      <c r="X43" s="9"/>
      <c r="Y43" s="9"/>
    </row>
    <row r="44" ht="42" hidden="1" spans="1:25">
      <c r="A44" s="21">
        <v>540425202204008</v>
      </c>
      <c r="B44" s="22" t="s">
        <v>20</v>
      </c>
      <c r="C44" s="489" t="s">
        <v>1785</v>
      </c>
      <c r="D44" s="9" t="s">
        <v>1786</v>
      </c>
      <c r="E44" s="23">
        <v>45139</v>
      </c>
      <c r="F44" s="9" t="s">
        <v>1726</v>
      </c>
      <c r="G44" s="9" t="s">
        <v>1684</v>
      </c>
      <c r="H44" s="9">
        <v>3</v>
      </c>
      <c r="I44" s="9">
        <v>60</v>
      </c>
      <c r="J44" s="9">
        <v>820800</v>
      </c>
      <c r="K44" s="9">
        <v>387600</v>
      </c>
      <c r="L44" s="9">
        <v>433200</v>
      </c>
      <c r="M44" s="9" t="s">
        <v>1685</v>
      </c>
      <c r="N44" s="9" t="s">
        <v>1686</v>
      </c>
      <c r="O44" s="9" t="s">
        <v>1421</v>
      </c>
      <c r="P44" s="9" t="s">
        <v>1627</v>
      </c>
      <c r="Q44" s="9" t="s">
        <v>1628</v>
      </c>
      <c r="R44" s="9" t="s">
        <v>1629</v>
      </c>
      <c r="S44" s="9" t="s">
        <v>1630</v>
      </c>
      <c r="T44" s="9" t="s">
        <v>1700</v>
      </c>
      <c r="U44" s="9" t="s">
        <v>1440</v>
      </c>
      <c r="V44" s="9"/>
      <c r="W44" s="9" t="s">
        <v>56</v>
      </c>
      <c r="X44" s="9"/>
      <c r="Y44" s="9"/>
    </row>
    <row r="45" ht="28" hidden="1" spans="1:25">
      <c r="A45" s="21">
        <v>540425201807007</v>
      </c>
      <c r="B45" s="22" t="s">
        <v>20</v>
      </c>
      <c r="C45" s="489" t="s">
        <v>1804</v>
      </c>
      <c r="D45" s="9" t="s">
        <v>1805</v>
      </c>
      <c r="E45" s="23">
        <v>43678</v>
      </c>
      <c r="F45" s="9" t="s">
        <v>1712</v>
      </c>
      <c r="G45" s="9" t="s">
        <v>1684</v>
      </c>
      <c r="H45" s="9">
        <v>3</v>
      </c>
      <c r="I45" s="9">
        <v>70</v>
      </c>
      <c r="J45" s="9">
        <v>67900</v>
      </c>
      <c r="K45" s="9">
        <v>67900</v>
      </c>
      <c r="L45" s="9">
        <v>0</v>
      </c>
      <c r="M45" s="9" t="s">
        <v>1685</v>
      </c>
      <c r="N45" s="9" t="s">
        <v>1686</v>
      </c>
      <c r="O45" s="9" t="s">
        <v>1421</v>
      </c>
      <c r="P45" s="9" t="s">
        <v>1687</v>
      </c>
      <c r="Q45" s="9" t="s">
        <v>1688</v>
      </c>
      <c r="R45" s="9" t="s">
        <v>1689</v>
      </c>
      <c r="S45" s="9" t="s">
        <v>1630</v>
      </c>
      <c r="T45" s="9" t="s">
        <v>1636</v>
      </c>
      <c r="U45" s="9" t="s">
        <v>1442</v>
      </c>
      <c r="V45" s="9"/>
      <c r="W45" s="9" t="s">
        <v>56</v>
      </c>
      <c r="X45" s="9"/>
      <c r="Y45" s="9"/>
    </row>
    <row r="46" ht="28" hidden="1" spans="1:25">
      <c r="A46" s="21">
        <v>540425202004005</v>
      </c>
      <c r="B46" s="22" t="s">
        <v>20</v>
      </c>
      <c r="C46" s="489" t="s">
        <v>1806</v>
      </c>
      <c r="D46" s="9" t="s">
        <v>1754</v>
      </c>
      <c r="E46" s="23">
        <v>43831</v>
      </c>
      <c r="F46" s="9" t="s">
        <v>1807</v>
      </c>
      <c r="G46" s="9" t="s">
        <v>1642</v>
      </c>
      <c r="H46" s="9">
        <v>20</v>
      </c>
      <c r="I46" s="9">
        <v>1</v>
      </c>
      <c r="J46" s="9">
        <v>1201069.84</v>
      </c>
      <c r="K46" s="9">
        <v>300267.46</v>
      </c>
      <c r="L46" s="9">
        <v>900802.38</v>
      </c>
      <c r="M46" s="9" t="s">
        <v>1625</v>
      </c>
      <c r="N46" s="9" t="s">
        <v>1643</v>
      </c>
      <c r="O46" s="9" t="s">
        <v>1421</v>
      </c>
      <c r="P46" s="9" t="s">
        <v>1627</v>
      </c>
      <c r="Q46" s="9" t="s">
        <v>1628</v>
      </c>
      <c r="R46" s="9" t="s">
        <v>1629</v>
      </c>
      <c r="S46" s="9" t="s">
        <v>1630</v>
      </c>
      <c r="T46" s="9" t="s">
        <v>1700</v>
      </c>
      <c r="U46" s="9" t="s">
        <v>1434</v>
      </c>
      <c r="V46" s="9"/>
      <c r="W46" s="9" t="s">
        <v>56</v>
      </c>
      <c r="X46" s="9"/>
      <c r="Y46" s="9"/>
    </row>
    <row r="47" ht="28" hidden="1" spans="1:25">
      <c r="A47" s="21">
        <v>540425202004005</v>
      </c>
      <c r="B47" s="22" t="s">
        <v>20</v>
      </c>
      <c r="C47" s="489" t="s">
        <v>1808</v>
      </c>
      <c r="D47" s="9" t="s">
        <v>1772</v>
      </c>
      <c r="E47" s="23">
        <v>43831</v>
      </c>
      <c r="F47" s="9" t="s">
        <v>1807</v>
      </c>
      <c r="G47" s="9" t="s">
        <v>1642</v>
      </c>
      <c r="H47" s="9">
        <v>20</v>
      </c>
      <c r="I47" s="9">
        <v>1</v>
      </c>
      <c r="J47" s="9">
        <v>135176.14</v>
      </c>
      <c r="K47" s="9">
        <v>33794.04</v>
      </c>
      <c r="L47" s="9">
        <v>101382.1</v>
      </c>
      <c r="M47" s="9" t="s">
        <v>1625</v>
      </c>
      <c r="N47" s="9" t="s">
        <v>1643</v>
      </c>
      <c r="O47" s="9" t="s">
        <v>1421</v>
      </c>
      <c r="P47" s="9" t="s">
        <v>1627</v>
      </c>
      <c r="Q47" s="9" t="s">
        <v>1628</v>
      </c>
      <c r="R47" s="9" t="s">
        <v>1629</v>
      </c>
      <c r="S47" s="9" t="s">
        <v>1630</v>
      </c>
      <c r="T47" s="9" t="s">
        <v>1700</v>
      </c>
      <c r="U47" s="9" t="s">
        <v>1434</v>
      </c>
      <c r="V47" s="9"/>
      <c r="W47" s="9" t="s">
        <v>56</v>
      </c>
      <c r="X47" s="9"/>
      <c r="Y47" s="9"/>
    </row>
    <row r="48" ht="28" hidden="1" spans="1:25">
      <c r="A48" s="21">
        <v>540425202004005</v>
      </c>
      <c r="B48" s="22" t="s">
        <v>20</v>
      </c>
      <c r="C48" s="489" t="s">
        <v>1809</v>
      </c>
      <c r="D48" s="9" t="s">
        <v>1810</v>
      </c>
      <c r="E48" s="23">
        <v>43831</v>
      </c>
      <c r="F48" s="9" t="s">
        <v>1807</v>
      </c>
      <c r="G48" s="9" t="s">
        <v>1642</v>
      </c>
      <c r="H48" s="9">
        <v>20</v>
      </c>
      <c r="I48" s="9">
        <v>1</v>
      </c>
      <c r="J48" s="9">
        <v>130548.86</v>
      </c>
      <c r="K48" s="9">
        <v>32637.22</v>
      </c>
      <c r="L48" s="9">
        <v>97911.64</v>
      </c>
      <c r="M48" s="9" t="s">
        <v>1625</v>
      </c>
      <c r="N48" s="9" t="s">
        <v>1643</v>
      </c>
      <c r="O48" s="9" t="s">
        <v>1421</v>
      </c>
      <c r="P48" s="9" t="s">
        <v>1627</v>
      </c>
      <c r="Q48" s="9" t="s">
        <v>1628</v>
      </c>
      <c r="R48" s="9" t="s">
        <v>1629</v>
      </c>
      <c r="S48" s="9" t="s">
        <v>1630</v>
      </c>
      <c r="T48" s="9" t="s">
        <v>1700</v>
      </c>
      <c r="U48" s="9" t="s">
        <v>1434</v>
      </c>
      <c r="V48" s="9"/>
      <c r="W48" s="9" t="s">
        <v>56</v>
      </c>
      <c r="X48" s="9"/>
      <c r="Y48" s="9"/>
    </row>
    <row r="49" ht="28" hidden="1" spans="1:25">
      <c r="A49" s="21">
        <v>540425202004005</v>
      </c>
      <c r="B49" s="22" t="s">
        <v>20</v>
      </c>
      <c r="C49" s="489" t="s">
        <v>1809</v>
      </c>
      <c r="D49" s="9" t="s">
        <v>1776</v>
      </c>
      <c r="E49" s="23">
        <v>43831</v>
      </c>
      <c r="F49" s="9" t="s">
        <v>1807</v>
      </c>
      <c r="G49" s="9" t="s">
        <v>1675</v>
      </c>
      <c r="H49" s="9">
        <v>5</v>
      </c>
      <c r="I49" s="9">
        <v>1</v>
      </c>
      <c r="J49" s="9">
        <v>5000</v>
      </c>
      <c r="K49" s="9">
        <v>5000</v>
      </c>
      <c r="L49" s="9">
        <v>0</v>
      </c>
      <c r="M49" s="9" t="s">
        <v>1625</v>
      </c>
      <c r="N49" s="9" t="s">
        <v>1652</v>
      </c>
      <c r="O49" s="9" t="s">
        <v>1421</v>
      </c>
      <c r="P49" s="9" t="s">
        <v>1627</v>
      </c>
      <c r="Q49" s="9" t="s">
        <v>1628</v>
      </c>
      <c r="R49" s="9" t="s">
        <v>1629</v>
      </c>
      <c r="S49" s="9" t="s">
        <v>1630</v>
      </c>
      <c r="T49" s="9" t="s">
        <v>1700</v>
      </c>
      <c r="U49" s="9" t="s">
        <v>1434</v>
      </c>
      <c r="V49" s="9"/>
      <c r="W49" s="9" t="s">
        <v>56</v>
      </c>
      <c r="X49" s="9"/>
      <c r="Y49" s="9"/>
    </row>
    <row r="50" ht="28" hidden="1" spans="1:25">
      <c r="A50" s="21">
        <v>540425202004005</v>
      </c>
      <c r="B50" s="22" t="s">
        <v>20</v>
      </c>
      <c r="C50" s="489" t="s">
        <v>1811</v>
      </c>
      <c r="D50" s="9" t="s">
        <v>1812</v>
      </c>
      <c r="E50" s="23">
        <v>43831</v>
      </c>
      <c r="F50" s="9" t="s">
        <v>1807</v>
      </c>
      <c r="G50" s="9" t="s">
        <v>1684</v>
      </c>
      <c r="H50" s="9">
        <v>3</v>
      </c>
      <c r="I50" s="9">
        <v>64</v>
      </c>
      <c r="J50" s="9">
        <v>716444</v>
      </c>
      <c r="K50" s="9">
        <v>716444</v>
      </c>
      <c r="L50" s="9">
        <v>0</v>
      </c>
      <c r="M50" s="9" t="s">
        <v>1685</v>
      </c>
      <c r="N50" s="9" t="s">
        <v>1686</v>
      </c>
      <c r="O50" s="9" t="s">
        <v>1421</v>
      </c>
      <c r="P50" s="9" t="s">
        <v>1687</v>
      </c>
      <c r="Q50" s="9" t="s">
        <v>1688</v>
      </c>
      <c r="R50" s="9" t="s">
        <v>1689</v>
      </c>
      <c r="S50" s="9" t="s">
        <v>1630</v>
      </c>
      <c r="T50" s="9" t="s">
        <v>1636</v>
      </c>
      <c r="U50" s="9" t="s">
        <v>1434</v>
      </c>
      <c r="V50" s="9"/>
      <c r="W50" s="9" t="s">
        <v>56</v>
      </c>
      <c r="X50" s="9"/>
      <c r="Y50" s="9"/>
    </row>
    <row r="51" ht="28" hidden="1" spans="1:25">
      <c r="A51" s="21">
        <v>540425202004005</v>
      </c>
      <c r="B51" s="22" t="s">
        <v>20</v>
      </c>
      <c r="C51" s="489" t="s">
        <v>1813</v>
      </c>
      <c r="D51" s="9" t="s">
        <v>1814</v>
      </c>
      <c r="E51" s="23">
        <v>43831</v>
      </c>
      <c r="F51" s="9" t="s">
        <v>1807</v>
      </c>
      <c r="G51" s="9" t="s">
        <v>1684</v>
      </c>
      <c r="H51" s="9">
        <v>3</v>
      </c>
      <c r="I51" s="9">
        <v>26</v>
      </c>
      <c r="J51" s="9">
        <v>291056</v>
      </c>
      <c r="K51" s="9">
        <v>291056</v>
      </c>
      <c r="L51" s="9">
        <v>0</v>
      </c>
      <c r="M51" s="9" t="s">
        <v>1685</v>
      </c>
      <c r="N51" s="9" t="s">
        <v>1686</v>
      </c>
      <c r="O51" s="9" t="s">
        <v>1421</v>
      </c>
      <c r="P51" s="9" t="s">
        <v>1627</v>
      </c>
      <c r="Q51" s="9" t="s">
        <v>1628</v>
      </c>
      <c r="R51" s="9" t="s">
        <v>1629</v>
      </c>
      <c r="S51" s="9" t="s">
        <v>1630</v>
      </c>
      <c r="T51" s="9" t="s">
        <v>1700</v>
      </c>
      <c r="U51" s="9" t="s">
        <v>1434</v>
      </c>
      <c r="V51" s="9"/>
      <c r="W51" s="9" t="s">
        <v>56</v>
      </c>
      <c r="X51" s="9"/>
      <c r="Y51" s="9"/>
    </row>
    <row r="52" ht="28" hidden="1" spans="1:25">
      <c r="A52" s="21">
        <v>540425202104006</v>
      </c>
      <c r="B52" s="22" t="s">
        <v>20</v>
      </c>
      <c r="C52" s="489" t="s">
        <v>1815</v>
      </c>
      <c r="D52" s="9" t="s">
        <v>1754</v>
      </c>
      <c r="E52" s="23">
        <v>44593</v>
      </c>
      <c r="F52" s="9" t="s">
        <v>1807</v>
      </c>
      <c r="G52" s="9" t="s">
        <v>1642</v>
      </c>
      <c r="H52" s="9">
        <v>20</v>
      </c>
      <c r="I52" s="9">
        <v>1</v>
      </c>
      <c r="J52" s="9">
        <v>1904161.32</v>
      </c>
      <c r="K52" s="9">
        <v>277690.19</v>
      </c>
      <c r="L52" s="9">
        <v>1626471.13</v>
      </c>
      <c r="M52" s="9" t="s">
        <v>1625</v>
      </c>
      <c r="N52" s="9" t="s">
        <v>1643</v>
      </c>
      <c r="O52" s="9" t="s">
        <v>1421</v>
      </c>
      <c r="P52" s="9" t="s">
        <v>1627</v>
      </c>
      <c r="Q52" s="9" t="s">
        <v>1628</v>
      </c>
      <c r="R52" s="9" t="s">
        <v>1629</v>
      </c>
      <c r="S52" s="9" t="s">
        <v>1630</v>
      </c>
      <c r="T52" s="9" t="s">
        <v>1700</v>
      </c>
      <c r="U52" s="9" t="s">
        <v>1432</v>
      </c>
      <c r="V52" s="9"/>
      <c r="W52" s="9" t="s">
        <v>56</v>
      </c>
      <c r="X52" s="9"/>
      <c r="Y52" s="9"/>
    </row>
    <row r="53" ht="28" hidden="1" spans="1:25">
      <c r="A53" s="21">
        <v>540425202104006</v>
      </c>
      <c r="B53" s="22" t="s">
        <v>20</v>
      </c>
      <c r="C53" s="489" t="s">
        <v>1816</v>
      </c>
      <c r="D53" s="9" t="s">
        <v>1772</v>
      </c>
      <c r="E53" s="23">
        <v>44593</v>
      </c>
      <c r="F53" s="9" t="s">
        <v>1807</v>
      </c>
      <c r="G53" s="9" t="s">
        <v>1642</v>
      </c>
      <c r="H53" s="9">
        <v>20</v>
      </c>
      <c r="I53" s="9">
        <v>1</v>
      </c>
      <c r="J53" s="9">
        <v>155117.57</v>
      </c>
      <c r="K53" s="9">
        <v>22621.31</v>
      </c>
      <c r="L53" s="9">
        <v>132496.26</v>
      </c>
      <c r="M53" s="9" t="s">
        <v>1625</v>
      </c>
      <c r="N53" s="9" t="s">
        <v>1643</v>
      </c>
      <c r="O53" s="9" t="s">
        <v>1421</v>
      </c>
      <c r="P53" s="9" t="s">
        <v>1627</v>
      </c>
      <c r="Q53" s="9" t="s">
        <v>1628</v>
      </c>
      <c r="R53" s="9" t="s">
        <v>1629</v>
      </c>
      <c r="S53" s="9" t="s">
        <v>1630</v>
      </c>
      <c r="T53" s="9" t="s">
        <v>1700</v>
      </c>
      <c r="U53" s="9" t="s">
        <v>1432</v>
      </c>
      <c r="V53" s="9"/>
      <c r="W53" s="9" t="s">
        <v>56</v>
      </c>
      <c r="X53" s="9"/>
      <c r="Y53" s="9"/>
    </row>
    <row r="54" ht="28" hidden="1" spans="1:25">
      <c r="A54" s="21">
        <v>540425202104006</v>
      </c>
      <c r="B54" s="22" t="s">
        <v>20</v>
      </c>
      <c r="C54" s="489" t="s">
        <v>1817</v>
      </c>
      <c r="D54" s="9" t="s">
        <v>1810</v>
      </c>
      <c r="E54" s="23">
        <v>44593</v>
      </c>
      <c r="F54" s="9" t="s">
        <v>1807</v>
      </c>
      <c r="G54" s="9" t="s">
        <v>1642</v>
      </c>
      <c r="H54" s="9">
        <v>20</v>
      </c>
      <c r="I54" s="9">
        <v>1</v>
      </c>
      <c r="J54" s="9">
        <v>194992.79</v>
      </c>
      <c r="K54" s="9">
        <v>28436.45</v>
      </c>
      <c r="L54" s="9">
        <v>166556.34</v>
      </c>
      <c r="M54" s="9" t="s">
        <v>1625</v>
      </c>
      <c r="N54" s="9" t="s">
        <v>1643</v>
      </c>
      <c r="O54" s="9" t="s">
        <v>1421</v>
      </c>
      <c r="P54" s="9" t="s">
        <v>1627</v>
      </c>
      <c r="Q54" s="9" t="s">
        <v>1628</v>
      </c>
      <c r="R54" s="9" t="s">
        <v>1629</v>
      </c>
      <c r="S54" s="9" t="s">
        <v>1630</v>
      </c>
      <c r="T54" s="9" t="s">
        <v>1700</v>
      </c>
      <c r="U54" s="9" t="s">
        <v>1432</v>
      </c>
      <c r="V54" s="9"/>
      <c r="W54" s="9" t="s">
        <v>56</v>
      </c>
      <c r="X54" s="9"/>
      <c r="Y54" s="9"/>
    </row>
    <row r="55" ht="28" hidden="1" spans="1:25">
      <c r="A55" s="21">
        <v>540425202104006</v>
      </c>
      <c r="B55" s="22" t="s">
        <v>20</v>
      </c>
      <c r="C55" s="489" t="s">
        <v>1818</v>
      </c>
      <c r="D55" s="9" t="s">
        <v>1819</v>
      </c>
      <c r="E55" s="23">
        <v>44593</v>
      </c>
      <c r="F55" s="9" t="s">
        <v>1807</v>
      </c>
      <c r="G55" s="9" t="s">
        <v>1642</v>
      </c>
      <c r="H55" s="9">
        <v>20</v>
      </c>
      <c r="I55" s="9">
        <v>1</v>
      </c>
      <c r="J55" s="9">
        <v>181492.79</v>
      </c>
      <c r="K55" s="9">
        <v>26467.7</v>
      </c>
      <c r="L55" s="9">
        <v>155025.09</v>
      </c>
      <c r="M55" s="9" t="s">
        <v>1625</v>
      </c>
      <c r="N55" s="9" t="s">
        <v>1643</v>
      </c>
      <c r="O55" s="9" t="s">
        <v>1421</v>
      </c>
      <c r="P55" s="9" t="s">
        <v>1627</v>
      </c>
      <c r="Q55" s="9" t="s">
        <v>1628</v>
      </c>
      <c r="R55" s="9" t="s">
        <v>1629</v>
      </c>
      <c r="S55" s="9" t="s">
        <v>1630</v>
      </c>
      <c r="T55" s="9" t="s">
        <v>1700</v>
      </c>
      <c r="U55" s="9" t="s">
        <v>1432</v>
      </c>
      <c r="V55" s="9"/>
      <c r="W55" s="9" t="s">
        <v>56</v>
      </c>
      <c r="X55" s="9"/>
      <c r="Y55" s="9"/>
    </row>
    <row r="56" ht="28" hidden="1" spans="1:25">
      <c r="A56" s="21">
        <v>540425202104006</v>
      </c>
      <c r="B56" s="22" t="s">
        <v>20</v>
      </c>
      <c r="C56" s="489" t="s">
        <v>1820</v>
      </c>
      <c r="D56" s="9" t="s">
        <v>1776</v>
      </c>
      <c r="E56" s="23">
        <v>44593</v>
      </c>
      <c r="F56" s="9" t="s">
        <v>1807</v>
      </c>
      <c r="G56" s="9" t="s">
        <v>1675</v>
      </c>
      <c r="H56" s="9">
        <v>5</v>
      </c>
      <c r="I56" s="9">
        <v>1</v>
      </c>
      <c r="J56" s="9">
        <v>5000</v>
      </c>
      <c r="K56" s="9">
        <v>2916.67</v>
      </c>
      <c r="L56" s="9">
        <v>2083.33</v>
      </c>
      <c r="M56" s="9" t="s">
        <v>1625</v>
      </c>
      <c r="N56" s="9" t="s">
        <v>1652</v>
      </c>
      <c r="O56" s="9" t="s">
        <v>1421</v>
      </c>
      <c r="P56" s="9" t="s">
        <v>1627</v>
      </c>
      <c r="Q56" s="9" t="s">
        <v>1628</v>
      </c>
      <c r="R56" s="9" t="s">
        <v>1629</v>
      </c>
      <c r="S56" s="9" t="s">
        <v>1630</v>
      </c>
      <c r="T56" s="9" t="s">
        <v>1700</v>
      </c>
      <c r="U56" s="9" t="s">
        <v>1432</v>
      </c>
      <c r="V56" s="9"/>
      <c r="W56" s="9" t="s">
        <v>56</v>
      </c>
      <c r="X56" s="9"/>
      <c r="Y56" s="9"/>
    </row>
    <row r="57" ht="28" hidden="1" spans="1:25">
      <c r="A57" s="21">
        <v>540425202104006</v>
      </c>
      <c r="B57" s="22" t="s">
        <v>20</v>
      </c>
      <c r="C57" s="489" t="s">
        <v>1821</v>
      </c>
      <c r="D57" s="9" t="s">
        <v>1776</v>
      </c>
      <c r="E57" s="23">
        <v>44593</v>
      </c>
      <c r="F57" s="9" t="s">
        <v>1807</v>
      </c>
      <c r="G57" s="9" t="s">
        <v>1675</v>
      </c>
      <c r="H57" s="9">
        <v>5</v>
      </c>
      <c r="I57" s="9">
        <v>1</v>
      </c>
      <c r="J57" s="9">
        <v>5000</v>
      </c>
      <c r="K57" s="9">
        <v>2916.67</v>
      </c>
      <c r="L57" s="9">
        <v>2083.33</v>
      </c>
      <c r="M57" s="9" t="s">
        <v>1625</v>
      </c>
      <c r="N57" s="9" t="s">
        <v>1652</v>
      </c>
      <c r="O57" s="9" t="s">
        <v>1421</v>
      </c>
      <c r="P57" s="9" t="s">
        <v>1627</v>
      </c>
      <c r="Q57" s="9" t="s">
        <v>1628</v>
      </c>
      <c r="R57" s="9" t="s">
        <v>1629</v>
      </c>
      <c r="S57" s="9" t="s">
        <v>1630</v>
      </c>
      <c r="T57" s="9" t="s">
        <v>1700</v>
      </c>
      <c r="U57" s="9" t="s">
        <v>1432</v>
      </c>
      <c r="V57" s="9"/>
      <c r="W57" s="9" t="s">
        <v>56</v>
      </c>
      <c r="X57" s="9"/>
      <c r="Y57" s="9"/>
    </row>
    <row r="58" ht="28" hidden="1" spans="1:25">
      <c r="A58" s="21">
        <v>540425202104006</v>
      </c>
      <c r="B58" s="22" t="s">
        <v>20</v>
      </c>
      <c r="C58" s="489" t="s">
        <v>1822</v>
      </c>
      <c r="D58" s="9" t="s">
        <v>1823</v>
      </c>
      <c r="E58" s="23">
        <v>44593</v>
      </c>
      <c r="F58" s="9" t="s">
        <v>1807</v>
      </c>
      <c r="G58" s="9" t="s">
        <v>1651</v>
      </c>
      <c r="H58" s="9">
        <v>5</v>
      </c>
      <c r="I58" s="9">
        <v>1</v>
      </c>
      <c r="J58" s="9">
        <v>150000</v>
      </c>
      <c r="K58" s="9">
        <v>87500</v>
      </c>
      <c r="L58" s="9">
        <v>62500</v>
      </c>
      <c r="M58" s="9" t="s">
        <v>1625</v>
      </c>
      <c r="N58" s="9" t="s">
        <v>1652</v>
      </c>
      <c r="O58" s="9" t="s">
        <v>1421</v>
      </c>
      <c r="P58" s="9" t="s">
        <v>1627</v>
      </c>
      <c r="Q58" s="9" t="s">
        <v>1628</v>
      </c>
      <c r="R58" s="9" t="s">
        <v>1629</v>
      </c>
      <c r="S58" s="9" t="s">
        <v>1630</v>
      </c>
      <c r="T58" s="9" t="s">
        <v>1700</v>
      </c>
      <c r="U58" s="9" t="s">
        <v>1432</v>
      </c>
      <c r="V58" s="9"/>
      <c r="W58" s="9" t="s">
        <v>56</v>
      </c>
      <c r="X58" s="9"/>
      <c r="Y58" s="9"/>
    </row>
    <row r="59" ht="28" hidden="1" spans="1:25">
      <c r="A59" s="21">
        <v>540425202104006</v>
      </c>
      <c r="B59" s="22" t="s">
        <v>20</v>
      </c>
      <c r="C59" s="489" t="s">
        <v>1824</v>
      </c>
      <c r="D59" s="9" t="s">
        <v>1812</v>
      </c>
      <c r="E59" s="23">
        <v>44593</v>
      </c>
      <c r="F59" s="9" t="s">
        <v>1807</v>
      </c>
      <c r="G59" s="9" t="s">
        <v>1684</v>
      </c>
      <c r="H59" s="9">
        <v>3</v>
      </c>
      <c r="I59" s="9">
        <v>78</v>
      </c>
      <c r="J59" s="9">
        <v>869590</v>
      </c>
      <c r="K59" s="9">
        <v>845434.72</v>
      </c>
      <c r="L59" s="9">
        <v>24155.28</v>
      </c>
      <c r="M59" s="9" t="s">
        <v>1685</v>
      </c>
      <c r="N59" s="9" t="s">
        <v>1686</v>
      </c>
      <c r="O59" s="9" t="s">
        <v>1421</v>
      </c>
      <c r="P59" s="9" t="s">
        <v>1687</v>
      </c>
      <c r="Q59" s="9" t="s">
        <v>1688</v>
      </c>
      <c r="R59" s="9" t="s">
        <v>1689</v>
      </c>
      <c r="S59" s="9" t="s">
        <v>1630</v>
      </c>
      <c r="T59" s="9" t="s">
        <v>1636</v>
      </c>
      <c r="U59" s="9" t="s">
        <v>1432</v>
      </c>
      <c r="V59" s="9"/>
      <c r="W59" s="9" t="s">
        <v>56</v>
      </c>
      <c r="X59" s="9"/>
      <c r="Y59" s="9"/>
    </row>
    <row r="60" ht="28" hidden="1" spans="1:25">
      <c r="A60" s="21">
        <v>540425202104006</v>
      </c>
      <c r="B60" s="22" t="s">
        <v>20</v>
      </c>
      <c r="C60" s="489" t="s">
        <v>1825</v>
      </c>
      <c r="D60" s="9" t="s">
        <v>1814</v>
      </c>
      <c r="E60" s="23">
        <v>44593</v>
      </c>
      <c r="F60" s="9" t="s">
        <v>1807</v>
      </c>
      <c r="G60" s="9" t="s">
        <v>1684</v>
      </c>
      <c r="H60" s="9">
        <v>3</v>
      </c>
      <c r="I60" s="9">
        <v>33</v>
      </c>
      <c r="J60" s="9">
        <v>367910</v>
      </c>
      <c r="K60" s="9">
        <v>357690.28</v>
      </c>
      <c r="L60" s="9">
        <v>10219.72</v>
      </c>
      <c r="M60" s="9" t="s">
        <v>1685</v>
      </c>
      <c r="N60" s="9" t="s">
        <v>1686</v>
      </c>
      <c r="O60" s="9" t="s">
        <v>1421</v>
      </c>
      <c r="P60" s="9" t="s">
        <v>1627</v>
      </c>
      <c r="Q60" s="9" t="s">
        <v>1628</v>
      </c>
      <c r="R60" s="9" t="s">
        <v>1629</v>
      </c>
      <c r="S60" s="9" t="s">
        <v>1630</v>
      </c>
      <c r="T60" s="9" t="s">
        <v>1700</v>
      </c>
      <c r="U60" s="9" t="s">
        <v>1432</v>
      </c>
      <c r="V60" s="9"/>
      <c r="W60" s="9" t="s">
        <v>56</v>
      </c>
      <c r="X60" s="9"/>
      <c r="Y60" s="9"/>
    </row>
    <row r="61" ht="28" hidden="1" spans="1:25">
      <c r="A61" s="21">
        <v>540425201907012</v>
      </c>
      <c r="B61" s="22" t="s">
        <v>20</v>
      </c>
      <c r="C61" s="489" t="s">
        <v>1854</v>
      </c>
      <c r="D61" s="9" t="s">
        <v>1707</v>
      </c>
      <c r="E61" s="23">
        <v>43952</v>
      </c>
      <c r="F61" s="9" t="s">
        <v>1848</v>
      </c>
      <c r="G61" s="9" t="s">
        <v>1675</v>
      </c>
      <c r="H61" s="9">
        <v>5</v>
      </c>
      <c r="I61" s="9">
        <v>1</v>
      </c>
      <c r="J61" s="9">
        <v>7800</v>
      </c>
      <c r="K61" s="9">
        <v>7280</v>
      </c>
      <c r="L61" s="9">
        <v>520</v>
      </c>
      <c r="M61" s="9" t="s">
        <v>1625</v>
      </c>
      <c r="N61" s="9" t="s">
        <v>1652</v>
      </c>
      <c r="O61" s="9" t="s">
        <v>1421</v>
      </c>
      <c r="P61" s="9" t="s">
        <v>1687</v>
      </c>
      <c r="Q61" s="9" t="s">
        <v>1688</v>
      </c>
      <c r="R61" s="9" t="s">
        <v>1687</v>
      </c>
      <c r="S61" s="9" t="s">
        <v>1630</v>
      </c>
      <c r="T61" s="9" t="s">
        <v>1636</v>
      </c>
      <c r="U61" s="9" t="s">
        <v>1449</v>
      </c>
      <c r="V61" s="9"/>
      <c r="W61" s="9" t="s">
        <v>56</v>
      </c>
      <c r="X61" s="9"/>
      <c r="Y61" s="9"/>
    </row>
    <row r="62" ht="28" hidden="1" spans="1:25">
      <c r="A62" s="21">
        <v>540425201907012</v>
      </c>
      <c r="B62" s="22" t="s">
        <v>20</v>
      </c>
      <c r="C62" s="489" t="s">
        <v>1855</v>
      </c>
      <c r="D62" s="9" t="s">
        <v>957</v>
      </c>
      <c r="E62" s="23">
        <v>43952</v>
      </c>
      <c r="F62" s="9" t="s">
        <v>1848</v>
      </c>
      <c r="G62" s="9" t="s">
        <v>1684</v>
      </c>
      <c r="H62" s="9">
        <v>3</v>
      </c>
      <c r="I62" s="9">
        <v>63</v>
      </c>
      <c r="J62" s="9">
        <v>244500</v>
      </c>
      <c r="K62" s="9">
        <v>244500</v>
      </c>
      <c r="L62" s="9">
        <v>0</v>
      </c>
      <c r="M62" s="9" t="s">
        <v>1685</v>
      </c>
      <c r="N62" s="9" t="s">
        <v>1686</v>
      </c>
      <c r="O62" s="9" t="s">
        <v>1421</v>
      </c>
      <c r="P62" s="9" t="s">
        <v>1687</v>
      </c>
      <c r="Q62" s="9" t="s">
        <v>1688</v>
      </c>
      <c r="R62" s="9" t="s">
        <v>1689</v>
      </c>
      <c r="S62" s="9" t="s">
        <v>1630</v>
      </c>
      <c r="T62" s="9" t="s">
        <v>1636</v>
      </c>
      <c r="U62" s="9" t="s">
        <v>1449</v>
      </c>
      <c r="V62" s="9"/>
      <c r="W62" s="9" t="s">
        <v>56</v>
      </c>
      <c r="X62" s="9"/>
      <c r="Y62" s="9"/>
    </row>
    <row r="63" hidden="1" spans="1:25">
      <c r="A63" s="21">
        <v>540425201812003</v>
      </c>
      <c r="B63" s="22" t="s">
        <v>20</v>
      </c>
      <c r="C63" s="489" t="s">
        <v>1930</v>
      </c>
      <c r="D63" s="9" t="s">
        <v>1929</v>
      </c>
      <c r="E63" s="23">
        <v>43497</v>
      </c>
      <c r="F63" s="9" t="s">
        <v>1931</v>
      </c>
      <c r="G63" s="9" t="s">
        <v>1865</v>
      </c>
      <c r="H63" s="9">
        <v>10</v>
      </c>
      <c r="I63" s="9">
        <v>1794940</v>
      </c>
      <c r="J63" s="9">
        <v>3660500</v>
      </c>
      <c r="K63" s="9">
        <v>2165795.83</v>
      </c>
      <c r="L63" s="9">
        <v>1494704.17</v>
      </c>
      <c r="M63" s="9" t="s">
        <v>1685</v>
      </c>
      <c r="N63" s="9" t="s">
        <v>1866</v>
      </c>
      <c r="O63" s="9" t="s">
        <v>1426</v>
      </c>
      <c r="P63" s="9" t="s">
        <v>1705</v>
      </c>
      <c r="Q63" s="9" t="s">
        <v>1688</v>
      </c>
      <c r="R63" s="9" t="s">
        <v>1689</v>
      </c>
      <c r="S63" s="9" t="s">
        <v>1630</v>
      </c>
      <c r="T63" s="9" t="s">
        <v>1636</v>
      </c>
      <c r="U63" s="9" t="s">
        <v>121</v>
      </c>
      <c r="V63" s="9"/>
      <c r="W63" s="9" t="s">
        <v>56</v>
      </c>
      <c r="X63" s="9"/>
      <c r="Y63" s="9"/>
    </row>
    <row r="64" hidden="1" spans="1:25">
      <c r="A64" s="21">
        <v>540425201812003</v>
      </c>
      <c r="B64" s="22" t="s">
        <v>20</v>
      </c>
      <c r="C64" s="489" t="s">
        <v>1932</v>
      </c>
      <c r="D64" s="9" t="s">
        <v>1744</v>
      </c>
      <c r="E64" s="23">
        <v>43497</v>
      </c>
      <c r="F64" s="9" t="s">
        <v>1931</v>
      </c>
      <c r="G64" s="9" t="s">
        <v>1647</v>
      </c>
      <c r="H64" s="9">
        <v>10</v>
      </c>
      <c r="I64" s="9">
        <v>1</v>
      </c>
      <c r="J64" s="9">
        <v>81900</v>
      </c>
      <c r="K64" s="9">
        <v>48457.5</v>
      </c>
      <c r="L64" s="9">
        <v>33442.5</v>
      </c>
      <c r="M64" s="9" t="s">
        <v>1625</v>
      </c>
      <c r="N64" s="9" t="s">
        <v>1626</v>
      </c>
      <c r="O64" s="9" t="s">
        <v>1426</v>
      </c>
      <c r="P64" s="9" t="s">
        <v>1627</v>
      </c>
      <c r="Q64" s="9" t="s">
        <v>1688</v>
      </c>
      <c r="R64" s="9" t="s">
        <v>1636</v>
      </c>
      <c r="S64" s="9" t="s">
        <v>1630</v>
      </c>
      <c r="T64" s="9" t="s">
        <v>1636</v>
      </c>
      <c r="U64" s="9" t="s">
        <v>121</v>
      </c>
      <c r="V64" s="9"/>
      <c r="W64" s="9" t="s">
        <v>56</v>
      </c>
      <c r="X64" s="9"/>
      <c r="Y64" s="9"/>
    </row>
    <row r="65" hidden="1" spans="1:25">
      <c r="A65" s="21">
        <v>540425201812003</v>
      </c>
      <c r="B65" s="22" t="s">
        <v>20</v>
      </c>
      <c r="C65" s="489" t="s">
        <v>1933</v>
      </c>
      <c r="D65" s="9" t="s">
        <v>1934</v>
      </c>
      <c r="E65" s="23">
        <v>43497</v>
      </c>
      <c r="F65" s="9" t="s">
        <v>1931</v>
      </c>
      <c r="G65" s="9" t="s">
        <v>1647</v>
      </c>
      <c r="H65" s="9">
        <v>10</v>
      </c>
      <c r="I65" s="9">
        <v>1</v>
      </c>
      <c r="J65" s="9">
        <v>5300</v>
      </c>
      <c r="K65" s="9">
        <v>3135.83</v>
      </c>
      <c r="L65" s="9">
        <v>2164.17</v>
      </c>
      <c r="M65" s="9" t="s">
        <v>1625</v>
      </c>
      <c r="N65" s="9" t="s">
        <v>1626</v>
      </c>
      <c r="O65" s="9" t="s">
        <v>1426</v>
      </c>
      <c r="P65" s="9" t="s">
        <v>1627</v>
      </c>
      <c r="Q65" s="9" t="s">
        <v>1688</v>
      </c>
      <c r="R65" s="9" t="s">
        <v>1636</v>
      </c>
      <c r="S65" s="9" t="s">
        <v>1630</v>
      </c>
      <c r="T65" s="9" t="s">
        <v>1636</v>
      </c>
      <c r="U65" s="9" t="s">
        <v>121</v>
      </c>
      <c r="V65" s="9"/>
      <c r="W65" s="9" t="s">
        <v>56</v>
      </c>
      <c r="X65" s="9"/>
      <c r="Y65" s="9"/>
    </row>
    <row r="66" hidden="1" spans="1:25">
      <c r="A66" s="21">
        <v>540425201812003</v>
      </c>
      <c r="B66" s="22" t="s">
        <v>20</v>
      </c>
      <c r="C66" s="489" t="s">
        <v>1935</v>
      </c>
      <c r="D66" s="9" t="s">
        <v>1936</v>
      </c>
      <c r="E66" s="23">
        <v>43497</v>
      </c>
      <c r="F66" s="9" t="s">
        <v>1931</v>
      </c>
      <c r="G66" s="9" t="s">
        <v>1937</v>
      </c>
      <c r="H66" s="9">
        <v>10</v>
      </c>
      <c r="I66" s="9">
        <v>1</v>
      </c>
      <c r="J66" s="9">
        <v>662700</v>
      </c>
      <c r="K66" s="9">
        <v>392097.5</v>
      </c>
      <c r="L66" s="9">
        <v>270602.5</v>
      </c>
      <c r="M66" s="9" t="s">
        <v>1625</v>
      </c>
      <c r="N66" s="9" t="s">
        <v>1626</v>
      </c>
      <c r="O66" s="9" t="s">
        <v>1426</v>
      </c>
      <c r="P66" s="9" t="s">
        <v>1627</v>
      </c>
      <c r="Q66" s="9" t="s">
        <v>1688</v>
      </c>
      <c r="R66" s="9" t="s">
        <v>1636</v>
      </c>
      <c r="S66" s="9" t="s">
        <v>1630</v>
      </c>
      <c r="T66" s="9" t="s">
        <v>1636</v>
      </c>
      <c r="U66" s="9" t="s">
        <v>121</v>
      </c>
      <c r="V66" s="9"/>
      <c r="W66" s="9" t="s">
        <v>56</v>
      </c>
      <c r="X66" s="9"/>
      <c r="Y66" s="9"/>
    </row>
    <row r="67" hidden="1" spans="1:25">
      <c r="A67" s="21">
        <v>540425201812003</v>
      </c>
      <c r="B67" s="22" t="s">
        <v>20</v>
      </c>
      <c r="C67" s="489" t="s">
        <v>1938</v>
      </c>
      <c r="D67" s="9" t="s">
        <v>1939</v>
      </c>
      <c r="E67" s="23">
        <v>43497</v>
      </c>
      <c r="F67" s="9" t="s">
        <v>1931</v>
      </c>
      <c r="G67" s="9" t="s">
        <v>1940</v>
      </c>
      <c r="H67" s="9">
        <v>5</v>
      </c>
      <c r="I67" s="9">
        <v>4</v>
      </c>
      <c r="J67" s="9">
        <v>6000</v>
      </c>
      <c r="K67" s="9">
        <v>6000</v>
      </c>
      <c r="L67" s="9">
        <v>0</v>
      </c>
      <c r="M67" s="9" t="s">
        <v>1625</v>
      </c>
      <c r="N67" s="9" t="s">
        <v>1652</v>
      </c>
      <c r="O67" s="9" t="s">
        <v>1426</v>
      </c>
      <c r="P67" s="9" t="s">
        <v>1627</v>
      </c>
      <c r="Q67" s="9" t="s">
        <v>1688</v>
      </c>
      <c r="R67" s="9" t="s">
        <v>1636</v>
      </c>
      <c r="S67" s="9" t="s">
        <v>1630</v>
      </c>
      <c r="T67" s="9" t="s">
        <v>1636</v>
      </c>
      <c r="U67" s="9" t="s">
        <v>121</v>
      </c>
      <c r="V67" s="9"/>
      <c r="W67" s="9" t="s">
        <v>56</v>
      </c>
      <c r="X67" s="9"/>
      <c r="Y67" s="9"/>
    </row>
    <row r="68" hidden="1" spans="1:25">
      <c r="A68" s="21">
        <v>540425201812003</v>
      </c>
      <c r="B68" s="22" t="s">
        <v>20</v>
      </c>
      <c r="C68" s="489" t="s">
        <v>1941</v>
      </c>
      <c r="D68" s="9" t="s">
        <v>1942</v>
      </c>
      <c r="E68" s="23">
        <v>43497</v>
      </c>
      <c r="F68" s="9" t="s">
        <v>1931</v>
      </c>
      <c r="G68" s="9" t="s">
        <v>1675</v>
      </c>
      <c r="H68" s="9">
        <v>5</v>
      </c>
      <c r="I68" s="9">
        <v>4</v>
      </c>
      <c r="J68" s="9">
        <v>10000</v>
      </c>
      <c r="K68" s="9">
        <v>10000</v>
      </c>
      <c r="L68" s="9">
        <v>0</v>
      </c>
      <c r="M68" s="9" t="s">
        <v>1625</v>
      </c>
      <c r="N68" s="9" t="s">
        <v>1652</v>
      </c>
      <c r="O68" s="9" t="s">
        <v>1426</v>
      </c>
      <c r="P68" s="9" t="s">
        <v>1627</v>
      </c>
      <c r="Q68" s="9" t="s">
        <v>1688</v>
      </c>
      <c r="R68" s="9" t="s">
        <v>1636</v>
      </c>
      <c r="S68" s="9" t="s">
        <v>1630</v>
      </c>
      <c r="T68" s="9" t="s">
        <v>1636</v>
      </c>
      <c r="U68" s="9" t="s">
        <v>121</v>
      </c>
      <c r="V68" s="9"/>
      <c r="W68" s="9" t="s">
        <v>56</v>
      </c>
      <c r="X68" s="9"/>
      <c r="Y68" s="9"/>
    </row>
    <row r="69" hidden="1" spans="1:25">
      <c r="A69" s="21">
        <v>540425201812003</v>
      </c>
      <c r="B69" s="22" t="s">
        <v>20</v>
      </c>
      <c r="C69" s="489" t="s">
        <v>1943</v>
      </c>
      <c r="D69" s="9" t="s">
        <v>1944</v>
      </c>
      <c r="E69" s="23">
        <v>43497</v>
      </c>
      <c r="F69" s="9" t="s">
        <v>1931</v>
      </c>
      <c r="G69" s="9" t="s">
        <v>1675</v>
      </c>
      <c r="H69" s="9">
        <v>5</v>
      </c>
      <c r="I69" s="9">
        <v>4</v>
      </c>
      <c r="J69" s="9">
        <v>60000</v>
      </c>
      <c r="K69" s="9">
        <v>60000</v>
      </c>
      <c r="L69" s="9">
        <v>0</v>
      </c>
      <c r="M69" s="9" t="s">
        <v>1625</v>
      </c>
      <c r="N69" s="9" t="s">
        <v>1652</v>
      </c>
      <c r="O69" s="9" t="s">
        <v>1426</v>
      </c>
      <c r="P69" s="9" t="s">
        <v>1627</v>
      </c>
      <c r="Q69" s="9" t="s">
        <v>1688</v>
      </c>
      <c r="R69" s="9" t="s">
        <v>1636</v>
      </c>
      <c r="S69" s="9" t="s">
        <v>1630</v>
      </c>
      <c r="T69" s="9" t="s">
        <v>1636</v>
      </c>
      <c r="U69" s="9" t="s">
        <v>121</v>
      </c>
      <c r="V69" s="9"/>
      <c r="W69" s="9" t="s">
        <v>56</v>
      </c>
      <c r="X69" s="9"/>
      <c r="Y69" s="9"/>
    </row>
    <row r="70" hidden="1" spans="1:25">
      <c r="A70" s="21">
        <v>540425201812003</v>
      </c>
      <c r="B70" s="22" t="s">
        <v>20</v>
      </c>
      <c r="C70" s="489" t="s">
        <v>1945</v>
      </c>
      <c r="D70" s="9" t="s">
        <v>1946</v>
      </c>
      <c r="E70" s="23">
        <v>43497</v>
      </c>
      <c r="F70" s="9" t="s">
        <v>1931</v>
      </c>
      <c r="G70" s="9" t="s">
        <v>1675</v>
      </c>
      <c r="H70" s="9">
        <v>5</v>
      </c>
      <c r="I70" s="9">
        <v>2</v>
      </c>
      <c r="J70" s="9">
        <v>6400</v>
      </c>
      <c r="K70" s="9">
        <v>6400</v>
      </c>
      <c r="L70" s="9">
        <v>0</v>
      </c>
      <c r="M70" s="9" t="s">
        <v>1625</v>
      </c>
      <c r="N70" s="9" t="s">
        <v>1652</v>
      </c>
      <c r="O70" s="9" t="s">
        <v>1426</v>
      </c>
      <c r="P70" s="9" t="s">
        <v>1627</v>
      </c>
      <c r="Q70" s="9" t="s">
        <v>1688</v>
      </c>
      <c r="R70" s="9" t="s">
        <v>1636</v>
      </c>
      <c r="S70" s="9" t="s">
        <v>1630</v>
      </c>
      <c r="T70" s="9" t="s">
        <v>1636</v>
      </c>
      <c r="U70" s="9" t="s">
        <v>121</v>
      </c>
      <c r="V70" s="9"/>
      <c r="W70" s="9" t="s">
        <v>56</v>
      </c>
      <c r="X70" s="9"/>
      <c r="Y70" s="9"/>
    </row>
    <row r="71" ht="28" hidden="1" spans="1:25">
      <c r="A71" s="21">
        <v>540425202212024</v>
      </c>
      <c r="B71" s="22" t="s">
        <v>20</v>
      </c>
      <c r="C71" s="9" t="s">
        <v>1947</v>
      </c>
      <c r="D71" s="9" t="s">
        <v>1929</v>
      </c>
      <c r="E71" s="23">
        <v>45292</v>
      </c>
      <c r="F71" s="9" t="s">
        <v>1948</v>
      </c>
      <c r="G71" s="9" t="s">
        <v>1865</v>
      </c>
      <c r="H71" s="9">
        <v>10</v>
      </c>
      <c r="I71" s="9">
        <v>802224</v>
      </c>
      <c r="J71" s="9">
        <v>8452031.36</v>
      </c>
      <c r="K71" s="9">
        <v>845203.14</v>
      </c>
      <c r="L71" s="9">
        <v>7606828.22</v>
      </c>
      <c r="M71" s="9" t="s">
        <v>1685</v>
      </c>
      <c r="N71" s="9" t="s">
        <v>1866</v>
      </c>
      <c r="O71" s="9" t="s">
        <v>1421</v>
      </c>
      <c r="P71" s="9" t="s">
        <v>1705</v>
      </c>
      <c r="Q71" s="9" t="s">
        <v>1628</v>
      </c>
      <c r="R71" s="9" t="s">
        <v>1629</v>
      </c>
      <c r="S71" s="9" t="s">
        <v>1630</v>
      </c>
      <c r="T71" s="9" t="s">
        <v>1700</v>
      </c>
      <c r="U71" s="9" t="s">
        <v>1492</v>
      </c>
      <c r="V71" s="9"/>
      <c r="W71" s="9" t="s">
        <v>56</v>
      </c>
      <c r="X71" s="9"/>
      <c r="Y71" s="9"/>
    </row>
    <row r="72" ht="28" hidden="1" spans="1:25">
      <c r="A72" s="21">
        <v>540425202012017</v>
      </c>
      <c r="B72" s="22" t="s">
        <v>20</v>
      </c>
      <c r="C72" s="9" t="s">
        <v>1949</v>
      </c>
      <c r="D72" s="9" t="s">
        <v>1929</v>
      </c>
      <c r="E72" s="23">
        <v>43862</v>
      </c>
      <c r="F72" s="9" t="s">
        <v>1950</v>
      </c>
      <c r="G72" s="9" t="s">
        <v>1865</v>
      </c>
      <c r="H72" s="9">
        <v>10</v>
      </c>
      <c r="I72" s="9">
        <v>469490</v>
      </c>
      <c r="J72" s="9">
        <v>1264600</v>
      </c>
      <c r="K72" s="9">
        <v>621761.67</v>
      </c>
      <c r="L72" s="9">
        <v>642838.33</v>
      </c>
      <c r="M72" s="9" t="s">
        <v>1685</v>
      </c>
      <c r="N72" s="9" t="s">
        <v>1866</v>
      </c>
      <c r="O72" s="9" t="s">
        <v>1421</v>
      </c>
      <c r="P72" s="9" t="s">
        <v>1705</v>
      </c>
      <c r="Q72" s="9" t="s">
        <v>1628</v>
      </c>
      <c r="R72" s="9" t="s">
        <v>1629</v>
      </c>
      <c r="S72" s="9" t="s">
        <v>1630</v>
      </c>
      <c r="T72" s="9" t="s">
        <v>1700</v>
      </c>
      <c r="U72" s="9" t="s">
        <v>1498</v>
      </c>
      <c r="V72" s="9"/>
      <c r="W72" s="9" t="s">
        <v>56</v>
      </c>
      <c r="X72" s="9"/>
      <c r="Y72" s="9"/>
    </row>
    <row r="73" ht="28" hidden="1" spans="1:25">
      <c r="A73" s="21">
        <v>540425202012017</v>
      </c>
      <c r="B73" s="22" t="s">
        <v>20</v>
      </c>
      <c r="C73" s="9" t="s">
        <v>1949</v>
      </c>
      <c r="D73" s="9" t="s">
        <v>1951</v>
      </c>
      <c r="E73" s="23">
        <v>45047</v>
      </c>
      <c r="F73" s="9" t="s">
        <v>1950</v>
      </c>
      <c r="G73" s="9" t="s">
        <v>1647</v>
      </c>
      <c r="H73" s="9">
        <v>10</v>
      </c>
      <c r="I73" s="9">
        <v>1</v>
      </c>
      <c r="J73" s="9">
        <v>73200</v>
      </c>
      <c r="K73" s="9">
        <v>12200</v>
      </c>
      <c r="L73" s="9">
        <v>61000</v>
      </c>
      <c r="M73" s="9" t="s">
        <v>1625</v>
      </c>
      <c r="N73" s="9" t="s">
        <v>1626</v>
      </c>
      <c r="O73" s="9" t="s">
        <v>1421</v>
      </c>
      <c r="P73" s="9" t="s">
        <v>1627</v>
      </c>
      <c r="Q73" s="9" t="s">
        <v>1628</v>
      </c>
      <c r="R73" s="9" t="s">
        <v>1629</v>
      </c>
      <c r="S73" s="9" t="s">
        <v>1630</v>
      </c>
      <c r="T73" s="9" t="s">
        <v>1700</v>
      </c>
      <c r="U73" s="9" t="s">
        <v>1498</v>
      </c>
      <c r="V73" s="9"/>
      <c r="W73" s="9" t="s">
        <v>56</v>
      </c>
      <c r="X73" s="9"/>
      <c r="Y73" s="9"/>
    </row>
    <row r="74" ht="28" hidden="1" spans="1:25">
      <c r="A74" s="21">
        <v>540425202012017</v>
      </c>
      <c r="B74" s="22" t="s">
        <v>20</v>
      </c>
      <c r="C74" s="9" t="s">
        <v>1952</v>
      </c>
      <c r="D74" s="9" t="s">
        <v>1953</v>
      </c>
      <c r="E74" s="23">
        <v>45047</v>
      </c>
      <c r="F74" s="9" t="s">
        <v>1950</v>
      </c>
      <c r="G74" s="9" t="s">
        <v>1647</v>
      </c>
      <c r="H74" s="9">
        <v>10</v>
      </c>
      <c r="I74" s="9">
        <v>1</v>
      </c>
      <c r="J74" s="9">
        <v>108100</v>
      </c>
      <c r="K74" s="9">
        <v>18016.67</v>
      </c>
      <c r="L74" s="9">
        <v>90083.33</v>
      </c>
      <c r="M74" s="9" t="s">
        <v>1625</v>
      </c>
      <c r="N74" s="9" t="s">
        <v>1626</v>
      </c>
      <c r="O74" s="9" t="s">
        <v>1421</v>
      </c>
      <c r="P74" s="9" t="s">
        <v>1627</v>
      </c>
      <c r="Q74" s="9" t="s">
        <v>1628</v>
      </c>
      <c r="R74" s="9" t="s">
        <v>1629</v>
      </c>
      <c r="S74" s="9" t="s">
        <v>1630</v>
      </c>
      <c r="T74" s="9" t="s">
        <v>1700</v>
      </c>
      <c r="U74" s="9" t="s">
        <v>1498</v>
      </c>
      <c r="V74" s="9"/>
      <c r="W74" s="9" t="s">
        <v>56</v>
      </c>
      <c r="X74" s="9"/>
      <c r="Y74" s="9"/>
    </row>
    <row r="75" ht="28" hidden="1" spans="1:25">
      <c r="A75" s="21">
        <v>540425202012017</v>
      </c>
      <c r="B75" s="22" t="s">
        <v>20</v>
      </c>
      <c r="C75" s="9" t="s">
        <v>1954</v>
      </c>
      <c r="D75" s="9" t="s">
        <v>1929</v>
      </c>
      <c r="E75" s="23">
        <v>45047</v>
      </c>
      <c r="F75" s="9" t="s">
        <v>1950</v>
      </c>
      <c r="G75" s="9" t="s">
        <v>1865</v>
      </c>
      <c r="H75" s="9">
        <v>10</v>
      </c>
      <c r="I75" s="9">
        <v>799762</v>
      </c>
      <c r="J75" s="9">
        <v>1457300</v>
      </c>
      <c r="K75" s="9">
        <v>242883.33</v>
      </c>
      <c r="L75" s="9">
        <v>1214416.67</v>
      </c>
      <c r="M75" s="9" t="s">
        <v>1685</v>
      </c>
      <c r="N75" s="9" t="s">
        <v>1866</v>
      </c>
      <c r="O75" s="9" t="s">
        <v>1421</v>
      </c>
      <c r="P75" s="9" t="s">
        <v>1705</v>
      </c>
      <c r="Q75" s="9" t="s">
        <v>1628</v>
      </c>
      <c r="R75" s="9" t="s">
        <v>1629</v>
      </c>
      <c r="S75" s="9" t="s">
        <v>1630</v>
      </c>
      <c r="T75" s="9" t="s">
        <v>1700</v>
      </c>
      <c r="U75" s="9" t="s">
        <v>1498</v>
      </c>
      <c r="V75" s="9"/>
      <c r="W75" s="9" t="s">
        <v>56</v>
      </c>
      <c r="X75" s="9"/>
      <c r="Y75" s="9"/>
    </row>
    <row r="76" ht="28" hidden="1" spans="1:25">
      <c r="A76" s="21">
        <v>540425202012017</v>
      </c>
      <c r="B76" s="22" t="s">
        <v>20</v>
      </c>
      <c r="C76" s="9" t="s">
        <v>1955</v>
      </c>
      <c r="D76" s="9" t="s">
        <v>1956</v>
      </c>
      <c r="E76" s="23">
        <v>45047</v>
      </c>
      <c r="F76" s="9" t="s">
        <v>1950</v>
      </c>
      <c r="G76" s="9" t="s">
        <v>1957</v>
      </c>
      <c r="H76" s="9">
        <v>10</v>
      </c>
      <c r="I76" s="9">
        <v>1</v>
      </c>
      <c r="J76" s="9">
        <v>326900</v>
      </c>
      <c r="K76" s="9">
        <v>54483.33</v>
      </c>
      <c r="L76" s="9">
        <v>272416.67</v>
      </c>
      <c r="M76" s="9" t="s">
        <v>1625</v>
      </c>
      <c r="N76" s="9" t="s">
        <v>1626</v>
      </c>
      <c r="O76" s="9" t="s">
        <v>1421</v>
      </c>
      <c r="P76" s="9" t="s">
        <v>1705</v>
      </c>
      <c r="Q76" s="9" t="s">
        <v>1628</v>
      </c>
      <c r="R76" s="9" t="s">
        <v>1629</v>
      </c>
      <c r="S76" s="9" t="s">
        <v>1630</v>
      </c>
      <c r="T76" s="9" t="s">
        <v>1700</v>
      </c>
      <c r="U76" s="9" t="s">
        <v>1498</v>
      </c>
      <c r="V76" s="9"/>
      <c r="W76" s="9" t="s">
        <v>56</v>
      </c>
      <c r="X76" s="9"/>
      <c r="Y76" s="9"/>
    </row>
    <row r="77" ht="28" hidden="1" spans="1:25">
      <c r="A77" s="21">
        <v>540425202012017</v>
      </c>
      <c r="B77" s="22" t="s">
        <v>20</v>
      </c>
      <c r="C77" s="9" t="s">
        <v>1958</v>
      </c>
      <c r="D77" s="9" t="s">
        <v>1843</v>
      </c>
      <c r="E77" s="23">
        <v>45047</v>
      </c>
      <c r="F77" s="9" t="s">
        <v>1950</v>
      </c>
      <c r="G77" s="9" t="s">
        <v>1624</v>
      </c>
      <c r="H77" s="9">
        <v>10</v>
      </c>
      <c r="I77" s="9">
        <v>1</v>
      </c>
      <c r="J77" s="9">
        <v>13800</v>
      </c>
      <c r="K77" s="9">
        <v>2300</v>
      </c>
      <c r="L77" s="9">
        <v>11500</v>
      </c>
      <c r="M77" s="9" t="s">
        <v>1625</v>
      </c>
      <c r="N77" s="9" t="s">
        <v>1626</v>
      </c>
      <c r="O77" s="9" t="s">
        <v>1421</v>
      </c>
      <c r="P77" s="9" t="s">
        <v>1705</v>
      </c>
      <c r="Q77" s="9" t="s">
        <v>1628</v>
      </c>
      <c r="R77" s="9" t="s">
        <v>1629</v>
      </c>
      <c r="S77" s="9" t="s">
        <v>1630</v>
      </c>
      <c r="T77" s="9" t="s">
        <v>1700</v>
      </c>
      <c r="U77" s="9" t="s">
        <v>1498</v>
      </c>
      <c r="V77" s="9"/>
      <c r="W77" s="9" t="s">
        <v>56</v>
      </c>
      <c r="X77" s="9"/>
      <c r="Y77" s="9"/>
    </row>
    <row r="78" ht="28" hidden="1" spans="1:25">
      <c r="A78" s="21">
        <v>540425201912014</v>
      </c>
      <c r="B78" s="22" t="s">
        <v>20</v>
      </c>
      <c r="C78" s="9" t="s">
        <v>1959</v>
      </c>
      <c r="D78" s="9" t="s">
        <v>1960</v>
      </c>
      <c r="E78" s="23">
        <v>43922</v>
      </c>
      <c r="F78" s="9" t="s">
        <v>1961</v>
      </c>
      <c r="G78" s="9" t="s">
        <v>1647</v>
      </c>
      <c r="H78" s="9">
        <v>10</v>
      </c>
      <c r="I78" s="9">
        <v>1</v>
      </c>
      <c r="J78" s="9">
        <v>191000</v>
      </c>
      <c r="K78" s="9">
        <v>90725</v>
      </c>
      <c r="L78" s="9">
        <v>100275</v>
      </c>
      <c r="M78" s="9" t="s">
        <v>1625</v>
      </c>
      <c r="N78" s="9" t="s">
        <v>1626</v>
      </c>
      <c r="O78" s="9" t="s">
        <v>1421</v>
      </c>
      <c r="P78" s="9" t="s">
        <v>1627</v>
      </c>
      <c r="Q78" s="9" t="s">
        <v>1628</v>
      </c>
      <c r="R78" s="9" t="s">
        <v>1629</v>
      </c>
      <c r="S78" s="9" t="s">
        <v>1630</v>
      </c>
      <c r="T78" s="9" t="s">
        <v>1700</v>
      </c>
      <c r="U78" s="9" t="s">
        <v>1487</v>
      </c>
      <c r="V78" s="9"/>
      <c r="W78" s="9" t="s">
        <v>56</v>
      </c>
      <c r="X78" s="9"/>
      <c r="Y78" s="9"/>
    </row>
    <row r="79" ht="28" hidden="1" spans="1:25">
      <c r="A79" s="21">
        <v>540425201912014</v>
      </c>
      <c r="B79" s="22" t="s">
        <v>20</v>
      </c>
      <c r="C79" s="9" t="s">
        <v>1962</v>
      </c>
      <c r="D79" s="9" t="s">
        <v>1929</v>
      </c>
      <c r="E79" s="23">
        <v>43922</v>
      </c>
      <c r="F79" s="9" t="s">
        <v>1961</v>
      </c>
      <c r="G79" s="9" t="s">
        <v>1865</v>
      </c>
      <c r="H79" s="9">
        <v>10</v>
      </c>
      <c r="I79" s="9">
        <v>495775</v>
      </c>
      <c r="J79" s="9">
        <v>1268500</v>
      </c>
      <c r="K79" s="9">
        <v>602537.5</v>
      </c>
      <c r="L79" s="9">
        <v>665962.5</v>
      </c>
      <c r="M79" s="9" t="s">
        <v>1685</v>
      </c>
      <c r="N79" s="9" t="s">
        <v>1866</v>
      </c>
      <c r="O79" s="9" t="s">
        <v>1421</v>
      </c>
      <c r="P79" s="9" t="s">
        <v>1705</v>
      </c>
      <c r="Q79" s="9" t="s">
        <v>1628</v>
      </c>
      <c r="R79" s="9" t="s">
        <v>1629</v>
      </c>
      <c r="S79" s="9" t="s">
        <v>1630</v>
      </c>
      <c r="T79" s="9" t="s">
        <v>1700</v>
      </c>
      <c r="U79" s="9" t="s">
        <v>1487</v>
      </c>
      <c r="V79" s="9"/>
      <c r="W79" s="9" t="s">
        <v>56</v>
      </c>
      <c r="X79" s="9"/>
      <c r="Y79" s="9"/>
    </row>
    <row r="80" ht="28" hidden="1" spans="1:25">
      <c r="A80" s="21">
        <v>540425201912014</v>
      </c>
      <c r="B80" s="22" t="s">
        <v>20</v>
      </c>
      <c r="C80" s="9" t="s">
        <v>1963</v>
      </c>
      <c r="D80" s="9" t="s">
        <v>1956</v>
      </c>
      <c r="E80" s="23">
        <v>43922</v>
      </c>
      <c r="F80" s="9" t="s">
        <v>1961</v>
      </c>
      <c r="G80" s="9" t="s">
        <v>1964</v>
      </c>
      <c r="H80" s="9">
        <v>10</v>
      </c>
      <c r="I80" s="9">
        <v>1</v>
      </c>
      <c r="J80" s="9">
        <v>342500</v>
      </c>
      <c r="K80" s="9">
        <v>162687.5</v>
      </c>
      <c r="L80" s="9">
        <v>179812.5</v>
      </c>
      <c r="M80" s="9" t="s">
        <v>1625</v>
      </c>
      <c r="N80" s="9" t="s">
        <v>1626</v>
      </c>
      <c r="O80" s="9" t="s">
        <v>1421</v>
      </c>
      <c r="P80" s="9" t="s">
        <v>1705</v>
      </c>
      <c r="Q80" s="9" t="s">
        <v>1628</v>
      </c>
      <c r="R80" s="9" t="s">
        <v>1629</v>
      </c>
      <c r="S80" s="9" t="s">
        <v>1630</v>
      </c>
      <c r="T80" s="9" t="s">
        <v>1700</v>
      </c>
      <c r="U80" s="9" t="s">
        <v>1487</v>
      </c>
      <c r="V80" s="9"/>
      <c r="W80" s="9" t="s">
        <v>56</v>
      </c>
      <c r="X80" s="9"/>
      <c r="Y80" s="9"/>
    </row>
    <row r="81" ht="28" hidden="1" spans="1:25">
      <c r="A81" s="21">
        <v>540425201912014</v>
      </c>
      <c r="B81" s="22" t="s">
        <v>20</v>
      </c>
      <c r="C81" s="9" t="s">
        <v>1965</v>
      </c>
      <c r="D81" s="9" t="s">
        <v>1843</v>
      </c>
      <c r="E81" s="23">
        <v>43922</v>
      </c>
      <c r="F81" s="9" t="s">
        <v>1961</v>
      </c>
      <c r="G81" s="9" t="s">
        <v>1624</v>
      </c>
      <c r="H81" s="9">
        <v>10</v>
      </c>
      <c r="I81" s="9">
        <v>1</v>
      </c>
      <c r="J81" s="9">
        <v>13300</v>
      </c>
      <c r="K81" s="9">
        <v>6317.5</v>
      </c>
      <c r="L81" s="9">
        <v>6982.5</v>
      </c>
      <c r="M81" s="9" t="s">
        <v>1625</v>
      </c>
      <c r="N81" s="9" t="s">
        <v>1626</v>
      </c>
      <c r="O81" s="9" t="s">
        <v>1421</v>
      </c>
      <c r="P81" s="9" t="s">
        <v>1705</v>
      </c>
      <c r="Q81" s="9" t="s">
        <v>1628</v>
      </c>
      <c r="R81" s="9" t="s">
        <v>1629</v>
      </c>
      <c r="S81" s="9" t="s">
        <v>1630</v>
      </c>
      <c r="T81" s="9" t="s">
        <v>1700</v>
      </c>
      <c r="U81" s="9" t="s">
        <v>1487</v>
      </c>
      <c r="V81" s="9"/>
      <c r="W81" s="9" t="s">
        <v>56</v>
      </c>
      <c r="X81" s="9"/>
      <c r="Y81" s="9"/>
    </row>
    <row r="82" ht="28" hidden="1" spans="1:25">
      <c r="A82" s="21">
        <v>540425201912014</v>
      </c>
      <c r="B82" s="22" t="s">
        <v>20</v>
      </c>
      <c r="C82" s="9" t="s">
        <v>1966</v>
      </c>
      <c r="D82" s="9" t="s">
        <v>1939</v>
      </c>
      <c r="E82" s="23">
        <v>43922</v>
      </c>
      <c r="F82" s="9" t="s">
        <v>1961</v>
      </c>
      <c r="G82" s="9" t="s">
        <v>1675</v>
      </c>
      <c r="H82" s="9">
        <v>5</v>
      </c>
      <c r="I82" s="9">
        <v>2</v>
      </c>
      <c r="J82" s="9">
        <v>3600</v>
      </c>
      <c r="K82" s="9">
        <v>3420</v>
      </c>
      <c r="L82" s="9">
        <v>180</v>
      </c>
      <c r="M82" s="9" t="s">
        <v>1625</v>
      </c>
      <c r="N82" s="9" t="s">
        <v>1652</v>
      </c>
      <c r="O82" s="9" t="s">
        <v>1421</v>
      </c>
      <c r="P82" s="9" t="s">
        <v>1705</v>
      </c>
      <c r="Q82" s="9" t="s">
        <v>1628</v>
      </c>
      <c r="R82" s="9" t="s">
        <v>1629</v>
      </c>
      <c r="S82" s="9" t="s">
        <v>1630</v>
      </c>
      <c r="T82" s="9" t="s">
        <v>1700</v>
      </c>
      <c r="U82" s="9" t="s">
        <v>1487</v>
      </c>
      <c r="V82" s="9"/>
      <c r="W82" s="9" t="s">
        <v>56</v>
      </c>
      <c r="X82" s="9"/>
      <c r="Y82" s="9"/>
    </row>
    <row r="83" ht="28" hidden="1" spans="1:25">
      <c r="A83" s="21">
        <v>540425201712009</v>
      </c>
      <c r="B83" s="22" t="s">
        <v>20</v>
      </c>
      <c r="C83" s="9" t="s">
        <v>1967</v>
      </c>
      <c r="D83" s="9" t="s">
        <v>1929</v>
      </c>
      <c r="E83" s="23">
        <v>43101</v>
      </c>
      <c r="F83" s="9" t="s">
        <v>1968</v>
      </c>
      <c r="G83" s="9" t="s">
        <v>1865</v>
      </c>
      <c r="H83" s="9">
        <v>10</v>
      </c>
      <c r="I83" s="9">
        <v>965152</v>
      </c>
      <c r="J83" s="9">
        <v>6007000</v>
      </c>
      <c r="K83" s="9">
        <v>4204900</v>
      </c>
      <c r="L83" s="9">
        <v>1802100</v>
      </c>
      <c r="M83" s="9" t="s">
        <v>1685</v>
      </c>
      <c r="N83" s="9" t="s">
        <v>1866</v>
      </c>
      <c r="O83" s="9" t="s">
        <v>1421</v>
      </c>
      <c r="P83" s="9" t="s">
        <v>1705</v>
      </c>
      <c r="Q83" s="9" t="s">
        <v>1969</v>
      </c>
      <c r="R83" s="9" t="s">
        <v>1689</v>
      </c>
      <c r="S83" s="9" t="s">
        <v>1630</v>
      </c>
      <c r="T83" s="9" t="s">
        <v>1636</v>
      </c>
      <c r="U83" s="9" t="s">
        <v>1489</v>
      </c>
      <c r="V83" s="9"/>
      <c r="W83" s="9" t="s">
        <v>56</v>
      </c>
      <c r="X83" s="9"/>
      <c r="Y83" s="9"/>
    </row>
    <row r="84" ht="28" spans="1:25">
      <c r="A84" s="21">
        <v>540425201912011</v>
      </c>
      <c r="B84" s="22" t="s">
        <v>20</v>
      </c>
      <c r="C84" s="9" t="s">
        <v>1970</v>
      </c>
      <c r="D84" s="9" t="s">
        <v>1971</v>
      </c>
      <c r="E84" s="23">
        <v>43891</v>
      </c>
      <c r="F84" s="9" t="s">
        <v>1968</v>
      </c>
      <c r="G84" s="9" t="s">
        <v>1647</v>
      </c>
      <c r="H84" s="9">
        <v>10</v>
      </c>
      <c r="I84" s="9">
        <v>1</v>
      </c>
      <c r="J84" s="9">
        <v>109200</v>
      </c>
      <c r="K84" s="9">
        <v>52780</v>
      </c>
      <c r="L84" s="9">
        <v>56420</v>
      </c>
      <c r="M84" s="9" t="s">
        <v>1625</v>
      </c>
      <c r="N84" s="9" t="s">
        <v>1626</v>
      </c>
      <c r="O84" s="9" t="s">
        <v>1421</v>
      </c>
      <c r="P84" s="9" t="s">
        <v>1627</v>
      </c>
      <c r="Q84" s="9" t="s">
        <v>1969</v>
      </c>
      <c r="R84" s="9" t="s">
        <v>1636</v>
      </c>
      <c r="S84" s="9" t="s">
        <v>1630</v>
      </c>
      <c r="T84" s="9" t="s">
        <v>1636</v>
      </c>
      <c r="U84" s="9" t="s">
        <v>1489</v>
      </c>
      <c r="V84" s="9"/>
      <c r="W84" s="9" t="s">
        <v>56</v>
      </c>
      <c r="X84" s="9"/>
      <c r="Y84" s="9"/>
    </row>
    <row r="85" ht="28" spans="1:25">
      <c r="A85" s="21">
        <v>540425201912011</v>
      </c>
      <c r="B85" s="22" t="s">
        <v>20</v>
      </c>
      <c r="C85" s="9" t="s">
        <v>1972</v>
      </c>
      <c r="D85" s="9" t="s">
        <v>1929</v>
      </c>
      <c r="E85" s="23">
        <v>43891</v>
      </c>
      <c r="F85" s="9" t="s">
        <v>1968</v>
      </c>
      <c r="G85" s="9" t="s">
        <v>1865</v>
      </c>
      <c r="H85" s="9">
        <v>10</v>
      </c>
      <c r="I85" s="9">
        <v>0</v>
      </c>
      <c r="J85" s="9">
        <v>1157200</v>
      </c>
      <c r="K85" s="9">
        <v>559313.33</v>
      </c>
      <c r="L85" s="9">
        <v>597886.67</v>
      </c>
      <c r="M85" s="9" t="s">
        <v>1685</v>
      </c>
      <c r="N85" s="9" t="s">
        <v>1866</v>
      </c>
      <c r="O85" s="9" t="s">
        <v>1421</v>
      </c>
      <c r="P85" s="9" t="s">
        <v>1687</v>
      </c>
      <c r="Q85" s="9" t="s">
        <v>1969</v>
      </c>
      <c r="R85" s="9" t="s">
        <v>1689</v>
      </c>
      <c r="S85" s="9" t="s">
        <v>1630</v>
      </c>
      <c r="T85" s="9" t="s">
        <v>1636</v>
      </c>
      <c r="U85" s="9" t="s">
        <v>1489</v>
      </c>
      <c r="V85" s="9"/>
      <c r="W85" s="9" t="s">
        <v>56</v>
      </c>
      <c r="X85" s="9"/>
      <c r="Y85" s="9"/>
    </row>
    <row r="86" ht="28" spans="1:25">
      <c r="A86" s="21">
        <v>540425201912011</v>
      </c>
      <c r="B86" s="22" t="s">
        <v>20</v>
      </c>
      <c r="C86" s="9" t="s">
        <v>1973</v>
      </c>
      <c r="D86" s="9" t="s">
        <v>1956</v>
      </c>
      <c r="E86" s="23">
        <v>43891</v>
      </c>
      <c r="F86" s="9" t="s">
        <v>1968</v>
      </c>
      <c r="G86" s="9" t="s">
        <v>1974</v>
      </c>
      <c r="H86" s="9">
        <v>10</v>
      </c>
      <c r="I86" s="9">
        <v>1</v>
      </c>
      <c r="J86" s="9">
        <v>108700</v>
      </c>
      <c r="K86" s="9">
        <v>52538.33</v>
      </c>
      <c r="L86" s="9">
        <v>56161.67</v>
      </c>
      <c r="M86" s="9" t="s">
        <v>1625</v>
      </c>
      <c r="N86" s="9" t="s">
        <v>1626</v>
      </c>
      <c r="O86" s="9" t="s">
        <v>1421</v>
      </c>
      <c r="P86" s="9" t="s">
        <v>1705</v>
      </c>
      <c r="Q86" s="9" t="s">
        <v>1969</v>
      </c>
      <c r="R86" s="9" t="s">
        <v>1687</v>
      </c>
      <c r="S86" s="9" t="s">
        <v>1630</v>
      </c>
      <c r="T86" s="9" t="s">
        <v>1636</v>
      </c>
      <c r="U86" s="9" t="s">
        <v>1489</v>
      </c>
      <c r="V86" s="9"/>
      <c r="W86" s="9" t="s">
        <v>56</v>
      </c>
      <c r="X86" s="9"/>
      <c r="Y86" s="9"/>
    </row>
    <row r="87" ht="28" spans="1:25">
      <c r="A87" s="21">
        <v>540425201912011</v>
      </c>
      <c r="B87" s="22" t="s">
        <v>20</v>
      </c>
      <c r="C87" s="9" t="s">
        <v>1975</v>
      </c>
      <c r="D87" s="9" t="s">
        <v>1843</v>
      </c>
      <c r="E87" s="23">
        <v>43891</v>
      </c>
      <c r="F87" s="9" t="s">
        <v>1968</v>
      </c>
      <c r="G87" s="9" t="s">
        <v>1624</v>
      </c>
      <c r="H87" s="9">
        <v>10</v>
      </c>
      <c r="I87" s="9">
        <v>1</v>
      </c>
      <c r="J87" s="9">
        <v>4400</v>
      </c>
      <c r="K87" s="9">
        <v>2126.67</v>
      </c>
      <c r="L87" s="9">
        <v>2273.33</v>
      </c>
      <c r="M87" s="9" t="s">
        <v>1625</v>
      </c>
      <c r="N87" s="9" t="s">
        <v>1626</v>
      </c>
      <c r="O87" s="9" t="s">
        <v>1421</v>
      </c>
      <c r="P87" s="9" t="s">
        <v>1705</v>
      </c>
      <c r="Q87" s="9" t="s">
        <v>1969</v>
      </c>
      <c r="R87" s="9" t="s">
        <v>1687</v>
      </c>
      <c r="S87" s="9" t="s">
        <v>1630</v>
      </c>
      <c r="T87" s="9" t="s">
        <v>1636</v>
      </c>
      <c r="U87" s="9" t="s">
        <v>1489</v>
      </c>
      <c r="V87" s="9"/>
      <c r="W87" s="9" t="s">
        <v>56</v>
      </c>
      <c r="X87" s="9"/>
      <c r="Y87" s="9"/>
    </row>
    <row r="88" ht="28" hidden="1" spans="1:25">
      <c r="A88" s="21">
        <v>540425201712009</v>
      </c>
      <c r="B88" s="22" t="s">
        <v>20</v>
      </c>
      <c r="C88" s="9" t="s">
        <v>1967</v>
      </c>
      <c r="D88" s="9" t="s">
        <v>1929</v>
      </c>
      <c r="E88" s="23">
        <v>43466</v>
      </c>
      <c r="F88" s="9" t="s">
        <v>1968</v>
      </c>
      <c r="G88" s="9" t="s">
        <v>1865</v>
      </c>
      <c r="H88" s="9">
        <v>10</v>
      </c>
      <c r="I88" s="9">
        <v>0</v>
      </c>
      <c r="J88" s="9">
        <v>6007000</v>
      </c>
      <c r="K88" s="9">
        <v>6007000</v>
      </c>
      <c r="L88" s="9">
        <v>0</v>
      </c>
      <c r="M88" s="9" t="s">
        <v>1685</v>
      </c>
      <c r="N88" s="9" t="s">
        <v>1866</v>
      </c>
      <c r="O88" s="9" t="s">
        <v>1421</v>
      </c>
      <c r="P88" s="9" t="s">
        <v>1687</v>
      </c>
      <c r="Q88" s="9" t="s">
        <v>1969</v>
      </c>
      <c r="R88" s="9" t="s">
        <v>1689</v>
      </c>
      <c r="S88" s="9" t="s">
        <v>1630</v>
      </c>
      <c r="T88" s="9" t="s">
        <v>1636</v>
      </c>
      <c r="U88" s="9" t="s">
        <v>1489</v>
      </c>
      <c r="V88" s="9"/>
      <c r="W88" s="9" t="s">
        <v>56</v>
      </c>
      <c r="X88" s="9"/>
      <c r="Y88" s="9"/>
    </row>
    <row r="89" ht="28" hidden="1" spans="1:25">
      <c r="A89" s="21">
        <v>540425202321004</v>
      </c>
      <c r="B89" s="22" t="s">
        <v>20</v>
      </c>
      <c r="C89" s="9" t="s">
        <v>1976</v>
      </c>
      <c r="D89" s="9" t="s">
        <v>1977</v>
      </c>
      <c r="E89" s="23">
        <v>45139</v>
      </c>
      <c r="F89" s="9" t="s">
        <v>1978</v>
      </c>
      <c r="G89" s="9" t="s">
        <v>1624</v>
      </c>
      <c r="H89" s="9">
        <v>10</v>
      </c>
      <c r="I89" s="9">
        <v>387831</v>
      </c>
      <c r="J89" s="9">
        <v>3851300</v>
      </c>
      <c r="K89" s="9">
        <v>545600.83</v>
      </c>
      <c r="L89" s="9">
        <v>3305699.17</v>
      </c>
      <c r="M89" s="9" t="s">
        <v>1685</v>
      </c>
      <c r="N89" s="9" t="s">
        <v>1866</v>
      </c>
      <c r="O89" s="9" t="s">
        <v>1421</v>
      </c>
      <c r="P89" s="9" t="s">
        <v>1705</v>
      </c>
      <c r="Q89" s="9" t="s">
        <v>1969</v>
      </c>
      <c r="R89" s="9" t="s">
        <v>1979</v>
      </c>
      <c r="S89" s="9" t="s">
        <v>1630</v>
      </c>
      <c r="T89" s="9" t="s">
        <v>1700</v>
      </c>
      <c r="U89" s="9" t="s">
        <v>1475</v>
      </c>
      <c r="V89" s="9"/>
      <c r="W89" s="9" t="s">
        <v>56</v>
      </c>
      <c r="X89" s="9"/>
      <c r="Y89" s="9"/>
    </row>
    <row r="90" ht="28" hidden="1" spans="1:25">
      <c r="A90" s="21">
        <v>540425202321004</v>
      </c>
      <c r="B90" s="22" t="s">
        <v>20</v>
      </c>
      <c r="C90" s="9" t="s">
        <v>1980</v>
      </c>
      <c r="D90" s="9" t="s">
        <v>1981</v>
      </c>
      <c r="E90" s="23">
        <v>45139</v>
      </c>
      <c r="F90" s="9" t="s">
        <v>1978</v>
      </c>
      <c r="G90" s="9" t="s">
        <v>1647</v>
      </c>
      <c r="H90" s="9">
        <v>10</v>
      </c>
      <c r="I90" s="9">
        <v>1</v>
      </c>
      <c r="J90" s="9">
        <v>263800</v>
      </c>
      <c r="K90" s="9">
        <v>37371.67</v>
      </c>
      <c r="L90" s="9">
        <v>226428.33</v>
      </c>
      <c r="M90" s="9" t="s">
        <v>1625</v>
      </c>
      <c r="N90" s="9" t="s">
        <v>1626</v>
      </c>
      <c r="O90" s="9" t="s">
        <v>1421</v>
      </c>
      <c r="P90" s="9" t="s">
        <v>1687</v>
      </c>
      <c r="Q90" s="9" t="s">
        <v>1969</v>
      </c>
      <c r="R90" s="9" t="s">
        <v>1687</v>
      </c>
      <c r="S90" s="9" t="s">
        <v>1630</v>
      </c>
      <c r="T90" s="9" t="s">
        <v>1636</v>
      </c>
      <c r="U90" s="9" t="s">
        <v>1475</v>
      </c>
      <c r="V90" s="9"/>
      <c r="W90" s="9" t="s">
        <v>56</v>
      </c>
      <c r="X90" s="9"/>
      <c r="Y90" s="9"/>
    </row>
    <row r="91" ht="28" hidden="1" spans="1:25">
      <c r="A91" s="21">
        <v>540425201812008</v>
      </c>
      <c r="B91" s="22" t="s">
        <v>20</v>
      </c>
      <c r="C91" s="9" t="s">
        <v>1983</v>
      </c>
      <c r="D91" s="9" t="s">
        <v>1929</v>
      </c>
      <c r="E91" s="23">
        <v>43466</v>
      </c>
      <c r="F91" s="9" t="s">
        <v>1984</v>
      </c>
      <c r="G91" s="9" t="s">
        <v>1868</v>
      </c>
      <c r="H91" s="9">
        <v>10</v>
      </c>
      <c r="I91" s="9">
        <v>158</v>
      </c>
      <c r="J91" s="9">
        <v>1058700</v>
      </c>
      <c r="K91" s="9">
        <v>635220</v>
      </c>
      <c r="L91" s="9">
        <v>423480</v>
      </c>
      <c r="M91" s="9" t="s">
        <v>1685</v>
      </c>
      <c r="N91" s="9" t="s">
        <v>1866</v>
      </c>
      <c r="O91" s="9" t="s">
        <v>1421</v>
      </c>
      <c r="P91" s="9" t="s">
        <v>1687</v>
      </c>
      <c r="Q91" s="9" t="s">
        <v>1969</v>
      </c>
      <c r="R91" s="9" t="s">
        <v>1689</v>
      </c>
      <c r="S91" s="9" t="s">
        <v>1846</v>
      </c>
      <c r="T91" s="9" t="s">
        <v>1636</v>
      </c>
      <c r="U91" s="9" t="s">
        <v>1482</v>
      </c>
      <c r="V91" s="9"/>
      <c r="W91" s="9" t="s">
        <v>56</v>
      </c>
      <c r="X91" s="9"/>
      <c r="Y91" s="9"/>
    </row>
    <row r="92" ht="28" hidden="1" spans="1:25">
      <c r="A92" s="21">
        <v>540425202012015</v>
      </c>
      <c r="B92" s="22" t="s">
        <v>20</v>
      </c>
      <c r="C92" s="9" t="s">
        <v>1986</v>
      </c>
      <c r="D92" s="9" t="s">
        <v>1987</v>
      </c>
      <c r="E92" s="23">
        <v>44228</v>
      </c>
      <c r="F92" s="9" t="s">
        <v>1984</v>
      </c>
      <c r="G92" s="9" t="s">
        <v>1647</v>
      </c>
      <c r="H92" s="9">
        <v>10</v>
      </c>
      <c r="I92" s="9">
        <v>1</v>
      </c>
      <c r="J92" s="9">
        <v>184500</v>
      </c>
      <c r="K92" s="9">
        <v>72262.5</v>
      </c>
      <c r="L92" s="9">
        <v>112237.5</v>
      </c>
      <c r="M92" s="9" t="s">
        <v>1625</v>
      </c>
      <c r="N92" s="9" t="s">
        <v>1626</v>
      </c>
      <c r="O92" s="9" t="s">
        <v>1421</v>
      </c>
      <c r="P92" s="9" t="s">
        <v>1627</v>
      </c>
      <c r="Q92" s="9" t="s">
        <v>1628</v>
      </c>
      <c r="R92" s="9" t="s">
        <v>1629</v>
      </c>
      <c r="S92" s="9" t="s">
        <v>1630</v>
      </c>
      <c r="T92" s="9" t="s">
        <v>1700</v>
      </c>
      <c r="U92" s="9" t="s">
        <v>1482</v>
      </c>
      <c r="V92" s="9"/>
      <c r="W92" s="9" t="s">
        <v>56</v>
      </c>
      <c r="X92" s="9"/>
      <c r="Y92" s="9"/>
    </row>
    <row r="93" ht="28" hidden="1" spans="1:25">
      <c r="A93" s="21">
        <v>540425202012015</v>
      </c>
      <c r="B93" s="22" t="s">
        <v>20</v>
      </c>
      <c r="C93" s="9" t="s">
        <v>1988</v>
      </c>
      <c r="D93" s="9" t="s">
        <v>1929</v>
      </c>
      <c r="E93" s="23">
        <v>44228</v>
      </c>
      <c r="F93" s="9" t="s">
        <v>1984</v>
      </c>
      <c r="G93" s="9" t="s">
        <v>1865</v>
      </c>
      <c r="H93" s="9">
        <v>10</v>
      </c>
      <c r="I93" s="9">
        <v>1426028</v>
      </c>
      <c r="J93" s="9">
        <v>2598350</v>
      </c>
      <c r="K93" s="9">
        <v>1017687.08</v>
      </c>
      <c r="L93" s="9">
        <v>1580662.92</v>
      </c>
      <c r="M93" s="9" t="s">
        <v>1685</v>
      </c>
      <c r="N93" s="9" t="s">
        <v>1866</v>
      </c>
      <c r="O93" s="9" t="s">
        <v>1421</v>
      </c>
      <c r="P93" s="9" t="s">
        <v>1705</v>
      </c>
      <c r="Q93" s="9" t="s">
        <v>1628</v>
      </c>
      <c r="R93" s="9" t="s">
        <v>1629</v>
      </c>
      <c r="S93" s="9" t="s">
        <v>1630</v>
      </c>
      <c r="T93" s="9" t="s">
        <v>1700</v>
      </c>
      <c r="U93" s="9" t="s">
        <v>1482</v>
      </c>
      <c r="V93" s="9"/>
      <c r="W93" s="9" t="s">
        <v>56</v>
      </c>
      <c r="X93" s="9"/>
      <c r="Y93" s="9"/>
    </row>
    <row r="94" ht="28" hidden="1" spans="1:25">
      <c r="A94" s="21">
        <v>540425202012015</v>
      </c>
      <c r="B94" s="22" t="s">
        <v>20</v>
      </c>
      <c r="C94" s="9" t="s">
        <v>1989</v>
      </c>
      <c r="D94" s="9" t="s">
        <v>1956</v>
      </c>
      <c r="E94" s="23">
        <v>44228</v>
      </c>
      <c r="F94" s="9" t="s">
        <v>1984</v>
      </c>
      <c r="G94" s="9" t="s">
        <v>1990</v>
      </c>
      <c r="H94" s="9">
        <v>10</v>
      </c>
      <c r="I94" s="9">
        <v>1</v>
      </c>
      <c r="J94" s="9">
        <v>667300</v>
      </c>
      <c r="K94" s="9">
        <v>261359.17</v>
      </c>
      <c r="L94" s="9">
        <v>405940.83</v>
      </c>
      <c r="M94" s="9" t="s">
        <v>1625</v>
      </c>
      <c r="N94" s="9" t="s">
        <v>1626</v>
      </c>
      <c r="O94" s="9" t="s">
        <v>1421</v>
      </c>
      <c r="P94" s="9" t="s">
        <v>1705</v>
      </c>
      <c r="Q94" s="9" t="s">
        <v>1628</v>
      </c>
      <c r="R94" s="9" t="s">
        <v>1629</v>
      </c>
      <c r="S94" s="9" t="s">
        <v>1630</v>
      </c>
      <c r="T94" s="9" t="s">
        <v>1700</v>
      </c>
      <c r="U94" s="9" t="s">
        <v>1482</v>
      </c>
      <c r="V94" s="9"/>
      <c r="W94" s="9" t="s">
        <v>56</v>
      </c>
      <c r="X94" s="9"/>
      <c r="Y94" s="9"/>
    </row>
    <row r="95" ht="28" hidden="1" spans="1:25">
      <c r="A95" s="21">
        <v>540425202012015</v>
      </c>
      <c r="B95" s="22" t="s">
        <v>20</v>
      </c>
      <c r="C95" s="9" t="s">
        <v>1991</v>
      </c>
      <c r="D95" s="9" t="s">
        <v>1843</v>
      </c>
      <c r="E95" s="23">
        <v>44228</v>
      </c>
      <c r="F95" s="9" t="s">
        <v>1984</v>
      </c>
      <c r="G95" s="9" t="s">
        <v>1647</v>
      </c>
      <c r="H95" s="9">
        <v>10</v>
      </c>
      <c r="I95" s="9">
        <v>2</v>
      </c>
      <c r="J95" s="9">
        <v>14100</v>
      </c>
      <c r="K95" s="9">
        <v>5522.5</v>
      </c>
      <c r="L95" s="9">
        <v>8577.5</v>
      </c>
      <c r="M95" s="9" t="s">
        <v>1625</v>
      </c>
      <c r="N95" s="9" t="s">
        <v>1626</v>
      </c>
      <c r="O95" s="9" t="s">
        <v>1421</v>
      </c>
      <c r="P95" s="9" t="s">
        <v>1705</v>
      </c>
      <c r="Q95" s="9" t="s">
        <v>1628</v>
      </c>
      <c r="R95" s="9" t="s">
        <v>1629</v>
      </c>
      <c r="S95" s="9" t="s">
        <v>1630</v>
      </c>
      <c r="T95" s="9" t="s">
        <v>1700</v>
      </c>
      <c r="U95" s="9" t="s">
        <v>1482</v>
      </c>
      <c r="V95" s="9"/>
      <c r="W95" s="9" t="s">
        <v>56</v>
      </c>
      <c r="X95" s="9"/>
      <c r="Y95" s="9"/>
    </row>
    <row r="96" ht="28" hidden="1" spans="1:25">
      <c r="A96" s="21">
        <v>540425202112021</v>
      </c>
      <c r="B96" s="22" t="s">
        <v>20</v>
      </c>
      <c r="C96" s="9" t="s">
        <v>1992</v>
      </c>
      <c r="D96" s="9" t="s">
        <v>1993</v>
      </c>
      <c r="E96" s="23">
        <v>44593</v>
      </c>
      <c r="F96" s="9" t="s">
        <v>1984</v>
      </c>
      <c r="G96" s="9" t="s">
        <v>1642</v>
      </c>
      <c r="H96" s="9">
        <v>20</v>
      </c>
      <c r="I96" s="9">
        <v>1</v>
      </c>
      <c r="J96" s="9">
        <v>2617500</v>
      </c>
      <c r="K96" s="9">
        <v>381718.75</v>
      </c>
      <c r="L96" s="9">
        <v>2235781.25</v>
      </c>
      <c r="M96" s="9" t="s">
        <v>1625</v>
      </c>
      <c r="N96" s="9" t="s">
        <v>1643</v>
      </c>
      <c r="O96" s="9" t="s">
        <v>1421</v>
      </c>
      <c r="P96" s="9" t="s">
        <v>1627</v>
      </c>
      <c r="Q96" s="9" t="s">
        <v>1628</v>
      </c>
      <c r="R96" s="9" t="s">
        <v>1629</v>
      </c>
      <c r="S96" s="9" t="s">
        <v>1630</v>
      </c>
      <c r="T96" s="9" t="s">
        <v>1700</v>
      </c>
      <c r="U96" s="9" t="s">
        <v>1482</v>
      </c>
      <c r="V96" s="9"/>
      <c r="W96" s="9" t="s">
        <v>56</v>
      </c>
      <c r="X96" s="9"/>
      <c r="Y96" s="9"/>
    </row>
    <row r="97" ht="28" hidden="1" spans="1:25">
      <c r="A97" s="21">
        <v>540425201812008</v>
      </c>
      <c r="B97" s="22" t="s">
        <v>20</v>
      </c>
      <c r="C97" s="9" t="s">
        <v>1983</v>
      </c>
      <c r="D97" s="9" t="s">
        <v>1929</v>
      </c>
      <c r="E97" s="23">
        <v>43101</v>
      </c>
      <c r="F97" s="9" t="s">
        <v>1984</v>
      </c>
      <c r="G97" s="9" t="s">
        <v>1865</v>
      </c>
      <c r="H97" s="9">
        <v>10</v>
      </c>
      <c r="I97" s="9">
        <v>271764</v>
      </c>
      <c r="J97" s="9">
        <v>1435824</v>
      </c>
      <c r="K97" s="9">
        <v>1005076.8</v>
      </c>
      <c r="L97" s="9">
        <v>430747.2</v>
      </c>
      <c r="M97" s="9" t="s">
        <v>1685</v>
      </c>
      <c r="N97" s="9" t="s">
        <v>1866</v>
      </c>
      <c r="O97" s="9" t="s">
        <v>1421</v>
      </c>
      <c r="P97" s="9" t="s">
        <v>1705</v>
      </c>
      <c r="Q97" s="9" t="s">
        <v>1969</v>
      </c>
      <c r="R97" s="9" t="s">
        <v>1689</v>
      </c>
      <c r="S97" s="9" t="s">
        <v>1630</v>
      </c>
      <c r="T97" s="9" t="s">
        <v>1700</v>
      </c>
      <c r="U97" s="9" t="s">
        <v>1482</v>
      </c>
      <c r="V97" s="9"/>
      <c r="W97" s="9" t="s">
        <v>56</v>
      </c>
      <c r="X97" s="9"/>
      <c r="Y97" s="9"/>
    </row>
    <row r="98" ht="28" hidden="1" spans="1:25">
      <c r="A98" s="21">
        <v>540425202212025</v>
      </c>
      <c r="B98" s="22" t="s">
        <v>20</v>
      </c>
      <c r="C98" s="9" t="s">
        <v>1995</v>
      </c>
      <c r="D98" s="9" t="s">
        <v>1971</v>
      </c>
      <c r="E98" s="23">
        <v>45078</v>
      </c>
      <c r="F98" s="9" t="s">
        <v>1996</v>
      </c>
      <c r="G98" s="9" t="s">
        <v>1647</v>
      </c>
      <c r="H98" s="9">
        <v>10</v>
      </c>
      <c r="I98" s="9">
        <v>1</v>
      </c>
      <c r="J98" s="9">
        <v>105400</v>
      </c>
      <c r="K98" s="9">
        <v>16688.33</v>
      </c>
      <c r="L98" s="9">
        <v>88711.67</v>
      </c>
      <c r="M98" s="9" t="s">
        <v>1625</v>
      </c>
      <c r="N98" s="9" t="s">
        <v>1626</v>
      </c>
      <c r="O98" s="9" t="s">
        <v>1421</v>
      </c>
      <c r="P98" s="9" t="s">
        <v>1627</v>
      </c>
      <c r="Q98" s="9" t="s">
        <v>1628</v>
      </c>
      <c r="R98" s="9" t="s">
        <v>1629</v>
      </c>
      <c r="S98" s="9" t="s">
        <v>1630</v>
      </c>
      <c r="T98" s="9" t="s">
        <v>1700</v>
      </c>
      <c r="U98" s="9" t="s">
        <v>1477</v>
      </c>
      <c r="V98" s="9"/>
      <c r="W98" s="9" t="s">
        <v>56</v>
      </c>
      <c r="X98" s="9"/>
      <c r="Y98" s="9"/>
    </row>
    <row r="99" ht="28" hidden="1" spans="1:25">
      <c r="A99" s="21">
        <v>540425202212025</v>
      </c>
      <c r="B99" s="22" t="s">
        <v>20</v>
      </c>
      <c r="C99" s="9" t="s">
        <v>1997</v>
      </c>
      <c r="D99" s="9" t="s">
        <v>1929</v>
      </c>
      <c r="E99" s="23">
        <v>45078</v>
      </c>
      <c r="F99" s="9" t="s">
        <v>1996</v>
      </c>
      <c r="G99" s="9" t="s">
        <v>1865</v>
      </c>
      <c r="H99" s="9">
        <v>10</v>
      </c>
      <c r="I99" s="9">
        <v>552825</v>
      </c>
      <c r="J99" s="9">
        <v>880750</v>
      </c>
      <c r="K99" s="9">
        <v>139452.08</v>
      </c>
      <c r="L99" s="9">
        <v>741297.92</v>
      </c>
      <c r="M99" s="9" t="s">
        <v>1685</v>
      </c>
      <c r="N99" s="9" t="s">
        <v>1866</v>
      </c>
      <c r="O99" s="9" t="s">
        <v>1421</v>
      </c>
      <c r="P99" s="9" t="s">
        <v>1705</v>
      </c>
      <c r="Q99" s="9" t="s">
        <v>1628</v>
      </c>
      <c r="R99" s="9" t="s">
        <v>1629</v>
      </c>
      <c r="S99" s="9" t="s">
        <v>1630</v>
      </c>
      <c r="T99" s="9" t="s">
        <v>1700</v>
      </c>
      <c r="U99" s="9" t="s">
        <v>1477</v>
      </c>
      <c r="V99" s="9"/>
      <c r="W99" s="9" t="s">
        <v>56</v>
      </c>
      <c r="X99" s="9"/>
      <c r="Y99" s="9"/>
    </row>
    <row r="100" ht="28" hidden="1" spans="1:25">
      <c r="A100" s="21">
        <v>540425202212025</v>
      </c>
      <c r="B100" s="22" t="s">
        <v>20</v>
      </c>
      <c r="C100" s="9" t="s">
        <v>1998</v>
      </c>
      <c r="D100" s="9" t="s">
        <v>1956</v>
      </c>
      <c r="E100" s="23">
        <v>45078</v>
      </c>
      <c r="F100" s="9" t="s">
        <v>1996</v>
      </c>
      <c r="G100" s="9" t="s">
        <v>1999</v>
      </c>
      <c r="H100" s="9">
        <v>10</v>
      </c>
      <c r="I100" s="9">
        <v>1</v>
      </c>
      <c r="J100" s="9">
        <v>183700</v>
      </c>
      <c r="K100" s="9">
        <v>29085.83</v>
      </c>
      <c r="L100" s="9">
        <v>154614.17</v>
      </c>
      <c r="M100" s="9" t="s">
        <v>1625</v>
      </c>
      <c r="N100" s="9" t="s">
        <v>1626</v>
      </c>
      <c r="O100" s="9" t="s">
        <v>1421</v>
      </c>
      <c r="P100" s="9" t="s">
        <v>1705</v>
      </c>
      <c r="Q100" s="9" t="s">
        <v>1628</v>
      </c>
      <c r="R100" s="9" t="s">
        <v>1629</v>
      </c>
      <c r="S100" s="9" t="s">
        <v>1630</v>
      </c>
      <c r="T100" s="9" t="s">
        <v>1700</v>
      </c>
      <c r="U100" s="9" t="s">
        <v>1477</v>
      </c>
      <c r="V100" s="9"/>
      <c r="W100" s="9" t="s">
        <v>56</v>
      </c>
      <c r="X100" s="9"/>
      <c r="Y100" s="9"/>
    </row>
    <row r="101" ht="28" hidden="1" spans="1:25">
      <c r="A101" s="21">
        <v>540425202212025</v>
      </c>
      <c r="B101" s="22" t="s">
        <v>20</v>
      </c>
      <c r="C101" s="9" t="s">
        <v>2000</v>
      </c>
      <c r="D101" s="9" t="s">
        <v>1843</v>
      </c>
      <c r="E101" s="23">
        <v>45078</v>
      </c>
      <c r="F101" s="9" t="s">
        <v>1996</v>
      </c>
      <c r="G101" s="9" t="s">
        <v>1647</v>
      </c>
      <c r="H101" s="9">
        <v>10</v>
      </c>
      <c r="I101" s="9">
        <v>2</v>
      </c>
      <c r="J101" s="9">
        <v>13500</v>
      </c>
      <c r="K101" s="9">
        <v>2137.5</v>
      </c>
      <c r="L101" s="9">
        <v>11362.5</v>
      </c>
      <c r="M101" s="9" t="s">
        <v>1625</v>
      </c>
      <c r="N101" s="9" t="s">
        <v>1626</v>
      </c>
      <c r="O101" s="9" t="s">
        <v>1421</v>
      </c>
      <c r="P101" s="9" t="s">
        <v>1705</v>
      </c>
      <c r="Q101" s="9" t="s">
        <v>1628</v>
      </c>
      <c r="R101" s="9" t="s">
        <v>1629</v>
      </c>
      <c r="S101" s="9" t="s">
        <v>1630</v>
      </c>
      <c r="T101" s="9" t="s">
        <v>1700</v>
      </c>
      <c r="U101" s="9" t="s">
        <v>1477</v>
      </c>
      <c r="V101" s="9"/>
      <c r="W101" s="9" t="s">
        <v>56</v>
      </c>
      <c r="X101" s="9"/>
      <c r="Y101" s="9"/>
    </row>
    <row r="102" ht="28" hidden="1" spans="1:25">
      <c r="A102" s="21">
        <v>540425201912012</v>
      </c>
      <c r="B102" s="22" t="s">
        <v>20</v>
      </c>
      <c r="C102" s="9" t="s">
        <v>2001</v>
      </c>
      <c r="D102" s="9" t="s">
        <v>2002</v>
      </c>
      <c r="E102" s="23">
        <v>43862</v>
      </c>
      <c r="F102" s="9" t="s">
        <v>1996</v>
      </c>
      <c r="G102" s="9" t="s">
        <v>1647</v>
      </c>
      <c r="H102" s="9">
        <v>10</v>
      </c>
      <c r="I102" s="9">
        <v>2</v>
      </c>
      <c r="J102" s="9">
        <v>102600</v>
      </c>
      <c r="K102" s="9">
        <v>50445</v>
      </c>
      <c r="L102" s="9">
        <v>52155</v>
      </c>
      <c r="M102" s="9" t="s">
        <v>1625</v>
      </c>
      <c r="N102" s="9" t="s">
        <v>1626</v>
      </c>
      <c r="O102" s="9" t="s">
        <v>1421</v>
      </c>
      <c r="P102" s="9" t="s">
        <v>1627</v>
      </c>
      <c r="Q102" s="9" t="s">
        <v>1628</v>
      </c>
      <c r="R102" s="9" t="s">
        <v>1629</v>
      </c>
      <c r="S102" s="9" t="s">
        <v>1630</v>
      </c>
      <c r="T102" s="9" t="s">
        <v>1700</v>
      </c>
      <c r="U102" s="9" t="s">
        <v>1477</v>
      </c>
      <c r="V102" s="9"/>
      <c r="W102" s="9" t="s">
        <v>56</v>
      </c>
      <c r="X102" s="9"/>
      <c r="Y102" s="9"/>
    </row>
    <row r="103" ht="28" hidden="1" spans="1:25">
      <c r="A103" s="21">
        <v>540425201912012</v>
      </c>
      <c r="B103" s="22" t="s">
        <v>20</v>
      </c>
      <c r="C103" s="9" t="s">
        <v>2003</v>
      </c>
      <c r="D103" s="9" t="s">
        <v>1951</v>
      </c>
      <c r="E103" s="23">
        <v>43862</v>
      </c>
      <c r="F103" s="9" t="s">
        <v>1996</v>
      </c>
      <c r="G103" s="9" t="s">
        <v>1647</v>
      </c>
      <c r="H103" s="9">
        <v>10</v>
      </c>
      <c r="I103" s="9">
        <v>1</v>
      </c>
      <c r="J103" s="9">
        <v>79800</v>
      </c>
      <c r="K103" s="9">
        <v>39235</v>
      </c>
      <c r="L103" s="9">
        <v>40565</v>
      </c>
      <c r="M103" s="9" t="s">
        <v>1625</v>
      </c>
      <c r="N103" s="9" t="s">
        <v>1626</v>
      </c>
      <c r="O103" s="9" t="s">
        <v>1421</v>
      </c>
      <c r="P103" s="9" t="s">
        <v>1627</v>
      </c>
      <c r="Q103" s="9" t="s">
        <v>1628</v>
      </c>
      <c r="R103" s="9" t="s">
        <v>1629</v>
      </c>
      <c r="S103" s="9" t="s">
        <v>1630</v>
      </c>
      <c r="T103" s="9" t="s">
        <v>1700</v>
      </c>
      <c r="U103" s="9" t="s">
        <v>1477</v>
      </c>
      <c r="V103" s="9"/>
      <c r="W103" s="9" t="s">
        <v>56</v>
      </c>
      <c r="X103" s="9"/>
      <c r="Y103" s="9"/>
    </row>
    <row r="104" ht="28" hidden="1" spans="1:25">
      <c r="A104" s="21">
        <v>540425201912012</v>
      </c>
      <c r="B104" s="22" t="s">
        <v>20</v>
      </c>
      <c r="C104" s="9" t="s">
        <v>2004</v>
      </c>
      <c r="D104" s="9" t="s">
        <v>2005</v>
      </c>
      <c r="E104" s="23">
        <v>43862</v>
      </c>
      <c r="F104" s="9" t="s">
        <v>1996</v>
      </c>
      <c r="G104" s="9" t="s">
        <v>2006</v>
      </c>
      <c r="H104" s="9">
        <v>10</v>
      </c>
      <c r="I104" s="9">
        <v>1</v>
      </c>
      <c r="J104" s="9">
        <v>126900</v>
      </c>
      <c r="K104" s="9">
        <v>62392.5</v>
      </c>
      <c r="L104" s="9">
        <v>64507.5</v>
      </c>
      <c r="M104" s="9" t="s">
        <v>1625</v>
      </c>
      <c r="N104" s="9" t="s">
        <v>1626</v>
      </c>
      <c r="O104" s="9" t="s">
        <v>1421</v>
      </c>
      <c r="P104" s="9" t="s">
        <v>1705</v>
      </c>
      <c r="Q104" s="9" t="s">
        <v>1628</v>
      </c>
      <c r="R104" s="9" t="s">
        <v>1629</v>
      </c>
      <c r="S104" s="9" t="s">
        <v>1630</v>
      </c>
      <c r="T104" s="9" t="s">
        <v>1700</v>
      </c>
      <c r="U104" s="9" t="s">
        <v>1477</v>
      </c>
      <c r="V104" s="9"/>
      <c r="W104" s="9" t="s">
        <v>56</v>
      </c>
      <c r="X104" s="9"/>
      <c r="Y104" s="9"/>
    </row>
    <row r="105" ht="28" hidden="1" spans="1:25">
      <c r="A105" s="21">
        <v>540425201912012</v>
      </c>
      <c r="B105" s="22" t="s">
        <v>20</v>
      </c>
      <c r="C105" s="9" t="s">
        <v>2007</v>
      </c>
      <c r="D105" s="9" t="s">
        <v>1843</v>
      </c>
      <c r="E105" s="23">
        <v>43862</v>
      </c>
      <c r="F105" s="9" t="s">
        <v>1996</v>
      </c>
      <c r="G105" s="9" t="s">
        <v>1647</v>
      </c>
      <c r="H105" s="9">
        <v>10</v>
      </c>
      <c r="I105" s="9">
        <v>2</v>
      </c>
      <c r="J105" s="9">
        <v>9300</v>
      </c>
      <c r="K105" s="9">
        <v>4572.5</v>
      </c>
      <c r="L105" s="9">
        <v>4727.5</v>
      </c>
      <c r="M105" s="9" t="s">
        <v>1625</v>
      </c>
      <c r="N105" s="9" t="s">
        <v>1626</v>
      </c>
      <c r="O105" s="9" t="s">
        <v>1421</v>
      </c>
      <c r="P105" s="9" t="s">
        <v>1705</v>
      </c>
      <c r="Q105" s="9" t="s">
        <v>1628</v>
      </c>
      <c r="R105" s="9" t="s">
        <v>1629</v>
      </c>
      <c r="S105" s="9" t="s">
        <v>1630</v>
      </c>
      <c r="T105" s="9" t="s">
        <v>1700</v>
      </c>
      <c r="U105" s="9" t="s">
        <v>1477</v>
      </c>
      <c r="V105" s="9"/>
      <c r="W105" s="9" t="s">
        <v>56</v>
      </c>
      <c r="X105" s="9"/>
      <c r="Y105" s="9"/>
    </row>
    <row r="106" ht="28" hidden="1" spans="1:25">
      <c r="A106" s="21">
        <v>540425201912012</v>
      </c>
      <c r="B106" s="22" t="s">
        <v>20</v>
      </c>
      <c r="C106" s="9" t="s">
        <v>2008</v>
      </c>
      <c r="D106" s="9" t="s">
        <v>1929</v>
      </c>
      <c r="E106" s="23">
        <v>43862</v>
      </c>
      <c r="F106" s="9" t="s">
        <v>1996</v>
      </c>
      <c r="G106" s="9" t="s">
        <v>1865</v>
      </c>
      <c r="H106" s="9">
        <v>10</v>
      </c>
      <c r="I106" s="9">
        <v>277914</v>
      </c>
      <c r="J106" s="9">
        <v>613620</v>
      </c>
      <c r="K106" s="9">
        <v>301696.5</v>
      </c>
      <c r="L106" s="9">
        <v>311923.5</v>
      </c>
      <c r="M106" s="9" t="s">
        <v>1685</v>
      </c>
      <c r="N106" s="9" t="s">
        <v>1866</v>
      </c>
      <c r="O106" s="9" t="s">
        <v>1421</v>
      </c>
      <c r="P106" s="9" t="s">
        <v>1705</v>
      </c>
      <c r="Q106" s="9" t="s">
        <v>1628</v>
      </c>
      <c r="R106" s="9" t="s">
        <v>1629</v>
      </c>
      <c r="S106" s="9" t="s">
        <v>1630</v>
      </c>
      <c r="T106" s="9" t="s">
        <v>1700</v>
      </c>
      <c r="U106" s="9" t="s">
        <v>1477</v>
      </c>
      <c r="V106" s="9"/>
      <c r="W106" s="9" t="s">
        <v>56</v>
      </c>
      <c r="X106" s="9"/>
      <c r="Y106" s="9"/>
    </row>
    <row r="107" ht="28" hidden="1" spans="1:25">
      <c r="A107" s="21">
        <v>540425201912013</v>
      </c>
      <c r="B107" s="22" t="s">
        <v>20</v>
      </c>
      <c r="C107" s="9" t="s">
        <v>2009</v>
      </c>
      <c r="D107" s="9" t="s">
        <v>1951</v>
      </c>
      <c r="E107" s="23">
        <v>43831</v>
      </c>
      <c r="F107" s="9" t="s">
        <v>1996</v>
      </c>
      <c r="G107" s="9" t="s">
        <v>1647</v>
      </c>
      <c r="H107" s="9">
        <v>10</v>
      </c>
      <c r="I107" s="9">
        <v>1</v>
      </c>
      <c r="J107" s="9">
        <v>79800</v>
      </c>
      <c r="K107" s="9">
        <v>39900</v>
      </c>
      <c r="L107" s="9">
        <v>39900</v>
      </c>
      <c r="M107" s="9" t="s">
        <v>1625</v>
      </c>
      <c r="N107" s="9" t="s">
        <v>1626</v>
      </c>
      <c r="O107" s="9" t="s">
        <v>1421</v>
      </c>
      <c r="P107" s="9" t="s">
        <v>1627</v>
      </c>
      <c r="Q107" s="9" t="s">
        <v>1969</v>
      </c>
      <c r="R107" s="9" t="s">
        <v>1636</v>
      </c>
      <c r="S107" s="9" t="s">
        <v>1630</v>
      </c>
      <c r="T107" s="9" t="s">
        <v>1700</v>
      </c>
      <c r="U107" s="9" t="s">
        <v>1477</v>
      </c>
      <c r="V107" s="9"/>
      <c r="W107" s="9" t="s">
        <v>56</v>
      </c>
      <c r="X107" s="9"/>
      <c r="Y107" s="9"/>
    </row>
    <row r="108" ht="28" hidden="1" spans="1:25">
      <c r="A108" s="21">
        <v>540425201912013</v>
      </c>
      <c r="B108" s="22" t="s">
        <v>20</v>
      </c>
      <c r="C108" s="9" t="s">
        <v>2010</v>
      </c>
      <c r="D108" s="9" t="s">
        <v>1956</v>
      </c>
      <c r="E108" s="23">
        <v>43831</v>
      </c>
      <c r="F108" s="9" t="s">
        <v>1996</v>
      </c>
      <c r="G108" s="9" t="s">
        <v>2006</v>
      </c>
      <c r="H108" s="9">
        <v>10</v>
      </c>
      <c r="I108" s="9">
        <v>1</v>
      </c>
      <c r="J108" s="9">
        <v>126900</v>
      </c>
      <c r="K108" s="9">
        <v>63450</v>
      </c>
      <c r="L108" s="9">
        <v>63450</v>
      </c>
      <c r="M108" s="9" t="s">
        <v>1625</v>
      </c>
      <c r="N108" s="9" t="s">
        <v>1626</v>
      </c>
      <c r="O108" s="9" t="s">
        <v>1421</v>
      </c>
      <c r="P108" s="9" t="s">
        <v>1705</v>
      </c>
      <c r="Q108" s="9" t="s">
        <v>1628</v>
      </c>
      <c r="R108" s="9" t="s">
        <v>1629</v>
      </c>
      <c r="S108" s="9" t="s">
        <v>1630</v>
      </c>
      <c r="T108" s="9" t="s">
        <v>1700</v>
      </c>
      <c r="U108" s="9" t="s">
        <v>1477</v>
      </c>
      <c r="V108" s="9"/>
      <c r="W108" s="9" t="s">
        <v>56</v>
      </c>
      <c r="X108" s="9"/>
      <c r="Y108" s="9"/>
    </row>
    <row r="109" ht="28" hidden="1" spans="1:25">
      <c r="A109" s="21">
        <v>540425201912013</v>
      </c>
      <c r="B109" s="22" t="s">
        <v>20</v>
      </c>
      <c r="C109" s="9" t="s">
        <v>2011</v>
      </c>
      <c r="D109" s="9" t="s">
        <v>1929</v>
      </c>
      <c r="E109" s="23">
        <v>43831</v>
      </c>
      <c r="F109" s="9" t="s">
        <v>1996</v>
      </c>
      <c r="G109" s="9" t="s">
        <v>1865</v>
      </c>
      <c r="H109" s="9">
        <v>10</v>
      </c>
      <c r="I109" s="9">
        <v>358925</v>
      </c>
      <c r="J109" s="9">
        <v>215355</v>
      </c>
      <c r="K109" s="9">
        <v>107677.5</v>
      </c>
      <c r="L109" s="9">
        <v>107677.5</v>
      </c>
      <c r="M109" s="9" t="s">
        <v>1685</v>
      </c>
      <c r="N109" s="9" t="s">
        <v>1866</v>
      </c>
      <c r="O109" s="9" t="s">
        <v>1421</v>
      </c>
      <c r="P109" s="9" t="s">
        <v>1705</v>
      </c>
      <c r="Q109" s="9" t="s">
        <v>1628</v>
      </c>
      <c r="R109" s="9" t="s">
        <v>1629</v>
      </c>
      <c r="S109" s="9" t="s">
        <v>1630</v>
      </c>
      <c r="T109" s="9" t="s">
        <v>1700</v>
      </c>
      <c r="U109" s="9" t="s">
        <v>1477</v>
      </c>
      <c r="V109" s="9"/>
      <c r="W109" s="9" t="s">
        <v>56</v>
      </c>
      <c r="X109" s="9"/>
      <c r="Y109" s="9"/>
    </row>
    <row r="110" ht="28" hidden="1" spans="1:25">
      <c r="A110" s="21">
        <v>540425201919026</v>
      </c>
      <c r="B110" s="22" t="s">
        <v>20</v>
      </c>
      <c r="C110" s="9" t="s">
        <v>2061</v>
      </c>
      <c r="D110" s="9" t="s">
        <v>2062</v>
      </c>
      <c r="E110" s="23">
        <v>43922</v>
      </c>
      <c r="F110" s="9" t="s">
        <v>1984</v>
      </c>
      <c r="G110" s="9" t="s">
        <v>2063</v>
      </c>
      <c r="H110" s="9">
        <v>10</v>
      </c>
      <c r="I110" s="9">
        <v>6066</v>
      </c>
      <c r="J110" s="9">
        <v>289500</v>
      </c>
      <c r="K110" s="9">
        <v>289500</v>
      </c>
      <c r="L110" s="9">
        <v>0</v>
      </c>
      <c r="M110" s="9" t="s">
        <v>1685</v>
      </c>
      <c r="N110" s="9" t="s">
        <v>1866</v>
      </c>
      <c r="O110" s="9" t="s">
        <v>1421</v>
      </c>
      <c r="P110" s="9" t="s">
        <v>1687</v>
      </c>
      <c r="Q110" s="9" t="s">
        <v>1628</v>
      </c>
      <c r="R110" s="9" t="s">
        <v>1629</v>
      </c>
      <c r="S110" s="9" t="s">
        <v>1630</v>
      </c>
      <c r="T110" s="9" t="s">
        <v>1700</v>
      </c>
      <c r="U110" s="9" t="s">
        <v>1482</v>
      </c>
      <c r="V110" s="9"/>
      <c r="W110" s="9" t="s">
        <v>56</v>
      </c>
      <c r="X110" s="9"/>
      <c r="Y110" s="9"/>
    </row>
    <row r="111" ht="28" hidden="1" spans="1:25">
      <c r="A111" s="21">
        <v>540425201919026</v>
      </c>
      <c r="B111" s="22" t="s">
        <v>20</v>
      </c>
      <c r="C111" s="9" t="s">
        <v>2064</v>
      </c>
      <c r="D111" s="9" t="s">
        <v>1956</v>
      </c>
      <c r="E111" s="23">
        <v>43922</v>
      </c>
      <c r="F111" s="9" t="s">
        <v>1984</v>
      </c>
      <c r="G111" s="9" t="s">
        <v>2065</v>
      </c>
      <c r="H111" s="9">
        <v>10</v>
      </c>
      <c r="I111" s="9">
        <v>1</v>
      </c>
      <c r="J111" s="9">
        <v>69200</v>
      </c>
      <c r="K111" s="9">
        <v>32870</v>
      </c>
      <c r="L111" s="9">
        <v>36330</v>
      </c>
      <c r="M111" s="9" t="s">
        <v>1625</v>
      </c>
      <c r="N111" s="9" t="s">
        <v>1626</v>
      </c>
      <c r="O111" s="9" t="s">
        <v>1421</v>
      </c>
      <c r="P111" s="9" t="s">
        <v>1705</v>
      </c>
      <c r="Q111" s="9" t="s">
        <v>1628</v>
      </c>
      <c r="R111" s="9" t="s">
        <v>1629</v>
      </c>
      <c r="S111" s="9" t="s">
        <v>1630</v>
      </c>
      <c r="T111" s="9" t="s">
        <v>1700</v>
      </c>
      <c r="U111" s="9" t="s">
        <v>1482</v>
      </c>
      <c r="V111" s="9"/>
      <c r="W111" s="9" t="s">
        <v>56</v>
      </c>
      <c r="X111" s="9"/>
      <c r="Y111" s="9"/>
    </row>
    <row r="112" ht="28" hidden="1" spans="1:25">
      <c r="A112" s="21">
        <v>540425201819013</v>
      </c>
      <c r="B112" s="22" t="s">
        <v>20</v>
      </c>
      <c r="C112" s="9" t="s">
        <v>2066</v>
      </c>
      <c r="D112" s="9" t="s">
        <v>2067</v>
      </c>
      <c r="E112" s="23">
        <v>43435</v>
      </c>
      <c r="F112" s="9" t="s">
        <v>2068</v>
      </c>
      <c r="G112" s="9" t="s">
        <v>2389</v>
      </c>
      <c r="H112" s="9">
        <v>10</v>
      </c>
      <c r="I112" s="9">
        <v>60000</v>
      </c>
      <c r="J112" s="9">
        <v>450000</v>
      </c>
      <c r="K112" s="9">
        <v>273750</v>
      </c>
      <c r="L112" s="9">
        <v>176250</v>
      </c>
      <c r="M112" s="9" t="s">
        <v>1625</v>
      </c>
      <c r="N112" s="9" t="s">
        <v>1866</v>
      </c>
      <c r="O112" s="9" t="s">
        <v>1421</v>
      </c>
      <c r="P112" s="9" t="s">
        <v>1705</v>
      </c>
      <c r="Q112" s="9" t="s">
        <v>1628</v>
      </c>
      <c r="R112" s="9" t="s">
        <v>1629</v>
      </c>
      <c r="S112" s="9" t="s">
        <v>1630</v>
      </c>
      <c r="T112" s="9" t="s">
        <v>1700</v>
      </c>
      <c r="U112" s="9" t="s">
        <v>1480</v>
      </c>
      <c r="V112" s="9"/>
      <c r="W112" s="9" t="s">
        <v>56</v>
      </c>
      <c r="X112" s="9"/>
      <c r="Y112" s="9"/>
    </row>
    <row r="113" hidden="1" spans="1:25">
      <c r="A113" s="21">
        <v>540425201919023</v>
      </c>
      <c r="B113" s="22" t="s">
        <v>20</v>
      </c>
      <c r="C113" s="9" t="s">
        <v>2071</v>
      </c>
      <c r="D113" s="9" t="s">
        <v>2072</v>
      </c>
      <c r="E113" s="23">
        <v>43862</v>
      </c>
      <c r="F113" s="9" t="s">
        <v>2073</v>
      </c>
      <c r="G113" s="9" t="s">
        <v>1642</v>
      </c>
      <c r="H113" s="9">
        <v>20</v>
      </c>
      <c r="I113" s="9">
        <v>1</v>
      </c>
      <c r="J113" s="9">
        <v>1667000</v>
      </c>
      <c r="K113" s="9">
        <v>409804.17</v>
      </c>
      <c r="L113" s="9">
        <v>1257195.83</v>
      </c>
      <c r="M113" s="9" t="s">
        <v>1625</v>
      </c>
      <c r="N113" s="9" t="s">
        <v>1643</v>
      </c>
      <c r="O113" s="9" t="s">
        <v>1421</v>
      </c>
      <c r="P113" s="9" t="s">
        <v>1627</v>
      </c>
      <c r="Q113" s="9" t="s">
        <v>1969</v>
      </c>
      <c r="R113" s="9" t="s">
        <v>1636</v>
      </c>
      <c r="S113" s="9" t="s">
        <v>1630</v>
      </c>
      <c r="T113" s="9" t="s">
        <v>1636</v>
      </c>
      <c r="U113" s="9" t="s">
        <v>1460</v>
      </c>
      <c r="V113" s="9"/>
      <c r="W113" s="9" t="s">
        <v>56</v>
      </c>
      <c r="X113" s="9"/>
      <c r="Y113" s="9"/>
    </row>
    <row r="114" hidden="1" spans="1:25">
      <c r="A114" s="21">
        <v>540425201919023</v>
      </c>
      <c r="B114" s="22" t="s">
        <v>20</v>
      </c>
      <c r="C114" s="9" t="s">
        <v>2075</v>
      </c>
      <c r="D114" s="9" t="s">
        <v>2076</v>
      </c>
      <c r="E114" s="23">
        <v>43862</v>
      </c>
      <c r="F114" s="9" t="s">
        <v>2073</v>
      </c>
      <c r="G114" s="9" t="s">
        <v>1675</v>
      </c>
      <c r="H114" s="9">
        <v>5</v>
      </c>
      <c r="I114" s="9">
        <v>2</v>
      </c>
      <c r="J114" s="9">
        <v>160000</v>
      </c>
      <c r="K114" s="9">
        <v>160000</v>
      </c>
      <c r="L114" s="9">
        <v>0</v>
      </c>
      <c r="M114" s="9" t="s">
        <v>1625</v>
      </c>
      <c r="N114" s="9" t="s">
        <v>1652</v>
      </c>
      <c r="O114" s="9" t="s">
        <v>1421</v>
      </c>
      <c r="P114" s="9" t="s">
        <v>1687</v>
      </c>
      <c r="Q114" s="9" t="s">
        <v>1969</v>
      </c>
      <c r="R114" s="9" t="s">
        <v>1687</v>
      </c>
      <c r="S114" s="9" t="s">
        <v>1630</v>
      </c>
      <c r="T114" s="9" t="s">
        <v>1636</v>
      </c>
      <c r="U114" s="9" t="s">
        <v>1460</v>
      </c>
      <c r="V114" s="9"/>
      <c r="W114" s="9" t="s">
        <v>56</v>
      </c>
      <c r="X114" s="9"/>
      <c r="Y114" s="9"/>
    </row>
    <row r="115" hidden="1" spans="1:25">
      <c r="A115" s="21">
        <v>540425201919023</v>
      </c>
      <c r="B115" s="22" t="s">
        <v>20</v>
      </c>
      <c r="C115" s="9" t="s">
        <v>2077</v>
      </c>
      <c r="D115" s="9" t="s">
        <v>2078</v>
      </c>
      <c r="E115" s="23">
        <v>43862</v>
      </c>
      <c r="F115" s="9" t="s">
        <v>2073</v>
      </c>
      <c r="G115" s="9" t="s">
        <v>1675</v>
      </c>
      <c r="H115" s="9">
        <v>5</v>
      </c>
      <c r="I115" s="9">
        <v>1</v>
      </c>
      <c r="J115" s="9">
        <v>81000</v>
      </c>
      <c r="K115" s="9">
        <v>81000</v>
      </c>
      <c r="L115" s="9">
        <v>0</v>
      </c>
      <c r="M115" s="9" t="s">
        <v>1625</v>
      </c>
      <c r="N115" s="9" t="s">
        <v>1652</v>
      </c>
      <c r="O115" s="9" t="s">
        <v>1421</v>
      </c>
      <c r="P115" s="9" t="s">
        <v>1687</v>
      </c>
      <c r="Q115" s="9" t="s">
        <v>1969</v>
      </c>
      <c r="R115" s="9" t="s">
        <v>1687</v>
      </c>
      <c r="S115" s="9" t="s">
        <v>1630</v>
      </c>
      <c r="T115" s="9" t="s">
        <v>1636</v>
      </c>
      <c r="U115" s="9" t="s">
        <v>1460</v>
      </c>
      <c r="V115" s="9"/>
      <c r="W115" s="9" t="s">
        <v>56</v>
      </c>
      <c r="X115" s="9"/>
      <c r="Y115" s="9"/>
    </row>
    <row r="116" hidden="1" spans="1:25">
      <c r="A116" s="21">
        <v>540425201919023</v>
      </c>
      <c r="B116" s="22" t="s">
        <v>20</v>
      </c>
      <c r="C116" s="9" t="s">
        <v>2079</v>
      </c>
      <c r="D116" s="9" t="s">
        <v>2080</v>
      </c>
      <c r="E116" s="23">
        <v>43862</v>
      </c>
      <c r="F116" s="9" t="s">
        <v>2073</v>
      </c>
      <c r="G116" s="9" t="s">
        <v>1675</v>
      </c>
      <c r="H116" s="9">
        <v>5</v>
      </c>
      <c r="I116" s="9">
        <v>1</v>
      </c>
      <c r="J116" s="9">
        <v>60000</v>
      </c>
      <c r="K116" s="9">
        <v>60000</v>
      </c>
      <c r="L116" s="9">
        <v>0</v>
      </c>
      <c r="M116" s="9" t="s">
        <v>1625</v>
      </c>
      <c r="N116" s="9" t="s">
        <v>1652</v>
      </c>
      <c r="O116" s="9" t="s">
        <v>1421</v>
      </c>
      <c r="P116" s="9" t="s">
        <v>1687</v>
      </c>
      <c r="Q116" s="9" t="s">
        <v>1969</v>
      </c>
      <c r="R116" s="9" t="s">
        <v>1687</v>
      </c>
      <c r="S116" s="9" t="s">
        <v>1630</v>
      </c>
      <c r="T116" s="9" t="s">
        <v>1636</v>
      </c>
      <c r="U116" s="9" t="s">
        <v>1460</v>
      </c>
      <c r="V116" s="9"/>
      <c r="W116" s="9" t="s">
        <v>56</v>
      </c>
      <c r="X116" s="9"/>
      <c r="Y116" s="9"/>
    </row>
    <row r="117" hidden="1" spans="1:25">
      <c r="A117" s="21">
        <v>540425201919023</v>
      </c>
      <c r="B117" s="22" t="s">
        <v>20</v>
      </c>
      <c r="C117" s="9" t="s">
        <v>2081</v>
      </c>
      <c r="D117" s="9" t="s">
        <v>2082</v>
      </c>
      <c r="E117" s="23">
        <v>43862</v>
      </c>
      <c r="F117" s="9" t="s">
        <v>2073</v>
      </c>
      <c r="G117" s="9" t="s">
        <v>1675</v>
      </c>
      <c r="H117" s="9">
        <v>5</v>
      </c>
      <c r="I117" s="9">
        <v>1</v>
      </c>
      <c r="J117" s="9">
        <v>8000</v>
      </c>
      <c r="K117" s="9">
        <v>8000</v>
      </c>
      <c r="L117" s="9">
        <v>0</v>
      </c>
      <c r="M117" s="9" t="s">
        <v>1625</v>
      </c>
      <c r="N117" s="9" t="s">
        <v>1652</v>
      </c>
      <c r="O117" s="9" t="s">
        <v>1421</v>
      </c>
      <c r="P117" s="9" t="s">
        <v>1687</v>
      </c>
      <c r="Q117" s="9" t="s">
        <v>1969</v>
      </c>
      <c r="R117" s="9" t="s">
        <v>1687</v>
      </c>
      <c r="S117" s="9" t="s">
        <v>1630</v>
      </c>
      <c r="T117" s="9" t="s">
        <v>1636</v>
      </c>
      <c r="U117" s="9" t="s">
        <v>1460</v>
      </c>
      <c r="V117" s="9"/>
      <c r="W117" s="9" t="s">
        <v>56</v>
      </c>
      <c r="X117" s="9"/>
      <c r="Y117" s="9"/>
    </row>
    <row r="118" ht="28" hidden="1" spans="1:25">
      <c r="A118" s="21">
        <v>540425201919023</v>
      </c>
      <c r="B118" s="22" t="s">
        <v>20</v>
      </c>
      <c r="C118" s="9" t="s">
        <v>2083</v>
      </c>
      <c r="D118" s="9" t="s">
        <v>2084</v>
      </c>
      <c r="E118" s="23">
        <v>43862</v>
      </c>
      <c r="F118" s="9" t="s">
        <v>2073</v>
      </c>
      <c r="G118" s="9" t="s">
        <v>1675</v>
      </c>
      <c r="H118" s="9">
        <v>5</v>
      </c>
      <c r="I118" s="9">
        <v>1</v>
      </c>
      <c r="J118" s="9">
        <v>2500</v>
      </c>
      <c r="K118" s="9">
        <v>2500</v>
      </c>
      <c r="L118" s="9">
        <v>0</v>
      </c>
      <c r="M118" s="9" t="s">
        <v>1625</v>
      </c>
      <c r="N118" s="9" t="s">
        <v>1652</v>
      </c>
      <c r="O118" s="9" t="s">
        <v>1421</v>
      </c>
      <c r="P118" s="9" t="s">
        <v>1687</v>
      </c>
      <c r="Q118" s="9" t="s">
        <v>1969</v>
      </c>
      <c r="R118" s="9" t="s">
        <v>1687</v>
      </c>
      <c r="S118" s="9" t="s">
        <v>1630</v>
      </c>
      <c r="T118" s="9" t="s">
        <v>1636</v>
      </c>
      <c r="U118" s="9" t="s">
        <v>1460</v>
      </c>
      <c r="V118" s="9"/>
      <c r="W118" s="9" t="s">
        <v>56</v>
      </c>
      <c r="X118" s="9"/>
      <c r="Y118" s="9"/>
    </row>
    <row r="119" hidden="1" spans="1:25">
      <c r="A119" s="21">
        <v>540425201919023</v>
      </c>
      <c r="B119" s="22" t="s">
        <v>20</v>
      </c>
      <c r="C119" s="9" t="s">
        <v>2085</v>
      </c>
      <c r="D119" s="9" t="s">
        <v>2086</v>
      </c>
      <c r="E119" s="23">
        <v>43862</v>
      </c>
      <c r="F119" s="9" t="s">
        <v>2073</v>
      </c>
      <c r="G119" s="9" t="s">
        <v>1675</v>
      </c>
      <c r="H119" s="9">
        <v>5</v>
      </c>
      <c r="I119" s="9">
        <v>1</v>
      </c>
      <c r="J119" s="9">
        <v>12000</v>
      </c>
      <c r="K119" s="9">
        <v>12000</v>
      </c>
      <c r="L119" s="9">
        <v>0</v>
      </c>
      <c r="M119" s="9" t="s">
        <v>1625</v>
      </c>
      <c r="N119" s="9" t="s">
        <v>1652</v>
      </c>
      <c r="O119" s="9" t="s">
        <v>1421</v>
      </c>
      <c r="P119" s="9" t="s">
        <v>1687</v>
      </c>
      <c r="Q119" s="9" t="s">
        <v>1969</v>
      </c>
      <c r="R119" s="9" t="s">
        <v>1687</v>
      </c>
      <c r="S119" s="9" t="s">
        <v>1630</v>
      </c>
      <c r="T119" s="9" t="s">
        <v>1636</v>
      </c>
      <c r="U119" s="9" t="s">
        <v>1460</v>
      </c>
      <c r="V119" s="9"/>
      <c r="W119" s="9" t="s">
        <v>56</v>
      </c>
      <c r="X119" s="9"/>
      <c r="Y119" s="9"/>
    </row>
    <row r="120" hidden="1" spans="1:25">
      <c r="A120" s="21">
        <v>540425201919023</v>
      </c>
      <c r="B120" s="22" t="s">
        <v>20</v>
      </c>
      <c r="C120" s="9" t="s">
        <v>2087</v>
      </c>
      <c r="D120" s="9" t="s">
        <v>2088</v>
      </c>
      <c r="E120" s="23">
        <v>43862</v>
      </c>
      <c r="F120" s="9" t="s">
        <v>2073</v>
      </c>
      <c r="G120" s="9" t="s">
        <v>1675</v>
      </c>
      <c r="H120" s="9">
        <v>5</v>
      </c>
      <c r="I120" s="9">
        <v>1</v>
      </c>
      <c r="J120" s="9">
        <v>2500</v>
      </c>
      <c r="K120" s="9">
        <v>2500</v>
      </c>
      <c r="L120" s="9">
        <v>0</v>
      </c>
      <c r="M120" s="9" t="s">
        <v>1625</v>
      </c>
      <c r="N120" s="9" t="s">
        <v>1652</v>
      </c>
      <c r="O120" s="9" t="s">
        <v>1421</v>
      </c>
      <c r="P120" s="9" t="s">
        <v>1687</v>
      </c>
      <c r="Q120" s="9" t="s">
        <v>1969</v>
      </c>
      <c r="R120" s="9" t="s">
        <v>1687</v>
      </c>
      <c r="S120" s="9" t="s">
        <v>1630</v>
      </c>
      <c r="T120" s="9" t="s">
        <v>1636</v>
      </c>
      <c r="U120" s="9" t="s">
        <v>1460</v>
      </c>
      <c r="V120" s="9"/>
      <c r="W120" s="9" t="s">
        <v>56</v>
      </c>
      <c r="X120" s="9"/>
      <c r="Y120" s="9"/>
    </row>
    <row r="121" hidden="1" spans="1:25">
      <c r="A121" s="21">
        <v>540425201919023</v>
      </c>
      <c r="B121" s="22" t="s">
        <v>20</v>
      </c>
      <c r="C121" s="9" t="s">
        <v>2089</v>
      </c>
      <c r="D121" s="9" t="s">
        <v>2090</v>
      </c>
      <c r="E121" s="23">
        <v>43862</v>
      </c>
      <c r="F121" s="9" t="s">
        <v>2073</v>
      </c>
      <c r="G121" s="9" t="s">
        <v>1675</v>
      </c>
      <c r="H121" s="9">
        <v>5</v>
      </c>
      <c r="I121" s="9">
        <v>2</v>
      </c>
      <c r="J121" s="9">
        <v>50000</v>
      </c>
      <c r="K121" s="9">
        <v>50000</v>
      </c>
      <c r="L121" s="9">
        <v>0</v>
      </c>
      <c r="M121" s="9" t="s">
        <v>1625</v>
      </c>
      <c r="N121" s="9" t="s">
        <v>1652</v>
      </c>
      <c r="O121" s="9" t="s">
        <v>1421</v>
      </c>
      <c r="P121" s="9" t="s">
        <v>1687</v>
      </c>
      <c r="Q121" s="9" t="s">
        <v>1969</v>
      </c>
      <c r="R121" s="9" t="s">
        <v>1687</v>
      </c>
      <c r="S121" s="9" t="s">
        <v>1630</v>
      </c>
      <c r="T121" s="9" t="s">
        <v>1636</v>
      </c>
      <c r="U121" s="9" t="s">
        <v>1460</v>
      </c>
      <c r="V121" s="9"/>
      <c r="W121" s="9" t="s">
        <v>56</v>
      </c>
      <c r="X121" s="9"/>
      <c r="Y121" s="9"/>
    </row>
    <row r="122" hidden="1" spans="1:25">
      <c r="A122" s="21">
        <v>540425201919023</v>
      </c>
      <c r="B122" s="22" t="s">
        <v>20</v>
      </c>
      <c r="C122" s="9" t="s">
        <v>2091</v>
      </c>
      <c r="D122" s="9" t="s">
        <v>2092</v>
      </c>
      <c r="E122" s="23">
        <v>43862</v>
      </c>
      <c r="F122" s="9" t="s">
        <v>2073</v>
      </c>
      <c r="G122" s="9" t="s">
        <v>1675</v>
      </c>
      <c r="H122" s="9">
        <v>5</v>
      </c>
      <c r="I122" s="9">
        <v>2</v>
      </c>
      <c r="J122" s="9">
        <v>24000</v>
      </c>
      <c r="K122" s="9">
        <v>24000</v>
      </c>
      <c r="L122" s="9">
        <v>0</v>
      </c>
      <c r="M122" s="9" t="s">
        <v>1625</v>
      </c>
      <c r="N122" s="9" t="s">
        <v>1652</v>
      </c>
      <c r="O122" s="9" t="s">
        <v>1421</v>
      </c>
      <c r="P122" s="9" t="s">
        <v>1687</v>
      </c>
      <c r="Q122" s="9" t="s">
        <v>1969</v>
      </c>
      <c r="R122" s="9" t="s">
        <v>1687</v>
      </c>
      <c r="S122" s="9" t="s">
        <v>1630</v>
      </c>
      <c r="T122" s="9" t="s">
        <v>1636</v>
      </c>
      <c r="U122" s="9" t="s">
        <v>1460</v>
      </c>
      <c r="V122" s="9"/>
      <c r="W122" s="9" t="s">
        <v>56</v>
      </c>
      <c r="X122" s="9"/>
      <c r="Y122" s="9"/>
    </row>
    <row r="123" hidden="1" spans="1:25">
      <c r="A123" s="21">
        <v>540425201919023</v>
      </c>
      <c r="B123" s="22" t="s">
        <v>20</v>
      </c>
      <c r="C123" s="9" t="s">
        <v>2093</v>
      </c>
      <c r="D123" s="9" t="s">
        <v>2094</v>
      </c>
      <c r="E123" s="23">
        <v>43862</v>
      </c>
      <c r="F123" s="9" t="s">
        <v>2073</v>
      </c>
      <c r="G123" s="9" t="s">
        <v>1675</v>
      </c>
      <c r="H123" s="9">
        <v>5</v>
      </c>
      <c r="I123" s="9">
        <v>1</v>
      </c>
      <c r="J123" s="9">
        <v>190000</v>
      </c>
      <c r="K123" s="9">
        <v>190000</v>
      </c>
      <c r="L123" s="9">
        <v>0</v>
      </c>
      <c r="M123" s="9" t="s">
        <v>1625</v>
      </c>
      <c r="N123" s="9" t="s">
        <v>1652</v>
      </c>
      <c r="O123" s="9" t="s">
        <v>1421</v>
      </c>
      <c r="P123" s="9" t="s">
        <v>1687</v>
      </c>
      <c r="Q123" s="9" t="s">
        <v>1969</v>
      </c>
      <c r="R123" s="9" t="s">
        <v>1687</v>
      </c>
      <c r="S123" s="9" t="s">
        <v>1630</v>
      </c>
      <c r="T123" s="9" t="s">
        <v>1636</v>
      </c>
      <c r="U123" s="9" t="s">
        <v>1460</v>
      </c>
      <c r="V123" s="9"/>
      <c r="W123" s="9" t="s">
        <v>56</v>
      </c>
      <c r="X123" s="9"/>
      <c r="Y123" s="9"/>
    </row>
    <row r="124" ht="28" hidden="1" spans="1:25">
      <c r="A124" s="21">
        <v>540425201919023</v>
      </c>
      <c r="B124" s="22" t="s">
        <v>20</v>
      </c>
      <c r="C124" s="9" t="s">
        <v>2095</v>
      </c>
      <c r="D124" s="9" t="s">
        <v>2096</v>
      </c>
      <c r="E124" s="23">
        <v>43862</v>
      </c>
      <c r="F124" s="9" t="s">
        <v>2073</v>
      </c>
      <c r="G124" s="9" t="s">
        <v>1675</v>
      </c>
      <c r="H124" s="9">
        <v>5</v>
      </c>
      <c r="I124" s="9">
        <v>1</v>
      </c>
      <c r="J124" s="9">
        <v>85000</v>
      </c>
      <c r="K124" s="9">
        <v>85000</v>
      </c>
      <c r="L124" s="9">
        <v>0</v>
      </c>
      <c r="M124" s="9" t="s">
        <v>1625</v>
      </c>
      <c r="N124" s="9" t="s">
        <v>1652</v>
      </c>
      <c r="O124" s="9" t="s">
        <v>1421</v>
      </c>
      <c r="P124" s="9" t="s">
        <v>1687</v>
      </c>
      <c r="Q124" s="9" t="s">
        <v>1969</v>
      </c>
      <c r="R124" s="9" t="s">
        <v>1687</v>
      </c>
      <c r="S124" s="9" t="s">
        <v>1630</v>
      </c>
      <c r="T124" s="9" t="s">
        <v>1636</v>
      </c>
      <c r="U124" s="9" t="s">
        <v>1460</v>
      </c>
      <c r="V124" s="9"/>
      <c r="W124" s="9" t="s">
        <v>56</v>
      </c>
      <c r="X124" s="9"/>
      <c r="Y124" s="9"/>
    </row>
    <row r="125" hidden="1" spans="1:25">
      <c r="A125" s="21">
        <v>540425201919023</v>
      </c>
      <c r="B125" s="22" t="s">
        <v>20</v>
      </c>
      <c r="C125" s="9" t="s">
        <v>2097</v>
      </c>
      <c r="D125" s="9" t="s">
        <v>2098</v>
      </c>
      <c r="E125" s="23">
        <v>43862</v>
      </c>
      <c r="F125" s="9" t="s">
        <v>2073</v>
      </c>
      <c r="G125" s="9" t="s">
        <v>1675</v>
      </c>
      <c r="H125" s="9">
        <v>5</v>
      </c>
      <c r="I125" s="9">
        <v>5</v>
      </c>
      <c r="J125" s="9">
        <v>25000</v>
      </c>
      <c r="K125" s="9">
        <v>25000</v>
      </c>
      <c r="L125" s="9">
        <v>0</v>
      </c>
      <c r="M125" s="9" t="s">
        <v>1625</v>
      </c>
      <c r="N125" s="9" t="s">
        <v>1652</v>
      </c>
      <c r="O125" s="9" t="s">
        <v>1421</v>
      </c>
      <c r="P125" s="9" t="s">
        <v>1687</v>
      </c>
      <c r="Q125" s="9" t="s">
        <v>1969</v>
      </c>
      <c r="R125" s="9" t="s">
        <v>1687</v>
      </c>
      <c r="S125" s="9" t="s">
        <v>1630</v>
      </c>
      <c r="T125" s="9" t="s">
        <v>1636</v>
      </c>
      <c r="U125" s="9" t="s">
        <v>1460</v>
      </c>
      <c r="V125" s="9"/>
      <c r="W125" s="9" t="s">
        <v>56</v>
      </c>
      <c r="X125" s="9"/>
      <c r="Y125" s="9"/>
    </row>
    <row r="126" hidden="1" spans="1:25">
      <c r="A126" s="21">
        <v>540425201919023</v>
      </c>
      <c r="B126" s="22" t="s">
        <v>20</v>
      </c>
      <c r="C126" s="9" t="s">
        <v>2099</v>
      </c>
      <c r="D126" s="9" t="s">
        <v>2100</v>
      </c>
      <c r="E126" s="23">
        <v>43862</v>
      </c>
      <c r="F126" s="9" t="s">
        <v>2073</v>
      </c>
      <c r="G126" s="9" t="s">
        <v>1675</v>
      </c>
      <c r="H126" s="9">
        <v>5</v>
      </c>
      <c r="I126" s="9">
        <v>2</v>
      </c>
      <c r="J126" s="9">
        <v>10000</v>
      </c>
      <c r="K126" s="9">
        <v>10000</v>
      </c>
      <c r="L126" s="9">
        <v>0</v>
      </c>
      <c r="M126" s="9" t="s">
        <v>1625</v>
      </c>
      <c r="N126" s="9" t="s">
        <v>1652</v>
      </c>
      <c r="O126" s="9" t="s">
        <v>1421</v>
      </c>
      <c r="P126" s="9" t="s">
        <v>1687</v>
      </c>
      <c r="Q126" s="9" t="s">
        <v>1969</v>
      </c>
      <c r="R126" s="9" t="s">
        <v>1687</v>
      </c>
      <c r="S126" s="9" t="s">
        <v>1630</v>
      </c>
      <c r="T126" s="9" t="s">
        <v>1636</v>
      </c>
      <c r="U126" s="9" t="s">
        <v>1460</v>
      </c>
      <c r="V126" s="9"/>
      <c r="W126" s="9" t="s">
        <v>56</v>
      </c>
      <c r="X126" s="9"/>
      <c r="Y126" s="9"/>
    </row>
    <row r="127" ht="42" hidden="1" spans="1:25">
      <c r="A127" s="21">
        <v>540425201903001</v>
      </c>
      <c r="B127" s="22" t="s">
        <v>20</v>
      </c>
      <c r="C127" s="9" t="s">
        <v>2111</v>
      </c>
      <c r="D127" s="9" t="s">
        <v>2112</v>
      </c>
      <c r="E127" s="23">
        <v>43891</v>
      </c>
      <c r="F127" s="9" t="s">
        <v>2018</v>
      </c>
      <c r="G127" s="9" t="s">
        <v>1642</v>
      </c>
      <c r="H127" s="9">
        <v>20</v>
      </c>
      <c r="I127" s="9">
        <v>1</v>
      </c>
      <c r="J127" s="9">
        <v>2953339.46</v>
      </c>
      <c r="K127" s="9">
        <v>713723.7</v>
      </c>
      <c r="L127" s="9">
        <v>2239615.76</v>
      </c>
      <c r="M127" s="9" t="s">
        <v>1625</v>
      </c>
      <c r="N127" s="9" t="s">
        <v>1643</v>
      </c>
      <c r="O127" s="9" t="s">
        <v>1421</v>
      </c>
      <c r="P127" s="9" t="s">
        <v>1627</v>
      </c>
      <c r="Q127" s="9" t="s">
        <v>1628</v>
      </c>
      <c r="R127" s="9" t="s">
        <v>1629</v>
      </c>
      <c r="S127" s="9" t="s">
        <v>1630</v>
      </c>
      <c r="T127" s="9" t="s">
        <v>1700</v>
      </c>
      <c r="U127" s="9" t="s">
        <v>1469</v>
      </c>
      <c r="V127" s="9"/>
      <c r="W127" s="9" t="s">
        <v>56</v>
      </c>
      <c r="X127" s="9"/>
      <c r="Y127" s="9"/>
    </row>
    <row r="128" ht="28" hidden="1" spans="1:25">
      <c r="A128" s="21">
        <v>540425201907013</v>
      </c>
      <c r="B128" s="22" t="s">
        <v>20</v>
      </c>
      <c r="C128" s="9" t="s">
        <v>2126</v>
      </c>
      <c r="D128" s="9" t="s">
        <v>2127</v>
      </c>
      <c r="E128" s="23">
        <v>43831</v>
      </c>
      <c r="F128" s="9" t="s">
        <v>2128</v>
      </c>
      <c r="G128" s="9" t="s">
        <v>1642</v>
      </c>
      <c r="H128" s="9">
        <v>20</v>
      </c>
      <c r="I128" s="9">
        <v>1</v>
      </c>
      <c r="J128" s="9">
        <v>300000</v>
      </c>
      <c r="K128" s="9">
        <v>75000</v>
      </c>
      <c r="L128" s="9">
        <v>225000</v>
      </c>
      <c r="M128" s="9" t="s">
        <v>1625</v>
      </c>
      <c r="N128" s="9" t="s">
        <v>1643</v>
      </c>
      <c r="O128" s="9" t="s">
        <v>1421</v>
      </c>
      <c r="P128" s="9" t="s">
        <v>1627</v>
      </c>
      <c r="Q128" s="9" t="s">
        <v>1969</v>
      </c>
      <c r="R128" s="9" t="s">
        <v>1636</v>
      </c>
      <c r="S128" s="9" t="s">
        <v>1630</v>
      </c>
      <c r="T128" s="9" t="s">
        <v>1636</v>
      </c>
      <c r="U128" s="9" t="s">
        <v>1459</v>
      </c>
      <c r="V128" s="9"/>
      <c r="W128" s="9" t="s">
        <v>56</v>
      </c>
      <c r="X128" s="9"/>
      <c r="Y128" s="9"/>
    </row>
    <row r="129" ht="28" hidden="1" spans="1:25">
      <c r="A129" s="21">
        <v>540425202019029</v>
      </c>
      <c r="B129" s="22" t="s">
        <v>20</v>
      </c>
      <c r="C129" s="9" t="s">
        <v>2133</v>
      </c>
      <c r="D129" s="9" t="s">
        <v>2134</v>
      </c>
      <c r="E129" s="23">
        <v>43800</v>
      </c>
      <c r="F129" s="9" t="s">
        <v>2135</v>
      </c>
      <c r="G129" s="9" t="s">
        <v>1868</v>
      </c>
      <c r="H129" s="9">
        <v>10</v>
      </c>
      <c r="I129" s="9">
        <v>8</v>
      </c>
      <c r="J129" s="9">
        <v>500000</v>
      </c>
      <c r="K129" s="9" t="s">
        <v>1460</v>
      </c>
      <c r="L129" s="9" t="s">
        <v>1460</v>
      </c>
      <c r="M129" s="9" t="s">
        <v>1685</v>
      </c>
      <c r="N129" s="9" t="s">
        <v>1866</v>
      </c>
      <c r="O129" s="9" t="s">
        <v>1421</v>
      </c>
      <c r="P129" s="9" t="s">
        <v>1627</v>
      </c>
      <c r="Q129" s="9" t="s">
        <v>1969</v>
      </c>
      <c r="R129" s="9" t="s">
        <v>1636</v>
      </c>
      <c r="S129" s="9" t="s">
        <v>1630</v>
      </c>
      <c r="T129" s="9" t="s">
        <v>1636</v>
      </c>
      <c r="U129" s="9" t="s">
        <v>1516</v>
      </c>
      <c r="V129" s="9"/>
      <c r="W129" s="9" t="s">
        <v>56</v>
      </c>
      <c r="X129" s="9"/>
      <c r="Y129" s="9"/>
    </row>
    <row r="130" ht="28" hidden="1" spans="1:25">
      <c r="A130" s="21">
        <v>540425202019029</v>
      </c>
      <c r="B130" s="22" t="s">
        <v>20</v>
      </c>
      <c r="C130" s="9" t="s">
        <v>2133</v>
      </c>
      <c r="D130" s="9" t="s">
        <v>2134</v>
      </c>
      <c r="E130" s="23">
        <v>44166</v>
      </c>
      <c r="F130" s="9" t="s">
        <v>2135</v>
      </c>
      <c r="G130" s="9" t="s">
        <v>1868</v>
      </c>
      <c r="H130" s="9">
        <v>10</v>
      </c>
      <c r="I130" s="9">
        <v>8</v>
      </c>
      <c r="J130" s="9">
        <v>500000</v>
      </c>
      <c r="K130" s="9" t="s">
        <v>1460</v>
      </c>
      <c r="L130" s="9" t="s">
        <v>1460</v>
      </c>
      <c r="M130" s="9" t="s">
        <v>1685</v>
      </c>
      <c r="N130" s="9" t="s">
        <v>1866</v>
      </c>
      <c r="O130" s="9" t="s">
        <v>1421</v>
      </c>
      <c r="P130" s="9" t="s">
        <v>1627</v>
      </c>
      <c r="Q130" s="9" t="s">
        <v>1969</v>
      </c>
      <c r="R130" s="9" t="s">
        <v>1636</v>
      </c>
      <c r="S130" s="9" t="s">
        <v>1630</v>
      </c>
      <c r="T130" s="9" t="s">
        <v>1636</v>
      </c>
      <c r="U130" s="9" t="s">
        <v>1516</v>
      </c>
      <c r="V130" s="9"/>
      <c r="W130" s="9" t="s">
        <v>56</v>
      </c>
      <c r="X130" s="9"/>
      <c r="Y130" s="9"/>
    </row>
    <row r="131" ht="28" hidden="1" spans="1:25">
      <c r="A131" s="21">
        <v>540425201811001</v>
      </c>
      <c r="B131" s="22" t="s">
        <v>20</v>
      </c>
      <c r="C131" s="9" t="s">
        <v>2137</v>
      </c>
      <c r="D131" s="9" t="s">
        <v>2138</v>
      </c>
      <c r="E131" s="23">
        <v>43435</v>
      </c>
      <c r="F131" s="9" t="s">
        <v>2135</v>
      </c>
      <c r="G131" s="9" t="s">
        <v>1865</v>
      </c>
      <c r="H131" s="9">
        <v>10</v>
      </c>
      <c r="I131" s="9">
        <v>280000</v>
      </c>
      <c r="J131" s="9">
        <v>280000</v>
      </c>
      <c r="K131" s="9">
        <v>280000</v>
      </c>
      <c r="L131" s="9">
        <v>0</v>
      </c>
      <c r="M131" s="9" t="s">
        <v>1685</v>
      </c>
      <c r="N131" s="9" t="s">
        <v>1866</v>
      </c>
      <c r="O131" s="9" t="s">
        <v>1421</v>
      </c>
      <c r="P131" s="9" t="s">
        <v>1687</v>
      </c>
      <c r="Q131" s="9" t="s">
        <v>1969</v>
      </c>
      <c r="R131" s="9" t="s">
        <v>1689</v>
      </c>
      <c r="S131" s="9" t="s">
        <v>1630</v>
      </c>
      <c r="T131" s="9" t="s">
        <v>1636</v>
      </c>
      <c r="U131" s="9" t="s">
        <v>1516</v>
      </c>
      <c r="V131" s="9"/>
      <c r="W131" s="9" t="s">
        <v>56</v>
      </c>
      <c r="X131" s="9"/>
      <c r="Y131" s="9"/>
    </row>
    <row r="132" ht="28" hidden="1" spans="1:25">
      <c r="A132" s="21">
        <v>540425201807011</v>
      </c>
      <c r="B132" s="22" t="s">
        <v>20</v>
      </c>
      <c r="C132" s="489" t="s">
        <v>2139</v>
      </c>
      <c r="D132" s="9" t="s">
        <v>1698</v>
      </c>
      <c r="E132" s="9">
        <v>2019.11</v>
      </c>
      <c r="F132" s="9" t="s">
        <v>2140</v>
      </c>
      <c r="G132" s="9" t="s">
        <v>2141</v>
      </c>
      <c r="H132" s="9">
        <v>20</v>
      </c>
      <c r="I132" s="9">
        <v>1</v>
      </c>
      <c r="J132" s="9">
        <v>71137.23</v>
      </c>
      <c r="K132" s="9">
        <v>18377.12</v>
      </c>
      <c r="L132" s="9">
        <v>52760.11</v>
      </c>
      <c r="M132" s="9" t="s">
        <v>1625</v>
      </c>
      <c r="N132" s="9" t="s">
        <v>1643</v>
      </c>
      <c r="O132" s="9" t="s">
        <v>1421</v>
      </c>
      <c r="P132" s="9" t="s">
        <v>1627</v>
      </c>
      <c r="Q132" s="9" t="s">
        <v>1688</v>
      </c>
      <c r="R132" s="9" t="s">
        <v>1636</v>
      </c>
      <c r="S132" s="9" t="s">
        <v>1630</v>
      </c>
      <c r="T132" s="9" t="s">
        <v>1636</v>
      </c>
      <c r="U132" s="9" t="s">
        <v>1519</v>
      </c>
      <c r="V132" s="9"/>
      <c r="W132" s="9" t="s">
        <v>56</v>
      </c>
      <c r="X132" s="9"/>
      <c r="Y132" s="9"/>
    </row>
    <row r="133" ht="28" hidden="1" spans="1:25">
      <c r="A133" s="21">
        <v>540425201807011</v>
      </c>
      <c r="B133" s="22" t="s">
        <v>20</v>
      </c>
      <c r="C133" s="489" t="s">
        <v>2142</v>
      </c>
      <c r="D133" s="9" t="s">
        <v>2143</v>
      </c>
      <c r="E133" s="9">
        <v>2019.11</v>
      </c>
      <c r="F133" s="9" t="s">
        <v>2140</v>
      </c>
      <c r="G133" s="9" t="s">
        <v>2144</v>
      </c>
      <c r="H133" s="9">
        <v>20</v>
      </c>
      <c r="I133" s="9">
        <v>1</v>
      </c>
      <c r="J133" s="9">
        <v>126916.49</v>
      </c>
      <c r="K133" s="9">
        <v>32786.76</v>
      </c>
      <c r="L133" s="9">
        <v>94129.73</v>
      </c>
      <c r="M133" s="9" t="s">
        <v>1625</v>
      </c>
      <c r="N133" s="9" t="s">
        <v>1643</v>
      </c>
      <c r="O133" s="9" t="s">
        <v>1421</v>
      </c>
      <c r="P133" s="9" t="s">
        <v>1627</v>
      </c>
      <c r="Q133" s="9" t="s">
        <v>1688</v>
      </c>
      <c r="R133" s="9" t="s">
        <v>1636</v>
      </c>
      <c r="S133" s="9" t="s">
        <v>1630</v>
      </c>
      <c r="T133" s="9" t="s">
        <v>1636</v>
      </c>
      <c r="U133" s="9" t="s">
        <v>1519</v>
      </c>
      <c r="V133" s="9"/>
      <c r="W133" s="9" t="s">
        <v>56</v>
      </c>
      <c r="X133" s="9"/>
      <c r="Y133" s="9"/>
    </row>
    <row r="134" ht="28" hidden="1" spans="1:25">
      <c r="A134" s="21">
        <v>540425201807011</v>
      </c>
      <c r="B134" s="22" t="s">
        <v>20</v>
      </c>
      <c r="C134" s="489" t="s">
        <v>2145</v>
      </c>
      <c r="D134" s="9" t="s">
        <v>2146</v>
      </c>
      <c r="E134" s="9">
        <v>2019.11</v>
      </c>
      <c r="F134" s="9" t="s">
        <v>2140</v>
      </c>
      <c r="G134" s="9" t="s">
        <v>2147</v>
      </c>
      <c r="H134" s="9">
        <v>20</v>
      </c>
      <c r="I134" s="9">
        <v>1</v>
      </c>
      <c r="J134" s="9">
        <v>111146.28</v>
      </c>
      <c r="K134" s="9">
        <v>28712.79</v>
      </c>
      <c r="L134" s="9">
        <v>82433.49</v>
      </c>
      <c r="M134" s="9" t="s">
        <v>1625</v>
      </c>
      <c r="N134" s="9" t="s">
        <v>1643</v>
      </c>
      <c r="O134" s="9" t="s">
        <v>1421</v>
      </c>
      <c r="P134" s="9" t="s">
        <v>1627</v>
      </c>
      <c r="Q134" s="9" t="s">
        <v>1688</v>
      </c>
      <c r="R134" s="9" t="s">
        <v>1636</v>
      </c>
      <c r="S134" s="9" t="s">
        <v>1630</v>
      </c>
      <c r="T134" s="9" t="s">
        <v>1636</v>
      </c>
      <c r="U134" s="9" t="s">
        <v>1519</v>
      </c>
      <c r="V134" s="9"/>
      <c r="W134" s="9" t="s">
        <v>56</v>
      </c>
      <c r="X134" s="9"/>
      <c r="Y134" s="9"/>
    </row>
    <row r="135" ht="28" hidden="1" spans="1:25">
      <c r="A135" s="21">
        <v>540425201807011</v>
      </c>
      <c r="B135" s="22" t="s">
        <v>20</v>
      </c>
      <c r="C135" s="489" t="s">
        <v>2148</v>
      </c>
      <c r="D135" s="9" t="s">
        <v>2149</v>
      </c>
      <c r="E135" s="9">
        <v>2019.11</v>
      </c>
      <c r="F135" s="9" t="s">
        <v>2140</v>
      </c>
      <c r="G135" s="9" t="s">
        <v>2150</v>
      </c>
      <c r="H135" s="9">
        <v>10</v>
      </c>
      <c r="I135" s="9">
        <v>1</v>
      </c>
      <c r="J135" s="9">
        <v>64000</v>
      </c>
      <c r="K135" s="9">
        <v>33066.67</v>
      </c>
      <c r="L135" s="9">
        <v>30933.33</v>
      </c>
      <c r="M135" s="9" t="s">
        <v>1625</v>
      </c>
      <c r="N135" s="9" t="s">
        <v>1626</v>
      </c>
      <c r="O135" s="9" t="s">
        <v>1421</v>
      </c>
      <c r="P135" s="9" t="s">
        <v>1627</v>
      </c>
      <c r="Q135" s="9" t="s">
        <v>1688</v>
      </c>
      <c r="R135" s="9" t="s">
        <v>1636</v>
      </c>
      <c r="S135" s="9" t="s">
        <v>1630</v>
      </c>
      <c r="T135" s="9" t="s">
        <v>1636</v>
      </c>
      <c r="U135" s="9" t="s">
        <v>1519</v>
      </c>
      <c r="V135" s="9"/>
      <c r="W135" s="9" t="s">
        <v>56</v>
      </c>
      <c r="X135" s="9"/>
      <c r="Y135" s="9"/>
    </row>
    <row r="136" ht="28" hidden="1" spans="1:25">
      <c r="A136" s="21">
        <v>540425201807011</v>
      </c>
      <c r="B136" s="22" t="s">
        <v>20</v>
      </c>
      <c r="C136" s="489" t="s">
        <v>2151</v>
      </c>
      <c r="D136" s="9" t="s">
        <v>1709</v>
      </c>
      <c r="E136" s="9">
        <v>2019.11</v>
      </c>
      <c r="F136" s="9" t="s">
        <v>2140</v>
      </c>
      <c r="G136" s="9" t="s">
        <v>2152</v>
      </c>
      <c r="H136" s="9">
        <v>3</v>
      </c>
      <c r="I136" s="9">
        <v>104</v>
      </c>
      <c r="J136" s="9">
        <v>102000</v>
      </c>
      <c r="K136" s="9"/>
      <c r="L136" s="9">
        <v>0</v>
      </c>
      <c r="M136" s="9" t="s">
        <v>1685</v>
      </c>
      <c r="N136" s="9" t="s">
        <v>1686</v>
      </c>
      <c r="O136" s="9" t="s">
        <v>1421</v>
      </c>
      <c r="P136" s="9" t="s">
        <v>1687</v>
      </c>
      <c r="Q136" s="9" t="s">
        <v>1688</v>
      </c>
      <c r="R136" s="9" t="s">
        <v>1689</v>
      </c>
      <c r="S136" s="9" t="s">
        <v>1630</v>
      </c>
      <c r="T136" s="9" t="s">
        <v>1636</v>
      </c>
      <c r="U136" s="9" t="s">
        <v>1519</v>
      </c>
      <c r="V136" s="9"/>
      <c r="W136" s="9" t="s">
        <v>56</v>
      </c>
      <c r="X136" s="9"/>
      <c r="Y136" s="9"/>
    </row>
    <row r="137" ht="28" hidden="1" spans="1:25">
      <c r="A137" s="21">
        <v>540425201917017</v>
      </c>
      <c r="B137" s="22" t="s">
        <v>20</v>
      </c>
      <c r="C137" s="489" t="s">
        <v>2153</v>
      </c>
      <c r="D137" s="9" t="s">
        <v>2154</v>
      </c>
      <c r="E137" s="9">
        <v>2015.12</v>
      </c>
      <c r="F137" s="9" t="s">
        <v>2155</v>
      </c>
      <c r="G137" s="9" t="s">
        <v>1642</v>
      </c>
      <c r="H137" s="9">
        <v>20</v>
      </c>
      <c r="I137" s="9">
        <v>1</v>
      </c>
      <c r="J137" s="9">
        <v>600000</v>
      </c>
      <c r="K137" s="9">
        <v>272500</v>
      </c>
      <c r="L137" s="9">
        <v>327500</v>
      </c>
      <c r="M137" s="9" t="s">
        <v>1625</v>
      </c>
      <c r="N137" s="9" t="s">
        <v>1643</v>
      </c>
      <c r="O137" s="9" t="s">
        <v>1421</v>
      </c>
      <c r="P137" s="9" t="s">
        <v>1627</v>
      </c>
      <c r="Q137" s="9" t="s">
        <v>1688</v>
      </c>
      <c r="R137" s="9" t="s">
        <v>1636</v>
      </c>
      <c r="S137" s="9" t="s">
        <v>1630</v>
      </c>
      <c r="T137" s="9" t="s">
        <v>1636</v>
      </c>
      <c r="U137" s="9" t="s">
        <v>1566</v>
      </c>
      <c r="V137" s="9"/>
      <c r="W137" s="9" t="s">
        <v>56</v>
      </c>
      <c r="X137" s="9"/>
      <c r="Y137" s="9"/>
    </row>
    <row r="138" ht="28" hidden="1" spans="1:25">
      <c r="A138" s="21">
        <v>540425202120032</v>
      </c>
      <c r="B138" s="22" t="s">
        <v>20</v>
      </c>
      <c r="C138" s="489" t="s">
        <v>2169</v>
      </c>
      <c r="D138" s="9" t="s">
        <v>2170</v>
      </c>
      <c r="E138" s="9">
        <v>2021.12</v>
      </c>
      <c r="F138" s="9" t="s">
        <v>2171</v>
      </c>
      <c r="G138" s="9" t="s">
        <v>1865</v>
      </c>
      <c r="H138" s="9">
        <v>10</v>
      </c>
      <c r="I138" s="9">
        <v>1384</v>
      </c>
      <c r="J138" s="9">
        <v>285898.97</v>
      </c>
      <c r="K138" s="9">
        <v>88152.18</v>
      </c>
      <c r="L138" s="9">
        <v>197746.79</v>
      </c>
      <c r="M138" s="9" t="s">
        <v>1685</v>
      </c>
      <c r="N138" s="9" t="s">
        <v>1866</v>
      </c>
      <c r="O138" s="9" t="s">
        <v>1421</v>
      </c>
      <c r="P138" s="9" t="s">
        <v>1627</v>
      </c>
      <c r="Q138" s="9" t="s">
        <v>1688</v>
      </c>
      <c r="R138" s="9" t="s">
        <v>1636</v>
      </c>
      <c r="S138" s="9" t="s">
        <v>1630</v>
      </c>
      <c r="T138" s="9" t="s">
        <v>1700</v>
      </c>
      <c r="U138" s="9" t="s">
        <v>1070</v>
      </c>
      <c r="V138" s="9"/>
      <c r="W138" s="9" t="s">
        <v>56</v>
      </c>
      <c r="X138" s="9"/>
      <c r="Y138" s="9"/>
    </row>
    <row r="139" ht="28" hidden="1" spans="1:25">
      <c r="A139" s="21">
        <v>540425202120032</v>
      </c>
      <c r="B139" s="22" t="s">
        <v>20</v>
      </c>
      <c r="C139" s="489" t="s">
        <v>2172</v>
      </c>
      <c r="D139" s="9" t="s">
        <v>2167</v>
      </c>
      <c r="E139" s="9">
        <v>2021.12</v>
      </c>
      <c r="F139" s="9" t="s">
        <v>2171</v>
      </c>
      <c r="G139" s="9" t="s">
        <v>2168</v>
      </c>
      <c r="H139" s="9">
        <v>10</v>
      </c>
      <c r="I139" s="9">
        <v>1</v>
      </c>
      <c r="J139" s="9">
        <v>374135.07</v>
      </c>
      <c r="K139" s="9">
        <v>115358.31</v>
      </c>
      <c r="L139" s="9">
        <v>258776.76</v>
      </c>
      <c r="M139" s="9" t="s">
        <v>1625</v>
      </c>
      <c r="N139" s="9" t="s">
        <v>1626</v>
      </c>
      <c r="O139" s="9" t="s">
        <v>1421</v>
      </c>
      <c r="P139" s="9" t="s">
        <v>1627</v>
      </c>
      <c r="Q139" s="9" t="s">
        <v>1688</v>
      </c>
      <c r="R139" s="9" t="s">
        <v>1636</v>
      </c>
      <c r="S139" s="9" t="s">
        <v>1630</v>
      </c>
      <c r="T139" s="9" t="s">
        <v>1700</v>
      </c>
      <c r="U139" s="9" t="s">
        <v>1070</v>
      </c>
      <c r="V139" s="9"/>
      <c r="W139" s="9" t="s">
        <v>56</v>
      </c>
      <c r="X139" s="9"/>
      <c r="Y139" s="9"/>
    </row>
    <row r="140" ht="28" hidden="1" spans="1:25">
      <c r="A140" s="21">
        <v>540425202120032</v>
      </c>
      <c r="B140" s="22" t="s">
        <v>20</v>
      </c>
      <c r="C140" s="489" t="s">
        <v>2173</v>
      </c>
      <c r="D140" s="9" t="s">
        <v>1894</v>
      </c>
      <c r="E140" s="9">
        <v>2021.12</v>
      </c>
      <c r="F140" s="9" t="s">
        <v>2171</v>
      </c>
      <c r="G140" s="9" t="s">
        <v>2174</v>
      </c>
      <c r="H140" s="9">
        <v>10</v>
      </c>
      <c r="I140" s="9">
        <v>1</v>
      </c>
      <c r="J140" s="9">
        <v>195639.97</v>
      </c>
      <c r="K140" s="9">
        <v>60322.32</v>
      </c>
      <c r="L140" s="9">
        <v>135317.65</v>
      </c>
      <c r="M140" s="9" t="s">
        <v>1625</v>
      </c>
      <c r="N140" s="9" t="s">
        <v>1626</v>
      </c>
      <c r="O140" s="9" t="s">
        <v>1421</v>
      </c>
      <c r="P140" s="9" t="s">
        <v>1627</v>
      </c>
      <c r="Q140" s="9" t="s">
        <v>1688</v>
      </c>
      <c r="R140" s="9" t="s">
        <v>1636</v>
      </c>
      <c r="S140" s="9" t="s">
        <v>1630</v>
      </c>
      <c r="T140" s="9" t="s">
        <v>1700</v>
      </c>
      <c r="U140" s="9" t="s">
        <v>1070</v>
      </c>
      <c r="V140" s="9"/>
      <c r="W140" s="9" t="s">
        <v>56</v>
      </c>
      <c r="X140" s="9"/>
      <c r="Y140" s="9"/>
    </row>
    <row r="141" ht="28" hidden="1" spans="1:25">
      <c r="A141" s="21">
        <v>540425201919022</v>
      </c>
      <c r="B141" s="22" t="s">
        <v>20</v>
      </c>
      <c r="C141" s="489" t="s">
        <v>2175</v>
      </c>
      <c r="D141" s="9" t="s">
        <v>2176</v>
      </c>
      <c r="E141" s="9">
        <v>2019.7</v>
      </c>
      <c r="F141" s="9" t="s">
        <v>2171</v>
      </c>
      <c r="G141" s="9" t="s">
        <v>1675</v>
      </c>
      <c r="H141" s="9">
        <v>10</v>
      </c>
      <c r="I141" s="9">
        <v>1</v>
      </c>
      <c r="J141" s="9">
        <v>28800</v>
      </c>
      <c r="K141" s="9">
        <v>15840</v>
      </c>
      <c r="L141" s="9">
        <v>12960</v>
      </c>
      <c r="M141" s="9" t="s">
        <v>1625</v>
      </c>
      <c r="N141" s="9" t="s">
        <v>1652</v>
      </c>
      <c r="O141" s="9" t="s">
        <v>1421</v>
      </c>
      <c r="P141" s="9" t="s">
        <v>1705</v>
      </c>
      <c r="Q141" s="9" t="s">
        <v>1688</v>
      </c>
      <c r="R141" s="9" t="s">
        <v>1687</v>
      </c>
      <c r="S141" s="9" t="s">
        <v>1630</v>
      </c>
      <c r="T141" s="9" t="s">
        <v>1636</v>
      </c>
      <c r="U141" s="9" t="s">
        <v>1070</v>
      </c>
      <c r="V141" s="9"/>
      <c r="W141" s="9" t="s">
        <v>56</v>
      </c>
      <c r="X141" s="9"/>
      <c r="Y141" s="9"/>
    </row>
    <row r="142" ht="28" hidden="1" spans="1:25">
      <c r="A142" s="21">
        <v>540425201919022</v>
      </c>
      <c r="B142" s="22" t="s">
        <v>20</v>
      </c>
      <c r="C142" s="489" t="s">
        <v>2177</v>
      </c>
      <c r="D142" s="9" t="s">
        <v>2178</v>
      </c>
      <c r="E142" s="9">
        <v>2019.7</v>
      </c>
      <c r="F142" s="9" t="s">
        <v>2171</v>
      </c>
      <c r="G142" s="9" t="s">
        <v>1675</v>
      </c>
      <c r="H142" s="9">
        <v>10</v>
      </c>
      <c r="I142" s="9">
        <v>2</v>
      </c>
      <c r="J142" s="9">
        <v>15000</v>
      </c>
      <c r="K142" s="9">
        <v>8250</v>
      </c>
      <c r="L142" s="9">
        <v>6750</v>
      </c>
      <c r="M142" s="9" t="s">
        <v>1625</v>
      </c>
      <c r="N142" s="9" t="s">
        <v>1652</v>
      </c>
      <c r="O142" s="9" t="s">
        <v>1421</v>
      </c>
      <c r="P142" s="9" t="s">
        <v>1627</v>
      </c>
      <c r="Q142" s="9" t="s">
        <v>1688</v>
      </c>
      <c r="R142" s="9" t="s">
        <v>1636</v>
      </c>
      <c r="S142" s="9" t="s">
        <v>1630</v>
      </c>
      <c r="T142" s="9" t="s">
        <v>1636</v>
      </c>
      <c r="U142" s="9" t="s">
        <v>1070</v>
      </c>
      <c r="V142" s="9"/>
      <c r="W142" s="9" t="s">
        <v>56</v>
      </c>
      <c r="X142" s="9"/>
      <c r="Y142" s="9"/>
    </row>
    <row r="143" ht="28" hidden="1" spans="1:25">
      <c r="A143" s="21">
        <v>540425201919022</v>
      </c>
      <c r="B143" s="22" t="s">
        <v>20</v>
      </c>
      <c r="C143" s="489" t="s">
        <v>2179</v>
      </c>
      <c r="D143" s="9" t="s">
        <v>2180</v>
      </c>
      <c r="E143" s="9">
        <v>2019.7</v>
      </c>
      <c r="F143" s="9" t="s">
        <v>2171</v>
      </c>
      <c r="G143" s="9" t="s">
        <v>1675</v>
      </c>
      <c r="H143" s="9">
        <v>10</v>
      </c>
      <c r="I143" s="9">
        <v>1</v>
      </c>
      <c r="J143" s="9">
        <v>14500</v>
      </c>
      <c r="K143" s="9">
        <v>7975</v>
      </c>
      <c r="L143" s="9">
        <v>6525</v>
      </c>
      <c r="M143" s="9" t="s">
        <v>1625</v>
      </c>
      <c r="N143" s="9" t="s">
        <v>1652</v>
      </c>
      <c r="O143" s="9" t="s">
        <v>1421</v>
      </c>
      <c r="P143" s="9" t="s">
        <v>1627</v>
      </c>
      <c r="Q143" s="9" t="s">
        <v>1688</v>
      </c>
      <c r="R143" s="9" t="s">
        <v>1636</v>
      </c>
      <c r="S143" s="9" t="s">
        <v>1630</v>
      </c>
      <c r="T143" s="9" t="s">
        <v>1636</v>
      </c>
      <c r="U143" s="9" t="s">
        <v>1070</v>
      </c>
      <c r="V143" s="9"/>
      <c r="W143" s="9" t="s">
        <v>56</v>
      </c>
      <c r="X143" s="9"/>
      <c r="Y143" s="9"/>
    </row>
    <row r="144" ht="28" hidden="1" spans="1:25">
      <c r="A144" s="21">
        <v>540425201919022</v>
      </c>
      <c r="B144" s="22" t="s">
        <v>20</v>
      </c>
      <c r="C144" s="489" t="s">
        <v>2181</v>
      </c>
      <c r="D144" s="9" t="s">
        <v>2182</v>
      </c>
      <c r="E144" s="9">
        <v>2019.7</v>
      </c>
      <c r="F144" s="9" t="s">
        <v>2171</v>
      </c>
      <c r="G144" s="9" t="s">
        <v>1675</v>
      </c>
      <c r="H144" s="9">
        <v>10</v>
      </c>
      <c r="I144" s="9">
        <v>1</v>
      </c>
      <c r="J144" s="9">
        <v>13500</v>
      </c>
      <c r="K144" s="9">
        <v>7425</v>
      </c>
      <c r="L144" s="9">
        <v>6075</v>
      </c>
      <c r="M144" s="9" t="s">
        <v>1625</v>
      </c>
      <c r="N144" s="9" t="s">
        <v>1652</v>
      </c>
      <c r="O144" s="9" t="s">
        <v>1421</v>
      </c>
      <c r="P144" s="9" t="s">
        <v>1627</v>
      </c>
      <c r="Q144" s="9" t="s">
        <v>1688</v>
      </c>
      <c r="R144" s="9" t="s">
        <v>1636</v>
      </c>
      <c r="S144" s="9" t="s">
        <v>1630</v>
      </c>
      <c r="T144" s="9" t="s">
        <v>1636</v>
      </c>
      <c r="U144" s="9" t="s">
        <v>1070</v>
      </c>
      <c r="V144" s="9"/>
      <c r="W144" s="9" t="s">
        <v>56</v>
      </c>
      <c r="X144" s="9"/>
      <c r="Y144" s="9"/>
    </row>
    <row r="145" ht="28" hidden="1" spans="1:25">
      <c r="A145" s="21">
        <v>540425201919022</v>
      </c>
      <c r="B145" s="22" t="s">
        <v>20</v>
      </c>
      <c r="C145" s="489" t="s">
        <v>2183</v>
      </c>
      <c r="D145" s="9" t="s">
        <v>2184</v>
      </c>
      <c r="E145" s="9">
        <v>2019.7</v>
      </c>
      <c r="F145" s="9" t="s">
        <v>2171</v>
      </c>
      <c r="G145" s="9" t="s">
        <v>1675</v>
      </c>
      <c r="H145" s="9">
        <v>10</v>
      </c>
      <c r="I145" s="9">
        <v>2</v>
      </c>
      <c r="J145" s="9">
        <v>24000</v>
      </c>
      <c r="K145" s="9">
        <v>13200</v>
      </c>
      <c r="L145" s="9">
        <v>10800</v>
      </c>
      <c r="M145" s="9" t="s">
        <v>1625</v>
      </c>
      <c r="N145" s="9" t="s">
        <v>1652</v>
      </c>
      <c r="O145" s="9" t="s">
        <v>1421</v>
      </c>
      <c r="P145" s="9" t="s">
        <v>1627</v>
      </c>
      <c r="Q145" s="9" t="s">
        <v>1688</v>
      </c>
      <c r="R145" s="9" t="s">
        <v>1636</v>
      </c>
      <c r="S145" s="9" t="s">
        <v>1630</v>
      </c>
      <c r="T145" s="9" t="s">
        <v>1636</v>
      </c>
      <c r="U145" s="9" t="s">
        <v>1070</v>
      </c>
      <c r="V145" s="9"/>
      <c r="W145" s="9" t="s">
        <v>56</v>
      </c>
      <c r="X145" s="9"/>
      <c r="Y145" s="9"/>
    </row>
    <row r="146" ht="28" hidden="1" spans="1:25">
      <c r="A146" s="21">
        <v>540425201919022</v>
      </c>
      <c r="B146" s="22" t="s">
        <v>20</v>
      </c>
      <c r="C146" s="489" t="s">
        <v>2185</v>
      </c>
      <c r="D146" s="9" t="s">
        <v>2186</v>
      </c>
      <c r="E146" s="9">
        <v>2019.7</v>
      </c>
      <c r="F146" s="9" t="s">
        <v>2171</v>
      </c>
      <c r="G146" s="9" t="s">
        <v>1675</v>
      </c>
      <c r="H146" s="9">
        <v>10</v>
      </c>
      <c r="I146" s="9">
        <v>1</v>
      </c>
      <c r="J146" s="9">
        <v>12500</v>
      </c>
      <c r="K146" s="9">
        <v>6875</v>
      </c>
      <c r="L146" s="9">
        <v>5625</v>
      </c>
      <c r="M146" s="9" t="s">
        <v>1625</v>
      </c>
      <c r="N146" s="9" t="s">
        <v>1652</v>
      </c>
      <c r="O146" s="9" t="s">
        <v>1421</v>
      </c>
      <c r="P146" s="9" t="s">
        <v>1627</v>
      </c>
      <c r="Q146" s="9" t="s">
        <v>1688</v>
      </c>
      <c r="R146" s="9" t="s">
        <v>1636</v>
      </c>
      <c r="S146" s="9" t="s">
        <v>1630</v>
      </c>
      <c r="T146" s="9" t="s">
        <v>1636</v>
      </c>
      <c r="U146" s="9" t="s">
        <v>1070</v>
      </c>
      <c r="V146" s="9"/>
      <c r="W146" s="9" t="s">
        <v>56</v>
      </c>
      <c r="X146" s="9"/>
      <c r="Y146" s="9"/>
    </row>
    <row r="147" ht="28" hidden="1" spans="1:25">
      <c r="A147" s="21">
        <v>540425201919022</v>
      </c>
      <c r="B147" s="22" t="s">
        <v>20</v>
      </c>
      <c r="C147" s="489" t="s">
        <v>2187</v>
      </c>
      <c r="D147" s="9" t="s">
        <v>2188</v>
      </c>
      <c r="E147" s="9">
        <v>2019.7</v>
      </c>
      <c r="F147" s="9" t="s">
        <v>2171</v>
      </c>
      <c r="G147" s="9" t="s">
        <v>1675</v>
      </c>
      <c r="H147" s="9">
        <v>10</v>
      </c>
      <c r="I147" s="9">
        <v>2</v>
      </c>
      <c r="J147" s="9">
        <v>19000</v>
      </c>
      <c r="K147" s="9">
        <v>10450</v>
      </c>
      <c r="L147" s="9">
        <v>8550</v>
      </c>
      <c r="M147" s="9" t="s">
        <v>1625</v>
      </c>
      <c r="N147" s="9" t="s">
        <v>1652</v>
      </c>
      <c r="O147" s="9" t="s">
        <v>1421</v>
      </c>
      <c r="P147" s="9" t="s">
        <v>1627</v>
      </c>
      <c r="Q147" s="9" t="s">
        <v>1688</v>
      </c>
      <c r="R147" s="9" t="s">
        <v>1636</v>
      </c>
      <c r="S147" s="9" t="s">
        <v>1630</v>
      </c>
      <c r="T147" s="9" t="s">
        <v>1636</v>
      </c>
      <c r="U147" s="9" t="s">
        <v>1070</v>
      </c>
      <c r="V147" s="9"/>
      <c r="W147" s="9" t="s">
        <v>56</v>
      </c>
      <c r="X147" s="9"/>
      <c r="Y147" s="9"/>
    </row>
    <row r="148" ht="28" hidden="1" spans="1:25">
      <c r="A148" s="21">
        <v>540425201919022</v>
      </c>
      <c r="B148" s="22" t="s">
        <v>20</v>
      </c>
      <c r="C148" s="489" t="s">
        <v>2189</v>
      </c>
      <c r="D148" s="9" t="s">
        <v>2190</v>
      </c>
      <c r="E148" s="9">
        <v>2019.7</v>
      </c>
      <c r="F148" s="9" t="s">
        <v>2171</v>
      </c>
      <c r="G148" s="9" t="s">
        <v>1675</v>
      </c>
      <c r="H148" s="9">
        <v>10</v>
      </c>
      <c r="I148" s="9">
        <v>1</v>
      </c>
      <c r="J148" s="9">
        <v>21400</v>
      </c>
      <c r="K148" s="9">
        <v>11770</v>
      </c>
      <c r="L148" s="9">
        <v>9630</v>
      </c>
      <c r="M148" s="9" t="s">
        <v>1625</v>
      </c>
      <c r="N148" s="9" t="s">
        <v>1652</v>
      </c>
      <c r="O148" s="9" t="s">
        <v>1421</v>
      </c>
      <c r="P148" s="9" t="s">
        <v>1627</v>
      </c>
      <c r="Q148" s="9" t="s">
        <v>1688</v>
      </c>
      <c r="R148" s="9" t="s">
        <v>1636</v>
      </c>
      <c r="S148" s="9" t="s">
        <v>1630</v>
      </c>
      <c r="T148" s="9" t="s">
        <v>1636</v>
      </c>
      <c r="U148" s="9" t="s">
        <v>1070</v>
      </c>
      <c r="V148" s="9"/>
      <c r="W148" s="9" t="s">
        <v>56</v>
      </c>
      <c r="X148" s="9"/>
      <c r="Y148" s="9"/>
    </row>
    <row r="149" hidden="1" spans="1:25">
      <c r="A149" s="21">
        <v>540425201919024</v>
      </c>
      <c r="B149" s="22" t="s">
        <v>20</v>
      </c>
      <c r="C149" s="489" t="s">
        <v>2195</v>
      </c>
      <c r="D149" s="9" t="s">
        <v>921</v>
      </c>
      <c r="E149" s="9">
        <v>2019.4</v>
      </c>
      <c r="F149" s="9" t="s">
        <v>2196</v>
      </c>
      <c r="G149" s="9" t="s">
        <v>1865</v>
      </c>
      <c r="H149" s="9">
        <v>10</v>
      </c>
      <c r="I149" s="9">
        <v>45703</v>
      </c>
      <c r="J149" s="9">
        <v>6933400</v>
      </c>
      <c r="K149" s="9">
        <v>6933400</v>
      </c>
      <c r="L149" s="9">
        <v>0</v>
      </c>
      <c r="M149" s="9" t="s">
        <v>1685</v>
      </c>
      <c r="N149" s="9" t="s">
        <v>1866</v>
      </c>
      <c r="O149" s="9" t="s">
        <v>1421</v>
      </c>
      <c r="P149" s="9" t="s">
        <v>1687</v>
      </c>
      <c r="Q149" s="9" t="s">
        <v>1688</v>
      </c>
      <c r="R149" s="9" t="s">
        <v>1689</v>
      </c>
      <c r="S149" s="9" t="s">
        <v>1630</v>
      </c>
      <c r="T149" s="9" t="s">
        <v>1636</v>
      </c>
      <c r="U149" s="9" t="s">
        <v>1460</v>
      </c>
      <c r="V149" s="9"/>
      <c r="W149" s="9" t="s">
        <v>56</v>
      </c>
      <c r="X149" s="9"/>
      <c r="Y149" s="9"/>
    </row>
    <row r="150" hidden="1" spans="1:25">
      <c r="A150" s="21">
        <v>540425201919024</v>
      </c>
      <c r="B150" s="22" t="s">
        <v>20</v>
      </c>
      <c r="C150" s="489" t="s">
        <v>2198</v>
      </c>
      <c r="D150" s="9" t="s">
        <v>1894</v>
      </c>
      <c r="E150" s="9">
        <v>2019.4</v>
      </c>
      <c r="F150" s="9" t="s">
        <v>2196</v>
      </c>
      <c r="G150" s="9" t="s">
        <v>2199</v>
      </c>
      <c r="H150" s="9">
        <v>10</v>
      </c>
      <c r="I150" s="9">
        <v>1</v>
      </c>
      <c r="J150" s="9">
        <v>684700</v>
      </c>
      <c r="K150" s="9">
        <v>684700</v>
      </c>
      <c r="L150" s="9">
        <v>0</v>
      </c>
      <c r="M150" s="9" t="s">
        <v>1625</v>
      </c>
      <c r="N150" s="9" t="s">
        <v>1626</v>
      </c>
      <c r="O150" s="9" t="s">
        <v>1421</v>
      </c>
      <c r="P150" s="9" t="s">
        <v>1687</v>
      </c>
      <c r="Q150" s="9" t="s">
        <v>1688</v>
      </c>
      <c r="R150" s="9" t="s">
        <v>1687</v>
      </c>
      <c r="S150" s="9" t="s">
        <v>1630</v>
      </c>
      <c r="T150" s="9" t="s">
        <v>1636</v>
      </c>
      <c r="U150" s="9" t="s">
        <v>1460</v>
      </c>
      <c r="V150" s="9"/>
      <c r="W150" s="9" t="s">
        <v>56</v>
      </c>
      <c r="X150" s="9"/>
      <c r="Y150" s="9"/>
    </row>
    <row r="151" hidden="1" spans="1:25">
      <c r="A151" s="21">
        <v>540425201919024</v>
      </c>
      <c r="B151" s="22" t="s">
        <v>20</v>
      </c>
      <c r="C151" s="489" t="s">
        <v>2200</v>
      </c>
      <c r="D151" s="9" t="s">
        <v>2201</v>
      </c>
      <c r="E151" s="9">
        <v>2019.4</v>
      </c>
      <c r="F151" s="9" t="s">
        <v>2196</v>
      </c>
      <c r="G151" s="9" t="s">
        <v>2168</v>
      </c>
      <c r="H151" s="9">
        <v>10</v>
      </c>
      <c r="I151" s="9">
        <v>1</v>
      </c>
      <c r="J151" s="9">
        <v>973000</v>
      </c>
      <c r="K151" s="9">
        <v>973000</v>
      </c>
      <c r="L151" s="9">
        <v>0</v>
      </c>
      <c r="M151" s="9" t="s">
        <v>1625</v>
      </c>
      <c r="N151" s="9" t="s">
        <v>1626</v>
      </c>
      <c r="O151" s="9" t="s">
        <v>1421</v>
      </c>
      <c r="P151" s="9" t="s">
        <v>1687</v>
      </c>
      <c r="Q151" s="9" t="s">
        <v>1688</v>
      </c>
      <c r="R151" s="9" t="s">
        <v>1687</v>
      </c>
      <c r="S151" s="9" t="s">
        <v>1630</v>
      </c>
      <c r="T151" s="9" t="s">
        <v>1636</v>
      </c>
      <c r="U151" s="9" t="s">
        <v>1460</v>
      </c>
      <c r="V151" s="9"/>
      <c r="W151" s="9" t="s">
        <v>56</v>
      </c>
      <c r="X151" s="9"/>
      <c r="Y151" s="9"/>
    </row>
    <row r="152" ht="28" hidden="1" spans="1:25">
      <c r="A152" s="21">
        <v>540425201820013</v>
      </c>
      <c r="B152" s="22" t="s">
        <v>20</v>
      </c>
      <c r="C152" s="489" t="s">
        <v>2202</v>
      </c>
      <c r="D152" s="9" t="s">
        <v>921</v>
      </c>
      <c r="E152" s="9">
        <v>2019.9</v>
      </c>
      <c r="F152" s="9" t="s">
        <v>2196</v>
      </c>
      <c r="G152" s="9" t="s">
        <v>1865</v>
      </c>
      <c r="H152" s="9">
        <v>10</v>
      </c>
      <c r="I152" s="9">
        <v>23573</v>
      </c>
      <c r="J152" s="9">
        <v>3468138.02</v>
      </c>
      <c r="K152" s="9">
        <v>3468138.02</v>
      </c>
      <c r="L152" s="9">
        <v>0</v>
      </c>
      <c r="M152" s="9" t="s">
        <v>1685</v>
      </c>
      <c r="N152" s="9" t="s">
        <v>1866</v>
      </c>
      <c r="O152" s="9" t="s">
        <v>1421</v>
      </c>
      <c r="P152" s="9" t="s">
        <v>1687</v>
      </c>
      <c r="Q152" s="9" t="s">
        <v>1688</v>
      </c>
      <c r="R152" s="9" t="s">
        <v>1689</v>
      </c>
      <c r="S152" s="9" t="s">
        <v>1630</v>
      </c>
      <c r="T152" s="9" t="s">
        <v>1636</v>
      </c>
      <c r="U152" s="9" t="s">
        <v>1528</v>
      </c>
      <c r="V152" s="9"/>
      <c r="W152" s="9" t="s">
        <v>56</v>
      </c>
      <c r="X152" s="9"/>
      <c r="Y152" s="9"/>
    </row>
    <row r="153" ht="28" hidden="1" spans="1:25">
      <c r="A153" s="21">
        <v>540425201820013</v>
      </c>
      <c r="B153" s="22" t="s">
        <v>20</v>
      </c>
      <c r="C153" s="489" t="s">
        <v>2203</v>
      </c>
      <c r="D153" s="9" t="s">
        <v>1894</v>
      </c>
      <c r="E153" s="9">
        <v>2019.9</v>
      </c>
      <c r="F153" s="9" t="s">
        <v>2196</v>
      </c>
      <c r="G153" s="9" t="s">
        <v>2204</v>
      </c>
      <c r="H153" s="9">
        <v>10</v>
      </c>
      <c r="I153" s="9">
        <v>1</v>
      </c>
      <c r="J153" s="9">
        <v>295538.05</v>
      </c>
      <c r="K153" s="9">
        <v>295538.05</v>
      </c>
      <c r="L153" s="9">
        <v>0</v>
      </c>
      <c r="M153" s="9" t="s">
        <v>1625</v>
      </c>
      <c r="N153" s="9" t="s">
        <v>1626</v>
      </c>
      <c r="O153" s="9" t="s">
        <v>1421</v>
      </c>
      <c r="P153" s="9" t="s">
        <v>1687</v>
      </c>
      <c r="Q153" s="9" t="s">
        <v>1688</v>
      </c>
      <c r="R153" s="9" t="s">
        <v>1687</v>
      </c>
      <c r="S153" s="9" t="s">
        <v>1630</v>
      </c>
      <c r="T153" s="9" t="s">
        <v>1636</v>
      </c>
      <c r="U153" s="9" t="s">
        <v>1528</v>
      </c>
      <c r="V153" s="9"/>
      <c r="W153" s="9" t="s">
        <v>56</v>
      </c>
      <c r="X153" s="9"/>
      <c r="Y153" s="9"/>
    </row>
    <row r="154" ht="28" hidden="1" spans="1:25">
      <c r="A154" s="21">
        <v>540425201820013</v>
      </c>
      <c r="B154" s="22" t="s">
        <v>20</v>
      </c>
      <c r="C154" s="489" t="s">
        <v>2205</v>
      </c>
      <c r="D154" s="9" t="s">
        <v>2167</v>
      </c>
      <c r="E154" s="9">
        <v>2019.9</v>
      </c>
      <c r="F154" s="9" t="s">
        <v>2196</v>
      </c>
      <c r="G154" s="9" t="s">
        <v>2168</v>
      </c>
      <c r="H154" s="9">
        <v>10</v>
      </c>
      <c r="I154" s="9">
        <v>1</v>
      </c>
      <c r="J154" s="9">
        <v>637283.08</v>
      </c>
      <c r="K154" s="9">
        <v>637283.08</v>
      </c>
      <c r="L154" s="9">
        <v>0</v>
      </c>
      <c r="M154" s="9" t="s">
        <v>1625</v>
      </c>
      <c r="N154" s="9" t="s">
        <v>1626</v>
      </c>
      <c r="O154" s="9" t="s">
        <v>1421</v>
      </c>
      <c r="P154" s="9" t="s">
        <v>1687</v>
      </c>
      <c r="Q154" s="9" t="s">
        <v>1688</v>
      </c>
      <c r="R154" s="9" t="s">
        <v>1687</v>
      </c>
      <c r="S154" s="9" t="s">
        <v>1630</v>
      </c>
      <c r="T154" s="9" t="s">
        <v>1636</v>
      </c>
      <c r="U154" s="9" t="s">
        <v>1528</v>
      </c>
      <c r="V154" s="9"/>
      <c r="W154" s="9" t="s">
        <v>56</v>
      </c>
      <c r="X154" s="9"/>
      <c r="Y154" s="9"/>
    </row>
    <row r="155" ht="28" hidden="1" spans="1:25">
      <c r="A155" s="21">
        <v>540425202020022</v>
      </c>
      <c r="B155" s="22" t="s">
        <v>20</v>
      </c>
      <c r="C155" s="489" t="s">
        <v>2206</v>
      </c>
      <c r="D155" s="9" t="s">
        <v>2170</v>
      </c>
      <c r="E155" s="9">
        <v>2020.07</v>
      </c>
      <c r="F155" s="9" t="s">
        <v>2207</v>
      </c>
      <c r="G155" s="9" t="s">
        <v>1865</v>
      </c>
      <c r="H155" s="9">
        <v>10</v>
      </c>
      <c r="I155" s="9">
        <v>3881</v>
      </c>
      <c r="J155" s="9">
        <v>383400</v>
      </c>
      <c r="K155" s="9">
        <v>172530</v>
      </c>
      <c r="L155" s="9">
        <v>210870</v>
      </c>
      <c r="M155" s="9" t="s">
        <v>1685</v>
      </c>
      <c r="N155" s="9" t="s">
        <v>1866</v>
      </c>
      <c r="O155" s="9" t="s">
        <v>1421</v>
      </c>
      <c r="P155" s="9" t="s">
        <v>1627</v>
      </c>
      <c r="Q155" s="9" t="s">
        <v>1688</v>
      </c>
      <c r="R155" s="9" t="s">
        <v>1636</v>
      </c>
      <c r="S155" s="9" t="s">
        <v>1630</v>
      </c>
      <c r="T155" s="9" t="s">
        <v>1636</v>
      </c>
      <c r="U155" s="9" t="s">
        <v>1549</v>
      </c>
      <c r="V155" s="9"/>
      <c r="W155" s="9" t="s">
        <v>56</v>
      </c>
      <c r="X155" s="9"/>
      <c r="Y155" s="9"/>
    </row>
    <row r="156" ht="28" hidden="1" spans="1:25">
      <c r="A156" s="21">
        <v>540425202020022</v>
      </c>
      <c r="B156" s="22" t="s">
        <v>20</v>
      </c>
      <c r="C156" s="489" t="s">
        <v>2390</v>
      </c>
      <c r="D156" s="9" t="s">
        <v>2391</v>
      </c>
      <c r="E156" s="9">
        <v>2020.07</v>
      </c>
      <c r="F156" s="9" t="s">
        <v>2207</v>
      </c>
      <c r="G156" s="9" t="s">
        <v>1865</v>
      </c>
      <c r="H156" s="9">
        <v>10</v>
      </c>
      <c r="I156" s="9">
        <v>2588</v>
      </c>
      <c r="J156" s="9">
        <v>255600</v>
      </c>
      <c r="K156" s="9">
        <v>255600</v>
      </c>
      <c r="L156" s="9">
        <v>0</v>
      </c>
      <c r="M156" s="9" t="s">
        <v>1685</v>
      </c>
      <c r="N156" s="9" t="s">
        <v>1866</v>
      </c>
      <c r="O156" s="9" t="s">
        <v>1421</v>
      </c>
      <c r="P156" s="9" t="s">
        <v>1687</v>
      </c>
      <c r="Q156" s="9" t="s">
        <v>1688</v>
      </c>
      <c r="R156" s="9" t="s">
        <v>1689</v>
      </c>
      <c r="S156" s="9" t="s">
        <v>1630</v>
      </c>
      <c r="T156" s="9" t="s">
        <v>1636</v>
      </c>
      <c r="U156" s="9" t="s">
        <v>1549</v>
      </c>
      <c r="V156" s="9"/>
      <c r="W156" s="9" t="s">
        <v>56</v>
      </c>
      <c r="X156" s="9"/>
      <c r="Y156" s="9"/>
    </row>
    <row r="157" ht="28" hidden="1" spans="1:25">
      <c r="A157" s="21">
        <v>540425202120036</v>
      </c>
      <c r="B157" s="22" t="s">
        <v>20</v>
      </c>
      <c r="C157" s="489" t="s">
        <v>2392</v>
      </c>
      <c r="D157" s="9" t="s">
        <v>2391</v>
      </c>
      <c r="E157" s="9">
        <v>2021.12</v>
      </c>
      <c r="F157" s="9" t="s">
        <v>2207</v>
      </c>
      <c r="G157" s="9" t="s">
        <v>1865</v>
      </c>
      <c r="H157" s="9">
        <v>10</v>
      </c>
      <c r="I157" s="9">
        <v>1492</v>
      </c>
      <c r="J157" s="9">
        <v>280367.02</v>
      </c>
      <c r="K157" s="9">
        <v>280367.02</v>
      </c>
      <c r="L157" s="9">
        <v>0</v>
      </c>
      <c r="M157" s="9" t="s">
        <v>1685</v>
      </c>
      <c r="N157" s="9" t="s">
        <v>1866</v>
      </c>
      <c r="O157" s="9" t="s">
        <v>1421</v>
      </c>
      <c r="P157" s="9" t="s">
        <v>1687</v>
      </c>
      <c r="Q157" s="9" t="s">
        <v>1688</v>
      </c>
      <c r="R157" s="9" t="s">
        <v>1689</v>
      </c>
      <c r="S157" s="9" t="s">
        <v>1630</v>
      </c>
      <c r="T157" s="9" t="s">
        <v>1700</v>
      </c>
      <c r="U157" s="9" t="s">
        <v>1556</v>
      </c>
      <c r="V157" s="9"/>
      <c r="W157" s="9" t="s">
        <v>56</v>
      </c>
      <c r="X157" s="9"/>
      <c r="Y157" s="9"/>
    </row>
    <row r="158" ht="28" hidden="1" spans="1:25">
      <c r="A158" s="21">
        <v>540425202120036</v>
      </c>
      <c r="B158" s="22" t="s">
        <v>20</v>
      </c>
      <c r="C158" s="489" t="s">
        <v>2208</v>
      </c>
      <c r="D158" s="9" t="s">
        <v>2170</v>
      </c>
      <c r="E158" s="9">
        <v>2021.12</v>
      </c>
      <c r="F158" s="9" t="s">
        <v>2207</v>
      </c>
      <c r="G158" s="9" t="s">
        <v>1865</v>
      </c>
      <c r="H158" s="9">
        <v>10</v>
      </c>
      <c r="I158" s="9">
        <v>2238</v>
      </c>
      <c r="J158" s="9">
        <v>420550.53</v>
      </c>
      <c r="K158" s="9">
        <v>129669.75</v>
      </c>
      <c r="L158" s="9">
        <v>290880.78</v>
      </c>
      <c r="M158" s="9" t="s">
        <v>1685</v>
      </c>
      <c r="N158" s="9" t="s">
        <v>1866</v>
      </c>
      <c r="O158" s="9" t="s">
        <v>1421</v>
      </c>
      <c r="P158" s="9" t="s">
        <v>1627</v>
      </c>
      <c r="Q158" s="9" t="s">
        <v>1628</v>
      </c>
      <c r="R158" s="9" t="s">
        <v>1629</v>
      </c>
      <c r="S158" s="9" t="s">
        <v>1630</v>
      </c>
      <c r="T158" s="9" t="s">
        <v>1700</v>
      </c>
      <c r="U158" s="9" t="s">
        <v>1556</v>
      </c>
      <c r="V158" s="9"/>
      <c r="W158" s="9" t="s">
        <v>56</v>
      </c>
      <c r="X158" s="9"/>
      <c r="Y158" s="9"/>
    </row>
    <row r="159" ht="28" hidden="1" spans="1:25">
      <c r="A159" s="21">
        <v>540425202120036</v>
      </c>
      <c r="B159" s="22" t="s">
        <v>20</v>
      </c>
      <c r="C159" s="489" t="s">
        <v>2210</v>
      </c>
      <c r="D159" s="9" t="s">
        <v>2167</v>
      </c>
      <c r="E159" s="9">
        <v>2021.12</v>
      </c>
      <c r="F159" s="9" t="s">
        <v>2207</v>
      </c>
      <c r="G159" s="9" t="s">
        <v>2168</v>
      </c>
      <c r="H159" s="9">
        <v>10</v>
      </c>
      <c r="I159" s="9">
        <v>1</v>
      </c>
      <c r="J159" s="9">
        <v>431543.48</v>
      </c>
      <c r="K159" s="9">
        <v>133059.24</v>
      </c>
      <c r="L159" s="9">
        <v>298484.24</v>
      </c>
      <c r="M159" s="9" t="s">
        <v>1625</v>
      </c>
      <c r="N159" s="9" t="s">
        <v>1626</v>
      </c>
      <c r="O159" s="9" t="s">
        <v>1421</v>
      </c>
      <c r="P159" s="9" t="s">
        <v>1627</v>
      </c>
      <c r="Q159" s="9" t="s">
        <v>1628</v>
      </c>
      <c r="R159" s="9" t="s">
        <v>1629</v>
      </c>
      <c r="S159" s="9" t="s">
        <v>1630</v>
      </c>
      <c r="T159" s="9" t="s">
        <v>1700</v>
      </c>
      <c r="U159" s="9" t="s">
        <v>1556</v>
      </c>
      <c r="V159" s="9"/>
      <c r="W159" s="9" t="s">
        <v>56</v>
      </c>
      <c r="X159" s="9"/>
      <c r="Y159" s="9"/>
    </row>
    <row r="160" ht="28" hidden="1" spans="1:25">
      <c r="A160" s="21">
        <v>540425202120036</v>
      </c>
      <c r="B160" s="22" t="s">
        <v>20</v>
      </c>
      <c r="C160" s="489" t="s">
        <v>2211</v>
      </c>
      <c r="D160" s="9" t="s">
        <v>1894</v>
      </c>
      <c r="E160" s="9">
        <v>2021.12</v>
      </c>
      <c r="F160" s="9" t="s">
        <v>2207</v>
      </c>
      <c r="G160" s="9" t="s">
        <v>2212</v>
      </c>
      <c r="H160" s="9">
        <v>10</v>
      </c>
      <c r="I160" s="9">
        <v>1</v>
      </c>
      <c r="J160" s="9">
        <v>166867.24</v>
      </c>
      <c r="K160" s="9">
        <v>51450.73</v>
      </c>
      <c r="L160" s="9">
        <v>115416.51</v>
      </c>
      <c r="M160" s="9" t="s">
        <v>1625</v>
      </c>
      <c r="N160" s="9" t="s">
        <v>1626</v>
      </c>
      <c r="O160" s="9" t="s">
        <v>1421</v>
      </c>
      <c r="P160" s="9" t="s">
        <v>1627</v>
      </c>
      <c r="Q160" s="9" t="s">
        <v>1628</v>
      </c>
      <c r="R160" s="9" t="s">
        <v>1629</v>
      </c>
      <c r="S160" s="9" t="s">
        <v>1630</v>
      </c>
      <c r="T160" s="9" t="s">
        <v>1700</v>
      </c>
      <c r="U160" s="9" t="s">
        <v>1556</v>
      </c>
      <c r="V160" s="9"/>
      <c r="W160" s="9" t="s">
        <v>56</v>
      </c>
      <c r="X160" s="9"/>
      <c r="Y160" s="9"/>
    </row>
    <row r="161" ht="28" hidden="1" spans="1:25">
      <c r="A161" s="21">
        <v>540425202120034</v>
      </c>
      <c r="B161" s="22" t="s">
        <v>20</v>
      </c>
      <c r="C161" s="489" t="s">
        <v>2393</v>
      </c>
      <c r="D161" s="9" t="s">
        <v>2391</v>
      </c>
      <c r="E161" s="9">
        <v>2021.12</v>
      </c>
      <c r="F161" s="9" t="s">
        <v>2216</v>
      </c>
      <c r="G161" s="9" t="s">
        <v>1865</v>
      </c>
      <c r="H161" s="9">
        <v>10</v>
      </c>
      <c r="I161" s="9">
        <v>2948</v>
      </c>
      <c r="J161" s="9">
        <v>103200</v>
      </c>
      <c r="K161" s="9">
        <v>103200</v>
      </c>
      <c r="L161" s="9">
        <v>0</v>
      </c>
      <c r="M161" s="9" t="s">
        <v>1685</v>
      </c>
      <c r="N161" s="9" t="s">
        <v>1866</v>
      </c>
      <c r="O161" s="9" t="s">
        <v>1421</v>
      </c>
      <c r="P161" s="9" t="s">
        <v>1687</v>
      </c>
      <c r="Q161" s="9" t="s">
        <v>1688</v>
      </c>
      <c r="R161" s="9" t="s">
        <v>1689</v>
      </c>
      <c r="S161" s="9" t="s">
        <v>1630</v>
      </c>
      <c r="T161" s="9" t="s">
        <v>1700</v>
      </c>
      <c r="U161" s="9" t="s">
        <v>1535</v>
      </c>
      <c r="V161" s="9"/>
      <c r="W161" s="9" t="s">
        <v>56</v>
      </c>
      <c r="X161" s="9"/>
      <c r="Y161" s="9"/>
    </row>
    <row r="162" ht="28" hidden="1" spans="1:25">
      <c r="A162" s="21">
        <v>540425202120034</v>
      </c>
      <c r="B162" s="22" t="s">
        <v>20</v>
      </c>
      <c r="C162" s="489" t="s">
        <v>2215</v>
      </c>
      <c r="D162" s="9" t="s">
        <v>2170</v>
      </c>
      <c r="E162" s="9">
        <v>2021.12</v>
      </c>
      <c r="F162" s="9" t="s">
        <v>2216</v>
      </c>
      <c r="G162" s="9" t="s">
        <v>1865</v>
      </c>
      <c r="H162" s="9">
        <v>10</v>
      </c>
      <c r="I162" s="9">
        <v>1965</v>
      </c>
      <c r="J162" s="9">
        <v>68800</v>
      </c>
      <c r="K162" s="9">
        <v>21213.3</v>
      </c>
      <c r="L162" s="9">
        <v>47586.7</v>
      </c>
      <c r="M162" s="9" t="s">
        <v>1685</v>
      </c>
      <c r="N162" s="9" t="s">
        <v>1866</v>
      </c>
      <c r="O162" s="9" t="s">
        <v>1421</v>
      </c>
      <c r="P162" s="9" t="s">
        <v>1627</v>
      </c>
      <c r="Q162" s="9" t="s">
        <v>1628</v>
      </c>
      <c r="R162" s="9" t="s">
        <v>1629</v>
      </c>
      <c r="S162" s="9" t="s">
        <v>1630</v>
      </c>
      <c r="T162" s="9" t="s">
        <v>1700</v>
      </c>
      <c r="U162" s="9" t="s">
        <v>1535</v>
      </c>
      <c r="V162" s="9"/>
      <c r="W162" s="9" t="s">
        <v>56</v>
      </c>
      <c r="X162" s="9"/>
      <c r="Y162" s="9"/>
    </row>
    <row r="163" ht="28" hidden="1" spans="1:25">
      <c r="A163" s="21">
        <v>540425202120034</v>
      </c>
      <c r="B163" s="22" t="s">
        <v>20</v>
      </c>
      <c r="C163" s="489" t="s">
        <v>2217</v>
      </c>
      <c r="D163" s="9" t="s">
        <v>2167</v>
      </c>
      <c r="E163" s="9">
        <v>2021.12</v>
      </c>
      <c r="F163" s="9" t="s">
        <v>2216</v>
      </c>
      <c r="G163" s="9" t="s">
        <v>2168</v>
      </c>
      <c r="H163" s="9">
        <v>10</v>
      </c>
      <c r="I163" s="9">
        <v>1</v>
      </c>
      <c r="J163" s="9">
        <v>708600</v>
      </c>
      <c r="K163" s="9">
        <v>218485</v>
      </c>
      <c r="L163" s="9">
        <v>490115</v>
      </c>
      <c r="M163" s="9" t="s">
        <v>1625</v>
      </c>
      <c r="N163" s="9" t="s">
        <v>1626</v>
      </c>
      <c r="O163" s="9" t="s">
        <v>1421</v>
      </c>
      <c r="P163" s="9" t="s">
        <v>1627</v>
      </c>
      <c r="Q163" s="9" t="s">
        <v>1628</v>
      </c>
      <c r="R163" s="9" t="s">
        <v>1629</v>
      </c>
      <c r="S163" s="9" t="s">
        <v>1630</v>
      </c>
      <c r="T163" s="9" t="s">
        <v>1700</v>
      </c>
      <c r="U163" s="9" t="s">
        <v>1535</v>
      </c>
      <c r="V163" s="9"/>
      <c r="W163" s="9" t="s">
        <v>56</v>
      </c>
      <c r="X163" s="9"/>
      <c r="Y163" s="9"/>
    </row>
    <row r="164" ht="28" hidden="1" spans="1:25">
      <c r="A164" s="21">
        <v>540425202020021</v>
      </c>
      <c r="B164" s="22" t="s">
        <v>20</v>
      </c>
      <c r="C164" s="489" t="s">
        <v>2394</v>
      </c>
      <c r="D164" s="9" t="s">
        <v>2391</v>
      </c>
      <c r="E164" s="9">
        <v>2020.07</v>
      </c>
      <c r="F164" s="9" t="s">
        <v>2219</v>
      </c>
      <c r="G164" s="9" t="s">
        <v>1865</v>
      </c>
      <c r="H164" s="9">
        <v>10</v>
      </c>
      <c r="I164" s="9">
        <v>582</v>
      </c>
      <c r="J164" s="9">
        <v>57440</v>
      </c>
      <c r="K164" s="9">
        <v>57440</v>
      </c>
      <c r="L164" s="9">
        <v>0</v>
      </c>
      <c r="M164" s="9" t="s">
        <v>1685</v>
      </c>
      <c r="N164" s="9" t="s">
        <v>1866</v>
      </c>
      <c r="O164" s="9" t="s">
        <v>1421</v>
      </c>
      <c r="P164" s="9" t="s">
        <v>1687</v>
      </c>
      <c r="Q164" s="9" t="s">
        <v>1688</v>
      </c>
      <c r="R164" s="9" t="s">
        <v>1689</v>
      </c>
      <c r="S164" s="9" t="s">
        <v>1630</v>
      </c>
      <c r="T164" s="9" t="s">
        <v>1700</v>
      </c>
      <c r="U164" s="9" t="s">
        <v>1547</v>
      </c>
      <c r="V164" s="9"/>
      <c r="W164" s="9" t="s">
        <v>56</v>
      </c>
      <c r="X164" s="9"/>
      <c r="Y164" s="9"/>
    </row>
    <row r="165" ht="28" hidden="1" spans="1:25">
      <c r="A165" s="21">
        <v>540425202020021</v>
      </c>
      <c r="B165" s="22" t="s">
        <v>20</v>
      </c>
      <c r="C165" s="489" t="s">
        <v>2218</v>
      </c>
      <c r="D165" s="9" t="s">
        <v>2170</v>
      </c>
      <c r="E165" s="9">
        <v>2020.07</v>
      </c>
      <c r="F165" s="9" t="s">
        <v>2219</v>
      </c>
      <c r="G165" s="9" t="s">
        <v>1865</v>
      </c>
      <c r="H165" s="9">
        <v>10</v>
      </c>
      <c r="I165" s="9">
        <v>872</v>
      </c>
      <c r="J165" s="9">
        <v>86160</v>
      </c>
      <c r="K165" s="9">
        <v>38772</v>
      </c>
      <c r="L165" s="9">
        <v>47388</v>
      </c>
      <c r="M165" s="9" t="s">
        <v>1685</v>
      </c>
      <c r="N165" s="9" t="s">
        <v>1866</v>
      </c>
      <c r="O165" s="9" t="s">
        <v>1421</v>
      </c>
      <c r="P165" s="9" t="s">
        <v>1627</v>
      </c>
      <c r="Q165" s="9" t="s">
        <v>1628</v>
      </c>
      <c r="R165" s="9" t="s">
        <v>1629</v>
      </c>
      <c r="S165" s="9" t="s">
        <v>1630</v>
      </c>
      <c r="T165" s="9" t="s">
        <v>1700</v>
      </c>
      <c r="U165" s="9" t="s">
        <v>1547</v>
      </c>
      <c r="V165" s="9"/>
      <c r="W165" s="9" t="s">
        <v>56</v>
      </c>
      <c r="X165" s="9"/>
      <c r="Y165" s="9"/>
    </row>
    <row r="166" ht="28" hidden="1" spans="1:25">
      <c r="A166" s="21">
        <v>540425202020021</v>
      </c>
      <c r="B166" s="22" t="s">
        <v>20</v>
      </c>
      <c r="C166" s="489" t="s">
        <v>2220</v>
      </c>
      <c r="D166" s="9" t="s">
        <v>1744</v>
      </c>
      <c r="E166" s="9">
        <v>2020.07</v>
      </c>
      <c r="F166" s="9" t="s">
        <v>2219</v>
      </c>
      <c r="G166" s="9" t="s">
        <v>2168</v>
      </c>
      <c r="H166" s="9">
        <v>10</v>
      </c>
      <c r="I166" s="9">
        <v>1</v>
      </c>
      <c r="J166" s="9">
        <v>73400</v>
      </c>
      <c r="K166" s="9">
        <v>33030</v>
      </c>
      <c r="L166" s="9">
        <v>40370</v>
      </c>
      <c r="M166" s="9" t="s">
        <v>1625</v>
      </c>
      <c r="N166" s="9" t="s">
        <v>1626</v>
      </c>
      <c r="O166" s="9" t="s">
        <v>1421</v>
      </c>
      <c r="P166" s="9" t="s">
        <v>1627</v>
      </c>
      <c r="Q166" s="9" t="s">
        <v>1628</v>
      </c>
      <c r="R166" s="9" t="s">
        <v>1629</v>
      </c>
      <c r="S166" s="9" t="s">
        <v>1630</v>
      </c>
      <c r="T166" s="9" t="s">
        <v>1700</v>
      </c>
      <c r="U166" s="9" t="s">
        <v>1547</v>
      </c>
      <c r="V166" s="9"/>
      <c r="W166" s="9" t="s">
        <v>56</v>
      </c>
      <c r="X166" s="9"/>
      <c r="Y166" s="9"/>
    </row>
    <row r="167" ht="28" hidden="1" spans="1:25">
      <c r="A167" s="21">
        <v>540425201920020</v>
      </c>
      <c r="B167" s="22" t="s">
        <v>20</v>
      </c>
      <c r="C167" s="489" t="s">
        <v>2395</v>
      </c>
      <c r="D167" s="9" t="s">
        <v>2391</v>
      </c>
      <c r="E167" s="9">
        <v>2019.12</v>
      </c>
      <c r="F167" s="9" t="s">
        <v>2222</v>
      </c>
      <c r="G167" s="9" t="s">
        <v>1865</v>
      </c>
      <c r="H167" s="9">
        <v>10</v>
      </c>
      <c r="I167" s="9">
        <v>1100</v>
      </c>
      <c r="J167" s="9">
        <v>95558.82</v>
      </c>
      <c r="K167" s="9">
        <v>95558.82</v>
      </c>
      <c r="L167" s="9">
        <v>0</v>
      </c>
      <c r="M167" s="9" t="s">
        <v>1685</v>
      </c>
      <c r="N167" s="9" t="s">
        <v>1866</v>
      </c>
      <c r="O167" s="9" t="s">
        <v>1421</v>
      </c>
      <c r="P167" s="9" t="s">
        <v>1687</v>
      </c>
      <c r="Q167" s="9" t="s">
        <v>1688</v>
      </c>
      <c r="R167" s="9" t="s">
        <v>1689</v>
      </c>
      <c r="S167" s="9" t="s">
        <v>1630</v>
      </c>
      <c r="T167" s="9" t="s">
        <v>1700</v>
      </c>
      <c r="U167" s="9" t="s">
        <v>1532</v>
      </c>
      <c r="V167" s="9"/>
      <c r="W167" s="9" t="s">
        <v>56</v>
      </c>
      <c r="X167" s="9"/>
      <c r="Y167" s="9"/>
    </row>
    <row r="168" ht="28" hidden="1" spans="1:25">
      <c r="A168" s="21">
        <v>540425201920020</v>
      </c>
      <c r="B168" s="22" t="s">
        <v>20</v>
      </c>
      <c r="C168" s="489" t="s">
        <v>2221</v>
      </c>
      <c r="D168" s="9" t="s">
        <v>2170</v>
      </c>
      <c r="E168" s="9">
        <v>2019.12</v>
      </c>
      <c r="F168" s="9" t="s">
        <v>2222</v>
      </c>
      <c r="G168" s="9" t="s">
        <v>1865</v>
      </c>
      <c r="H168" s="9">
        <v>10</v>
      </c>
      <c r="I168" s="9">
        <v>1650</v>
      </c>
      <c r="J168" s="9">
        <v>143338.23</v>
      </c>
      <c r="K168" s="9">
        <v>72863.6</v>
      </c>
      <c r="L168" s="9">
        <v>70474.63</v>
      </c>
      <c r="M168" s="9" t="s">
        <v>1685</v>
      </c>
      <c r="N168" s="9" t="s">
        <v>1866</v>
      </c>
      <c r="O168" s="9" t="s">
        <v>1421</v>
      </c>
      <c r="P168" s="9" t="s">
        <v>1627</v>
      </c>
      <c r="Q168" s="9" t="s">
        <v>1628</v>
      </c>
      <c r="R168" s="9" t="s">
        <v>1629</v>
      </c>
      <c r="S168" s="9" t="s">
        <v>1630</v>
      </c>
      <c r="T168" s="9" t="s">
        <v>1700</v>
      </c>
      <c r="U168" s="9" t="s">
        <v>1532</v>
      </c>
      <c r="V168" s="9"/>
      <c r="W168" s="9" t="s">
        <v>56</v>
      </c>
      <c r="X168" s="9"/>
      <c r="Y168" s="9"/>
    </row>
    <row r="169" ht="28" hidden="1" spans="1:25">
      <c r="A169" s="21">
        <v>540425201920020</v>
      </c>
      <c r="B169" s="22" t="s">
        <v>20</v>
      </c>
      <c r="C169" s="489" t="s">
        <v>2223</v>
      </c>
      <c r="D169" s="9" t="s">
        <v>2224</v>
      </c>
      <c r="E169" s="9">
        <v>2019.12</v>
      </c>
      <c r="F169" s="9" t="s">
        <v>2222</v>
      </c>
      <c r="G169" s="9" t="s">
        <v>2225</v>
      </c>
      <c r="H169" s="9">
        <v>10</v>
      </c>
      <c r="I169" s="9">
        <v>1</v>
      </c>
      <c r="J169" s="9">
        <v>115445.49</v>
      </c>
      <c r="K169" s="9">
        <v>58684.79</v>
      </c>
      <c r="L169" s="9">
        <v>56760.7</v>
      </c>
      <c r="M169" s="9" t="s">
        <v>1625</v>
      </c>
      <c r="N169" s="9" t="s">
        <v>1626</v>
      </c>
      <c r="O169" s="9" t="s">
        <v>1421</v>
      </c>
      <c r="P169" s="9" t="s">
        <v>1627</v>
      </c>
      <c r="Q169" s="9" t="s">
        <v>1628</v>
      </c>
      <c r="R169" s="9" t="s">
        <v>1629</v>
      </c>
      <c r="S169" s="9" t="s">
        <v>1630</v>
      </c>
      <c r="T169" s="9" t="s">
        <v>1700</v>
      </c>
      <c r="U169" s="9" t="s">
        <v>1532</v>
      </c>
      <c r="V169" s="9"/>
      <c r="W169" s="9" t="s">
        <v>56</v>
      </c>
      <c r="X169" s="9"/>
      <c r="Y169" s="9"/>
    </row>
    <row r="170" ht="28" hidden="1" spans="1:25">
      <c r="A170" s="21">
        <v>540425201920020</v>
      </c>
      <c r="B170" s="22" t="s">
        <v>20</v>
      </c>
      <c r="C170" s="489" t="s">
        <v>2226</v>
      </c>
      <c r="D170" s="9" t="s">
        <v>2167</v>
      </c>
      <c r="E170" s="9">
        <v>2019.12</v>
      </c>
      <c r="F170" s="9" t="s">
        <v>2222</v>
      </c>
      <c r="G170" s="9" t="s">
        <v>2168</v>
      </c>
      <c r="H170" s="9">
        <v>10</v>
      </c>
      <c r="I170" s="9">
        <v>1</v>
      </c>
      <c r="J170" s="9">
        <v>198075.99</v>
      </c>
      <c r="K170" s="9">
        <v>100688.63</v>
      </c>
      <c r="L170" s="9">
        <v>97387.36</v>
      </c>
      <c r="M170" s="9" t="s">
        <v>1625</v>
      </c>
      <c r="N170" s="9" t="s">
        <v>1626</v>
      </c>
      <c r="O170" s="9" t="s">
        <v>1421</v>
      </c>
      <c r="P170" s="9" t="s">
        <v>1627</v>
      </c>
      <c r="Q170" s="9" t="s">
        <v>1628</v>
      </c>
      <c r="R170" s="9" t="s">
        <v>1629</v>
      </c>
      <c r="S170" s="9" t="s">
        <v>1630</v>
      </c>
      <c r="T170" s="9" t="s">
        <v>1700</v>
      </c>
      <c r="U170" s="9" t="s">
        <v>1532</v>
      </c>
      <c r="V170" s="9"/>
      <c r="W170" s="9" t="s">
        <v>56</v>
      </c>
      <c r="X170" s="9"/>
      <c r="Y170" s="9"/>
    </row>
    <row r="171" ht="28" hidden="1" spans="1:25">
      <c r="A171" s="21">
        <v>540425202120037</v>
      </c>
      <c r="B171" s="22" t="s">
        <v>20</v>
      </c>
      <c r="C171" s="489" t="s">
        <v>2396</v>
      </c>
      <c r="D171" s="9" t="s">
        <v>2391</v>
      </c>
      <c r="E171" s="9">
        <v>2020.07</v>
      </c>
      <c r="F171" s="9" t="s">
        <v>2228</v>
      </c>
      <c r="G171" s="9" t="s">
        <v>1865</v>
      </c>
      <c r="H171" s="9">
        <v>10</v>
      </c>
      <c r="I171" s="9">
        <v>2511</v>
      </c>
      <c r="J171" s="9">
        <v>403745.15</v>
      </c>
      <c r="K171" s="9">
        <v>403745.15</v>
      </c>
      <c r="L171" s="9">
        <v>0</v>
      </c>
      <c r="M171" s="9" t="s">
        <v>1685</v>
      </c>
      <c r="N171" s="9" t="s">
        <v>1866</v>
      </c>
      <c r="O171" s="9" t="s">
        <v>1421</v>
      </c>
      <c r="P171" s="9" t="s">
        <v>1687</v>
      </c>
      <c r="Q171" s="9" t="s">
        <v>1688</v>
      </c>
      <c r="R171" s="9" t="s">
        <v>1689</v>
      </c>
      <c r="S171" s="9" t="s">
        <v>1630</v>
      </c>
      <c r="T171" s="9" t="s">
        <v>1700</v>
      </c>
      <c r="U171" s="9" t="s">
        <v>1226</v>
      </c>
      <c r="V171" s="9"/>
      <c r="W171" s="9" t="s">
        <v>56</v>
      </c>
      <c r="X171" s="9"/>
      <c r="Y171" s="9"/>
    </row>
    <row r="172" ht="28" hidden="1" spans="1:25">
      <c r="A172" s="21">
        <v>540425202120037</v>
      </c>
      <c r="B172" s="22" t="s">
        <v>20</v>
      </c>
      <c r="C172" s="489" t="s">
        <v>2227</v>
      </c>
      <c r="D172" s="9" t="s">
        <v>2170</v>
      </c>
      <c r="E172" s="9">
        <v>2020.07</v>
      </c>
      <c r="F172" s="9" t="s">
        <v>2228</v>
      </c>
      <c r="G172" s="9" t="s">
        <v>1865</v>
      </c>
      <c r="H172" s="9">
        <v>10</v>
      </c>
      <c r="I172" s="9">
        <v>3766</v>
      </c>
      <c r="J172" s="9">
        <v>605537.34</v>
      </c>
      <c r="K172" s="9">
        <v>272491.8</v>
      </c>
      <c r="L172" s="9">
        <v>333045.54</v>
      </c>
      <c r="M172" s="9" t="s">
        <v>1685</v>
      </c>
      <c r="N172" s="9" t="s">
        <v>1866</v>
      </c>
      <c r="O172" s="9" t="s">
        <v>1421</v>
      </c>
      <c r="P172" s="9" t="s">
        <v>1627</v>
      </c>
      <c r="Q172" s="9" t="s">
        <v>1628</v>
      </c>
      <c r="R172" s="9" t="s">
        <v>1629</v>
      </c>
      <c r="S172" s="9" t="s">
        <v>1630</v>
      </c>
      <c r="T172" s="9" t="s">
        <v>1700</v>
      </c>
      <c r="U172" s="9" t="s">
        <v>1226</v>
      </c>
      <c r="V172" s="9"/>
      <c r="W172" s="9" t="s">
        <v>56</v>
      </c>
      <c r="X172" s="9"/>
      <c r="Y172" s="9"/>
    </row>
    <row r="173" ht="28" hidden="1" spans="1:25">
      <c r="A173" s="21">
        <v>540425202120037</v>
      </c>
      <c r="B173" s="22" t="s">
        <v>20</v>
      </c>
      <c r="C173" s="489" t="s">
        <v>2229</v>
      </c>
      <c r="D173" s="9" t="s">
        <v>2167</v>
      </c>
      <c r="E173" s="9">
        <v>2020.07</v>
      </c>
      <c r="F173" s="9" t="s">
        <v>2228</v>
      </c>
      <c r="G173" s="9" t="s">
        <v>2168</v>
      </c>
      <c r="H173" s="9">
        <v>10</v>
      </c>
      <c r="I173" s="9">
        <v>1</v>
      </c>
      <c r="J173" s="9">
        <v>1061632.68</v>
      </c>
      <c r="K173" s="9">
        <v>477734.71</v>
      </c>
      <c r="L173" s="9">
        <v>583897.97</v>
      </c>
      <c r="M173" s="9" t="s">
        <v>1625</v>
      </c>
      <c r="N173" s="9" t="s">
        <v>1626</v>
      </c>
      <c r="O173" s="9" t="s">
        <v>1421</v>
      </c>
      <c r="P173" s="9" t="s">
        <v>1627</v>
      </c>
      <c r="Q173" s="9" t="s">
        <v>1628</v>
      </c>
      <c r="R173" s="9" t="s">
        <v>1629</v>
      </c>
      <c r="S173" s="9" t="s">
        <v>1630</v>
      </c>
      <c r="T173" s="9" t="s">
        <v>1700</v>
      </c>
      <c r="U173" s="9" t="s">
        <v>1226</v>
      </c>
      <c r="V173" s="9"/>
      <c r="W173" s="9" t="s">
        <v>56</v>
      </c>
      <c r="X173" s="9"/>
      <c r="Y173" s="9"/>
    </row>
    <row r="174" ht="28" hidden="1" spans="1:25">
      <c r="A174" s="21">
        <v>540425202120037</v>
      </c>
      <c r="B174" s="22" t="s">
        <v>20</v>
      </c>
      <c r="C174" s="489" t="s">
        <v>2230</v>
      </c>
      <c r="D174" s="9" t="s">
        <v>1894</v>
      </c>
      <c r="E174" s="9">
        <v>2020.07</v>
      </c>
      <c r="F174" s="9" t="s">
        <v>2228</v>
      </c>
      <c r="G174" s="9" t="s">
        <v>2231</v>
      </c>
      <c r="H174" s="9">
        <v>10</v>
      </c>
      <c r="I174" s="9">
        <v>1</v>
      </c>
      <c r="J174" s="9">
        <v>268856.39</v>
      </c>
      <c r="K174" s="9">
        <v>120985.38</v>
      </c>
      <c r="L174" s="9">
        <v>147871.01</v>
      </c>
      <c r="M174" s="9" t="s">
        <v>1625</v>
      </c>
      <c r="N174" s="9" t="s">
        <v>1626</v>
      </c>
      <c r="O174" s="9" t="s">
        <v>1421</v>
      </c>
      <c r="P174" s="9" t="s">
        <v>1627</v>
      </c>
      <c r="Q174" s="9" t="s">
        <v>1628</v>
      </c>
      <c r="R174" s="9" t="s">
        <v>1629</v>
      </c>
      <c r="S174" s="9" t="s">
        <v>1630</v>
      </c>
      <c r="T174" s="9" t="s">
        <v>1700</v>
      </c>
      <c r="U174" s="9" t="s">
        <v>1226</v>
      </c>
      <c r="V174" s="9"/>
      <c r="W174" s="9" t="s">
        <v>56</v>
      </c>
      <c r="X174" s="9"/>
      <c r="Y174" s="9"/>
    </row>
    <row r="175" ht="28" hidden="1" spans="1:25">
      <c r="A175" s="21">
        <v>540425201820009</v>
      </c>
      <c r="B175" s="22" t="s">
        <v>20</v>
      </c>
      <c r="C175" s="489" t="s">
        <v>2397</v>
      </c>
      <c r="D175" s="9" t="s">
        <v>2391</v>
      </c>
      <c r="E175" s="9">
        <v>2019.03</v>
      </c>
      <c r="F175" s="9" t="s">
        <v>2233</v>
      </c>
      <c r="G175" s="9" t="s">
        <v>1865</v>
      </c>
      <c r="H175" s="9">
        <v>10</v>
      </c>
      <c r="I175" s="9">
        <v>6650</v>
      </c>
      <c r="J175" s="9">
        <v>711600</v>
      </c>
      <c r="K175" s="9">
        <v>711600</v>
      </c>
      <c r="L175" s="9">
        <v>0</v>
      </c>
      <c r="M175" s="9" t="s">
        <v>1685</v>
      </c>
      <c r="N175" s="9" t="s">
        <v>1866</v>
      </c>
      <c r="O175" s="9" t="s">
        <v>1421</v>
      </c>
      <c r="P175" s="9" t="s">
        <v>1687</v>
      </c>
      <c r="Q175" s="9" t="s">
        <v>1688</v>
      </c>
      <c r="R175" s="9" t="s">
        <v>1689</v>
      </c>
      <c r="S175" s="9" t="s">
        <v>1630</v>
      </c>
      <c r="T175" s="9" t="s">
        <v>1700</v>
      </c>
      <c r="U175" s="9" t="s">
        <v>1524</v>
      </c>
      <c r="V175" s="9"/>
      <c r="W175" s="9" t="s">
        <v>56</v>
      </c>
      <c r="X175" s="9"/>
      <c r="Y175" s="9"/>
    </row>
    <row r="176" ht="28" hidden="1" spans="1:25">
      <c r="A176" s="21">
        <v>540425201820009</v>
      </c>
      <c r="B176" s="22" t="s">
        <v>20</v>
      </c>
      <c r="C176" s="489" t="s">
        <v>2232</v>
      </c>
      <c r="D176" s="9" t="s">
        <v>2170</v>
      </c>
      <c r="E176" s="9">
        <v>2019.03</v>
      </c>
      <c r="F176" s="9" t="s">
        <v>2233</v>
      </c>
      <c r="G176" s="9" t="s">
        <v>1865</v>
      </c>
      <c r="H176" s="9">
        <v>10</v>
      </c>
      <c r="I176" s="9">
        <v>1663</v>
      </c>
      <c r="J176" s="9">
        <v>177900</v>
      </c>
      <c r="K176" s="9">
        <v>103775</v>
      </c>
      <c r="L176" s="9">
        <v>74125</v>
      </c>
      <c r="M176" s="9" t="s">
        <v>1685</v>
      </c>
      <c r="N176" s="9" t="s">
        <v>1866</v>
      </c>
      <c r="O176" s="9" t="s">
        <v>1421</v>
      </c>
      <c r="P176" s="9" t="s">
        <v>1627</v>
      </c>
      <c r="Q176" s="9" t="s">
        <v>1628</v>
      </c>
      <c r="R176" s="9" t="s">
        <v>1629</v>
      </c>
      <c r="S176" s="9" t="s">
        <v>1630</v>
      </c>
      <c r="T176" s="9" t="s">
        <v>1700</v>
      </c>
      <c r="U176" s="9" t="s">
        <v>1524</v>
      </c>
      <c r="V176" s="9"/>
      <c r="W176" s="9" t="s">
        <v>56</v>
      </c>
      <c r="X176" s="9"/>
      <c r="Y176" s="9"/>
    </row>
    <row r="177" ht="28" hidden="1" spans="1:25">
      <c r="A177" s="21">
        <v>540425202020027</v>
      </c>
      <c r="B177" s="22" t="s">
        <v>20</v>
      </c>
      <c r="C177" s="489" t="s">
        <v>2234</v>
      </c>
      <c r="D177" s="9" t="s">
        <v>2167</v>
      </c>
      <c r="E177" s="9">
        <v>2021.04</v>
      </c>
      <c r="F177" s="9" t="s">
        <v>2235</v>
      </c>
      <c r="G177" s="9" t="s">
        <v>2168</v>
      </c>
      <c r="H177" s="9">
        <v>10</v>
      </c>
      <c r="I177" s="9">
        <v>1</v>
      </c>
      <c r="J177" s="9">
        <v>513200</v>
      </c>
      <c r="K177" s="9">
        <v>192450</v>
      </c>
      <c r="L177" s="9">
        <v>320750</v>
      </c>
      <c r="M177" s="9" t="s">
        <v>1625</v>
      </c>
      <c r="N177" s="9" t="s">
        <v>1626</v>
      </c>
      <c r="O177" s="9" t="s">
        <v>1421</v>
      </c>
      <c r="P177" s="9" t="s">
        <v>1627</v>
      </c>
      <c r="Q177" s="9" t="s">
        <v>1688</v>
      </c>
      <c r="R177" s="9" t="s">
        <v>1636</v>
      </c>
      <c r="S177" s="9" t="s">
        <v>1630</v>
      </c>
      <c r="T177" s="9" t="s">
        <v>1700</v>
      </c>
      <c r="U177" s="9" t="s">
        <v>1554</v>
      </c>
      <c r="V177" s="9"/>
      <c r="W177" s="9" t="s">
        <v>56</v>
      </c>
      <c r="X177" s="9"/>
      <c r="Y177" s="9"/>
    </row>
    <row r="178" ht="28" hidden="1" spans="1:25">
      <c r="A178" s="21">
        <v>540425202020027</v>
      </c>
      <c r="B178" s="22" t="s">
        <v>20</v>
      </c>
      <c r="C178" s="489" t="s">
        <v>2236</v>
      </c>
      <c r="D178" s="9" t="s">
        <v>2170</v>
      </c>
      <c r="E178" s="9">
        <v>2021.04</v>
      </c>
      <c r="F178" s="9" t="s">
        <v>2235</v>
      </c>
      <c r="G178" s="9" t="s">
        <v>1865</v>
      </c>
      <c r="H178" s="9">
        <v>10</v>
      </c>
      <c r="I178" s="9">
        <v>6667</v>
      </c>
      <c r="J178" s="9">
        <v>1252842.42</v>
      </c>
      <c r="K178" s="9">
        <v>469815.91</v>
      </c>
      <c r="L178" s="9">
        <v>783026.51</v>
      </c>
      <c r="M178" s="9" t="s">
        <v>1685</v>
      </c>
      <c r="N178" s="9" t="s">
        <v>1866</v>
      </c>
      <c r="O178" s="9" t="s">
        <v>1421</v>
      </c>
      <c r="P178" s="9" t="s">
        <v>1627</v>
      </c>
      <c r="Q178" s="9" t="s">
        <v>1688</v>
      </c>
      <c r="R178" s="9" t="s">
        <v>1636</v>
      </c>
      <c r="S178" s="9" t="s">
        <v>1630</v>
      </c>
      <c r="T178" s="9" t="s">
        <v>1700</v>
      </c>
      <c r="U178" s="9" t="s">
        <v>1554</v>
      </c>
      <c r="V178" s="9"/>
      <c r="W178" s="9" t="s">
        <v>56</v>
      </c>
      <c r="X178" s="9"/>
      <c r="Y178" s="9"/>
    </row>
    <row r="179" ht="28" hidden="1" spans="1:25">
      <c r="A179" s="21">
        <v>540425202020027</v>
      </c>
      <c r="B179" s="22" t="s">
        <v>20</v>
      </c>
      <c r="C179" s="489" t="s">
        <v>2398</v>
      </c>
      <c r="D179" s="9" t="s">
        <v>2391</v>
      </c>
      <c r="E179" s="9">
        <v>2021.04</v>
      </c>
      <c r="F179" s="9" t="s">
        <v>2235</v>
      </c>
      <c r="G179" s="9" t="s">
        <v>1865</v>
      </c>
      <c r="H179" s="9">
        <v>10</v>
      </c>
      <c r="I179" s="9">
        <v>10001</v>
      </c>
      <c r="J179" s="9">
        <v>1879357.58</v>
      </c>
      <c r="K179" s="9">
        <v>1879357.58</v>
      </c>
      <c r="L179" s="9">
        <v>0</v>
      </c>
      <c r="M179" s="9" t="s">
        <v>1685</v>
      </c>
      <c r="N179" s="9" t="s">
        <v>1866</v>
      </c>
      <c r="O179" s="9" t="s">
        <v>1421</v>
      </c>
      <c r="P179" s="9" t="s">
        <v>1687</v>
      </c>
      <c r="Q179" s="9" t="s">
        <v>1688</v>
      </c>
      <c r="R179" s="9" t="s">
        <v>1689</v>
      </c>
      <c r="S179" s="9" t="s">
        <v>1630</v>
      </c>
      <c r="T179" s="9" t="s">
        <v>1700</v>
      </c>
      <c r="U179" s="9" t="s">
        <v>1554</v>
      </c>
      <c r="V179" s="9"/>
      <c r="W179" s="9" t="s">
        <v>56</v>
      </c>
      <c r="X179" s="9"/>
      <c r="Y179" s="9"/>
    </row>
    <row r="180" ht="28" hidden="1" spans="1:25">
      <c r="A180" s="21">
        <v>540425202020023</v>
      </c>
      <c r="B180" s="22" t="s">
        <v>20</v>
      </c>
      <c r="C180" s="489" t="s">
        <v>2237</v>
      </c>
      <c r="D180" s="9" t="s">
        <v>2170</v>
      </c>
      <c r="E180" s="9">
        <v>2020.07</v>
      </c>
      <c r="F180" s="9" t="s">
        <v>2135</v>
      </c>
      <c r="G180" s="9" t="s">
        <v>1865</v>
      </c>
      <c r="H180" s="9">
        <v>10</v>
      </c>
      <c r="I180" s="9">
        <v>4968</v>
      </c>
      <c r="J180" s="9">
        <v>490760</v>
      </c>
      <c r="K180" s="9">
        <v>229021.3</v>
      </c>
      <c r="L180" s="9">
        <v>261738.7</v>
      </c>
      <c r="M180" s="9" t="s">
        <v>1685</v>
      </c>
      <c r="N180" s="9" t="s">
        <v>1866</v>
      </c>
      <c r="O180" s="9" t="s">
        <v>1421</v>
      </c>
      <c r="P180" s="9" t="s">
        <v>1627</v>
      </c>
      <c r="Q180" s="9" t="s">
        <v>1688</v>
      </c>
      <c r="R180" s="9" t="s">
        <v>1636</v>
      </c>
      <c r="S180" s="9" t="s">
        <v>1630</v>
      </c>
      <c r="T180" s="9" t="s">
        <v>1700</v>
      </c>
      <c r="U180" s="9" t="s">
        <v>1516</v>
      </c>
      <c r="V180" s="9"/>
      <c r="W180" s="9" t="s">
        <v>56</v>
      </c>
      <c r="X180" s="9"/>
      <c r="Y180" s="9"/>
    </row>
    <row r="181" ht="28" hidden="1" spans="1:25">
      <c r="A181" s="21">
        <v>540425202020023</v>
      </c>
      <c r="B181" s="22" t="s">
        <v>20</v>
      </c>
      <c r="C181" s="489" t="s">
        <v>2399</v>
      </c>
      <c r="D181" s="9" t="s">
        <v>2391</v>
      </c>
      <c r="E181" s="9">
        <v>2020.07</v>
      </c>
      <c r="F181" s="9" t="s">
        <v>2135</v>
      </c>
      <c r="G181" s="9" t="s">
        <v>1865</v>
      </c>
      <c r="H181" s="9">
        <v>10</v>
      </c>
      <c r="I181" s="9">
        <v>7452</v>
      </c>
      <c r="J181" s="9">
        <v>736140</v>
      </c>
      <c r="K181" s="9">
        <v>736140</v>
      </c>
      <c r="L181" s="9">
        <v>0</v>
      </c>
      <c r="M181" s="9" t="s">
        <v>1685</v>
      </c>
      <c r="N181" s="9" t="s">
        <v>1866</v>
      </c>
      <c r="O181" s="9" t="s">
        <v>1421</v>
      </c>
      <c r="P181" s="9" t="s">
        <v>1687</v>
      </c>
      <c r="Q181" s="9" t="s">
        <v>1688</v>
      </c>
      <c r="R181" s="9" t="s">
        <v>1689</v>
      </c>
      <c r="S181" s="9" t="s">
        <v>1630</v>
      </c>
      <c r="T181" s="9" t="s">
        <v>1700</v>
      </c>
      <c r="U181" s="9" t="s">
        <v>1516</v>
      </c>
      <c r="V181" s="9"/>
      <c r="W181" s="9" t="s">
        <v>56</v>
      </c>
      <c r="X181" s="9"/>
      <c r="Y181" s="9"/>
    </row>
    <row r="182" ht="28" hidden="1" spans="1:25">
      <c r="A182" s="21">
        <v>540425202020023</v>
      </c>
      <c r="B182" s="22" t="s">
        <v>20</v>
      </c>
      <c r="C182" s="489" t="s">
        <v>2238</v>
      </c>
      <c r="D182" s="9" t="s">
        <v>1744</v>
      </c>
      <c r="E182" s="9">
        <v>2020.07</v>
      </c>
      <c r="F182" s="9" t="s">
        <v>2135</v>
      </c>
      <c r="G182" s="9" t="s">
        <v>1647</v>
      </c>
      <c r="H182" s="9">
        <v>10</v>
      </c>
      <c r="I182" s="9">
        <v>2</v>
      </c>
      <c r="J182" s="9">
        <v>371600</v>
      </c>
      <c r="K182" s="9">
        <v>173413.3</v>
      </c>
      <c r="L182" s="9">
        <v>198186.7</v>
      </c>
      <c r="M182" s="9" t="s">
        <v>1625</v>
      </c>
      <c r="N182" s="9" t="s">
        <v>1626</v>
      </c>
      <c r="O182" s="9" t="s">
        <v>1421</v>
      </c>
      <c r="P182" s="9" t="s">
        <v>1627</v>
      </c>
      <c r="Q182" s="9" t="s">
        <v>1688</v>
      </c>
      <c r="R182" s="9" t="s">
        <v>1636</v>
      </c>
      <c r="S182" s="9" t="s">
        <v>1630</v>
      </c>
      <c r="T182" s="9" t="s">
        <v>1700</v>
      </c>
      <c r="U182" s="9" t="s">
        <v>1516</v>
      </c>
      <c r="V182" s="9"/>
      <c r="W182" s="9" t="s">
        <v>56</v>
      </c>
      <c r="X182" s="9"/>
      <c r="Y182" s="9"/>
    </row>
    <row r="183" hidden="1" spans="1:25">
      <c r="A183" s="21">
        <v>540425201718001</v>
      </c>
      <c r="B183" s="22" t="s">
        <v>20</v>
      </c>
      <c r="C183" s="489" t="s">
        <v>2239</v>
      </c>
      <c r="D183" s="9" t="s">
        <v>2240</v>
      </c>
      <c r="E183" s="9">
        <v>2019.07</v>
      </c>
      <c r="F183" s="9" t="s">
        <v>952</v>
      </c>
      <c r="G183" s="9" t="s">
        <v>1642</v>
      </c>
      <c r="H183" s="9">
        <v>20</v>
      </c>
      <c r="I183" s="9">
        <v>1</v>
      </c>
      <c r="J183" s="9">
        <v>3016845.89</v>
      </c>
      <c r="K183" s="9">
        <v>829632.62</v>
      </c>
      <c r="L183" s="9">
        <v>2187213.27</v>
      </c>
      <c r="M183" s="9" t="s">
        <v>1625</v>
      </c>
      <c r="N183" s="9" t="s">
        <v>1643</v>
      </c>
      <c r="O183" s="9" t="s">
        <v>1426</v>
      </c>
      <c r="P183" s="9" t="s">
        <v>1627</v>
      </c>
      <c r="Q183" s="9" t="s">
        <v>1628</v>
      </c>
      <c r="R183" s="9" t="s">
        <v>1629</v>
      </c>
      <c r="S183" s="9" t="s">
        <v>1630</v>
      </c>
      <c r="T183" s="9" t="s">
        <v>1700</v>
      </c>
      <c r="U183" s="9" t="s">
        <v>375</v>
      </c>
      <c r="V183" s="9"/>
      <c r="W183" s="9" t="s">
        <v>56</v>
      </c>
      <c r="X183" s="9"/>
      <c r="Y183" s="9"/>
    </row>
    <row r="184" hidden="1" spans="1:25">
      <c r="A184" s="21">
        <v>540425201718001</v>
      </c>
      <c r="B184" s="22" t="s">
        <v>20</v>
      </c>
      <c r="C184" s="489" t="s">
        <v>2241</v>
      </c>
      <c r="D184" s="9" t="s">
        <v>2242</v>
      </c>
      <c r="E184" s="9">
        <v>2019.07</v>
      </c>
      <c r="F184" s="9" t="s">
        <v>952</v>
      </c>
      <c r="G184" s="9" t="s">
        <v>1642</v>
      </c>
      <c r="H184" s="9">
        <v>20</v>
      </c>
      <c r="I184" s="9">
        <v>1</v>
      </c>
      <c r="J184" s="9">
        <v>9097118.43</v>
      </c>
      <c r="K184" s="9">
        <v>2501707.57</v>
      </c>
      <c r="L184" s="9">
        <v>6595410.86</v>
      </c>
      <c r="M184" s="9" t="s">
        <v>1625</v>
      </c>
      <c r="N184" s="9" t="s">
        <v>1643</v>
      </c>
      <c r="O184" s="9" t="s">
        <v>1426</v>
      </c>
      <c r="P184" s="9" t="s">
        <v>1627</v>
      </c>
      <c r="Q184" s="9" t="s">
        <v>1628</v>
      </c>
      <c r="R184" s="9" t="s">
        <v>1629</v>
      </c>
      <c r="S184" s="9" t="s">
        <v>1630</v>
      </c>
      <c r="T184" s="9" t="s">
        <v>1700</v>
      </c>
      <c r="U184" s="9" t="s">
        <v>375</v>
      </c>
      <c r="V184" s="9"/>
      <c r="W184" s="9" t="s">
        <v>56</v>
      </c>
      <c r="X184" s="9"/>
      <c r="Y184" s="9"/>
    </row>
    <row r="185" hidden="1" spans="1:25">
      <c r="A185" s="21">
        <v>540425201718001</v>
      </c>
      <c r="B185" s="22" t="s">
        <v>20</v>
      </c>
      <c r="C185" s="489" t="s">
        <v>2243</v>
      </c>
      <c r="D185" s="9" t="s">
        <v>2244</v>
      </c>
      <c r="E185" s="9">
        <v>2019.07</v>
      </c>
      <c r="F185" s="9" t="s">
        <v>952</v>
      </c>
      <c r="G185" s="9" t="s">
        <v>1642</v>
      </c>
      <c r="H185" s="9">
        <v>20</v>
      </c>
      <c r="I185" s="9">
        <v>1</v>
      </c>
      <c r="J185" s="9">
        <v>498925.92</v>
      </c>
      <c r="K185" s="9">
        <v>137204.63</v>
      </c>
      <c r="L185" s="9">
        <v>361721.29</v>
      </c>
      <c r="M185" s="9" t="s">
        <v>1625</v>
      </c>
      <c r="N185" s="9" t="s">
        <v>1643</v>
      </c>
      <c r="O185" s="9" t="s">
        <v>1426</v>
      </c>
      <c r="P185" s="9" t="s">
        <v>1627</v>
      </c>
      <c r="Q185" s="9" t="s">
        <v>1628</v>
      </c>
      <c r="R185" s="9" t="s">
        <v>1629</v>
      </c>
      <c r="S185" s="9" t="s">
        <v>1630</v>
      </c>
      <c r="T185" s="9" t="s">
        <v>1700</v>
      </c>
      <c r="U185" s="9" t="s">
        <v>375</v>
      </c>
      <c r="V185" s="9"/>
      <c r="W185" s="9" t="s">
        <v>56</v>
      </c>
      <c r="X185" s="9"/>
      <c r="Y185" s="9"/>
    </row>
    <row r="186" hidden="1" spans="1:25">
      <c r="A186" s="21">
        <v>540425201718001</v>
      </c>
      <c r="B186" s="22" t="s">
        <v>20</v>
      </c>
      <c r="C186" s="489" t="s">
        <v>2245</v>
      </c>
      <c r="D186" s="9" t="s">
        <v>1831</v>
      </c>
      <c r="E186" s="9">
        <v>2019.07</v>
      </c>
      <c r="F186" s="9" t="s">
        <v>952</v>
      </c>
      <c r="G186" s="9" t="s">
        <v>1642</v>
      </c>
      <c r="H186" s="9">
        <v>20</v>
      </c>
      <c r="I186" s="9">
        <v>1</v>
      </c>
      <c r="J186" s="9">
        <v>66236.25</v>
      </c>
      <c r="K186" s="9">
        <v>18214.97</v>
      </c>
      <c r="L186" s="9">
        <v>48021.28</v>
      </c>
      <c r="M186" s="9" t="s">
        <v>1625</v>
      </c>
      <c r="N186" s="9" t="s">
        <v>1643</v>
      </c>
      <c r="O186" s="9" t="s">
        <v>1426</v>
      </c>
      <c r="P186" s="9" t="s">
        <v>1627</v>
      </c>
      <c r="Q186" s="9" t="s">
        <v>1628</v>
      </c>
      <c r="R186" s="9" t="s">
        <v>1629</v>
      </c>
      <c r="S186" s="9" t="s">
        <v>1630</v>
      </c>
      <c r="T186" s="9" t="s">
        <v>1700</v>
      </c>
      <c r="U186" s="9" t="s">
        <v>375</v>
      </c>
      <c r="V186" s="9"/>
      <c r="W186" s="9" t="s">
        <v>56</v>
      </c>
      <c r="X186" s="9"/>
      <c r="Y186" s="9"/>
    </row>
    <row r="187" hidden="1" spans="1:25">
      <c r="A187" s="21">
        <v>540425201718001</v>
      </c>
      <c r="B187" s="22" t="s">
        <v>20</v>
      </c>
      <c r="C187" s="489" t="s">
        <v>2246</v>
      </c>
      <c r="D187" s="9" t="s">
        <v>2247</v>
      </c>
      <c r="E187" s="9">
        <v>2019.07</v>
      </c>
      <c r="F187" s="9" t="s">
        <v>952</v>
      </c>
      <c r="G187" s="9" t="s">
        <v>1642</v>
      </c>
      <c r="H187" s="9">
        <v>20</v>
      </c>
      <c r="I187" s="9">
        <v>1</v>
      </c>
      <c r="J187" s="9">
        <v>189150.27</v>
      </c>
      <c r="K187" s="9">
        <v>52016.32</v>
      </c>
      <c r="L187" s="9">
        <v>137133.95</v>
      </c>
      <c r="M187" s="9" t="s">
        <v>1625</v>
      </c>
      <c r="N187" s="9" t="s">
        <v>1643</v>
      </c>
      <c r="O187" s="9" t="s">
        <v>1426</v>
      </c>
      <c r="P187" s="9" t="s">
        <v>1627</v>
      </c>
      <c r="Q187" s="9" t="s">
        <v>1628</v>
      </c>
      <c r="R187" s="9" t="s">
        <v>1878</v>
      </c>
      <c r="S187" s="9" t="s">
        <v>1630</v>
      </c>
      <c r="T187" s="9" t="s">
        <v>1700</v>
      </c>
      <c r="U187" s="9" t="s">
        <v>375</v>
      </c>
      <c r="V187" s="9"/>
      <c r="W187" s="9" t="s">
        <v>56</v>
      </c>
      <c r="X187" s="9"/>
      <c r="Y187" s="9"/>
    </row>
    <row r="188" hidden="1" spans="1:25">
      <c r="A188" s="21">
        <v>540425201718001</v>
      </c>
      <c r="B188" s="22" t="s">
        <v>20</v>
      </c>
      <c r="C188" s="489" t="s">
        <v>2248</v>
      </c>
      <c r="D188" s="9" t="s">
        <v>1843</v>
      </c>
      <c r="E188" s="9">
        <v>2019.07</v>
      </c>
      <c r="F188" s="9" t="s">
        <v>952</v>
      </c>
      <c r="G188" s="9" t="s">
        <v>1647</v>
      </c>
      <c r="H188" s="9">
        <v>10</v>
      </c>
      <c r="I188" s="9">
        <v>1</v>
      </c>
      <c r="J188" s="9">
        <v>33252.75</v>
      </c>
      <c r="K188" s="9">
        <v>18289.01</v>
      </c>
      <c r="L188" s="9">
        <v>14963.74</v>
      </c>
      <c r="M188" s="9" t="s">
        <v>1625</v>
      </c>
      <c r="N188" s="9" t="s">
        <v>1626</v>
      </c>
      <c r="O188" s="9" t="s">
        <v>1426</v>
      </c>
      <c r="P188" s="9" t="s">
        <v>1627</v>
      </c>
      <c r="Q188" s="9" t="s">
        <v>1628</v>
      </c>
      <c r="R188" s="9" t="s">
        <v>1629</v>
      </c>
      <c r="S188" s="9" t="s">
        <v>1630</v>
      </c>
      <c r="T188" s="9" t="s">
        <v>1700</v>
      </c>
      <c r="U188" s="9" t="s">
        <v>375</v>
      </c>
      <c r="V188" s="9"/>
      <c r="W188" s="9" t="s">
        <v>56</v>
      </c>
      <c r="X188" s="9"/>
      <c r="Y188" s="9"/>
    </row>
    <row r="189" hidden="1" spans="1:25">
      <c r="A189" s="21">
        <v>540425201718001</v>
      </c>
      <c r="B189" s="22" t="s">
        <v>20</v>
      </c>
      <c r="C189" s="489" t="s">
        <v>2249</v>
      </c>
      <c r="D189" s="9" t="s">
        <v>2250</v>
      </c>
      <c r="E189" s="9">
        <v>2019.07</v>
      </c>
      <c r="F189" s="9" t="s">
        <v>952</v>
      </c>
      <c r="G189" s="9" t="s">
        <v>1675</v>
      </c>
      <c r="H189" s="9">
        <v>10</v>
      </c>
      <c r="I189" s="9">
        <v>1</v>
      </c>
      <c r="J189" s="9">
        <v>180000</v>
      </c>
      <c r="K189" s="9">
        <v>99000</v>
      </c>
      <c r="L189" s="9">
        <v>81000</v>
      </c>
      <c r="M189" s="9" t="s">
        <v>1625</v>
      </c>
      <c r="N189" s="9" t="s">
        <v>1652</v>
      </c>
      <c r="O189" s="9" t="s">
        <v>1426</v>
      </c>
      <c r="P189" s="9" t="s">
        <v>1627</v>
      </c>
      <c r="Q189" s="9" t="s">
        <v>1628</v>
      </c>
      <c r="R189" s="9" t="s">
        <v>1629</v>
      </c>
      <c r="S189" s="9" t="s">
        <v>1630</v>
      </c>
      <c r="T189" s="9" t="s">
        <v>1700</v>
      </c>
      <c r="U189" s="9" t="s">
        <v>375</v>
      </c>
      <c r="V189" s="9"/>
      <c r="W189" s="9" t="s">
        <v>56</v>
      </c>
      <c r="X189" s="9"/>
      <c r="Y189" s="9"/>
    </row>
    <row r="190" ht="28" hidden="1" spans="1:25">
      <c r="A190" s="21">
        <v>540425201917009</v>
      </c>
      <c r="B190" s="22" t="s">
        <v>20</v>
      </c>
      <c r="C190" s="489" t="s">
        <v>2251</v>
      </c>
      <c r="D190" s="9" t="s">
        <v>2252</v>
      </c>
      <c r="E190" s="9">
        <v>2020.02</v>
      </c>
      <c r="F190" s="9" t="s">
        <v>2214</v>
      </c>
      <c r="G190" s="9" t="s">
        <v>1642</v>
      </c>
      <c r="H190" s="9">
        <v>20</v>
      </c>
      <c r="I190" s="9">
        <v>1</v>
      </c>
      <c r="J190" s="9">
        <v>758182.07</v>
      </c>
      <c r="K190" s="9">
        <v>186386.43</v>
      </c>
      <c r="L190" s="9">
        <v>571795.64</v>
      </c>
      <c r="M190" s="9" t="s">
        <v>1625</v>
      </c>
      <c r="N190" s="9" t="s">
        <v>1643</v>
      </c>
      <c r="O190" s="9" t="s">
        <v>1421</v>
      </c>
      <c r="P190" s="9" t="s">
        <v>1627</v>
      </c>
      <c r="Q190" s="9" t="s">
        <v>1628</v>
      </c>
      <c r="R190" s="9" t="s">
        <v>1629</v>
      </c>
      <c r="S190" s="9" t="s">
        <v>1630</v>
      </c>
      <c r="T190" s="9" t="s">
        <v>1700</v>
      </c>
      <c r="U190" s="9" t="s">
        <v>1064</v>
      </c>
      <c r="V190" s="9"/>
      <c r="W190" s="9" t="s">
        <v>56</v>
      </c>
      <c r="X190" s="9"/>
      <c r="Y190" s="9"/>
    </row>
    <row r="191" ht="28" hidden="1" spans="1:25">
      <c r="A191" s="21">
        <v>540425201917009</v>
      </c>
      <c r="B191" s="22" t="s">
        <v>20</v>
      </c>
      <c r="C191" s="489" t="s">
        <v>2253</v>
      </c>
      <c r="D191" s="9" t="s">
        <v>2254</v>
      </c>
      <c r="E191" s="9">
        <v>2020.02</v>
      </c>
      <c r="F191" s="9" t="s">
        <v>2214</v>
      </c>
      <c r="G191" s="9" t="s">
        <v>2255</v>
      </c>
      <c r="H191" s="9">
        <v>5</v>
      </c>
      <c r="I191" s="9">
        <v>14</v>
      </c>
      <c r="J191" s="9">
        <v>16800</v>
      </c>
      <c r="K191" s="9">
        <v>16520</v>
      </c>
      <c r="L191" s="9">
        <v>280</v>
      </c>
      <c r="M191" s="9" t="s">
        <v>1625</v>
      </c>
      <c r="N191" s="9" t="s">
        <v>2256</v>
      </c>
      <c r="O191" s="9" t="s">
        <v>1421</v>
      </c>
      <c r="P191" s="9" t="s">
        <v>1627</v>
      </c>
      <c r="Q191" s="9" t="s">
        <v>1628</v>
      </c>
      <c r="R191" s="9" t="s">
        <v>1629</v>
      </c>
      <c r="S191" s="9" t="s">
        <v>1630</v>
      </c>
      <c r="T191" s="9" t="s">
        <v>1700</v>
      </c>
      <c r="U191" s="9" t="s">
        <v>1064</v>
      </c>
      <c r="V191" s="9"/>
      <c r="W191" s="9" t="s">
        <v>56</v>
      </c>
      <c r="X191" s="9"/>
      <c r="Y191" s="9"/>
    </row>
    <row r="192" ht="28" hidden="1" spans="1:25">
      <c r="A192" s="21">
        <v>540425201917009</v>
      </c>
      <c r="B192" s="22" t="s">
        <v>20</v>
      </c>
      <c r="C192" s="489" t="s">
        <v>2257</v>
      </c>
      <c r="D192" s="9" t="s">
        <v>2258</v>
      </c>
      <c r="E192" s="9">
        <v>2020.02</v>
      </c>
      <c r="F192" s="9" t="s">
        <v>2214</v>
      </c>
      <c r="G192" s="9" t="s">
        <v>1675</v>
      </c>
      <c r="H192" s="9">
        <v>5</v>
      </c>
      <c r="I192" s="9">
        <v>1</v>
      </c>
      <c r="J192" s="9">
        <v>2500</v>
      </c>
      <c r="K192" s="9">
        <v>2458.33</v>
      </c>
      <c r="L192" s="9">
        <v>41.6700000000001</v>
      </c>
      <c r="M192" s="9" t="s">
        <v>1625</v>
      </c>
      <c r="N192" s="9" t="s">
        <v>2256</v>
      </c>
      <c r="O192" s="9" t="s">
        <v>1421</v>
      </c>
      <c r="P192" s="9" t="s">
        <v>1627</v>
      </c>
      <c r="Q192" s="9" t="s">
        <v>1628</v>
      </c>
      <c r="R192" s="9" t="s">
        <v>1629</v>
      </c>
      <c r="S192" s="9" t="s">
        <v>1630</v>
      </c>
      <c r="T192" s="9" t="s">
        <v>1700</v>
      </c>
      <c r="U192" s="9" t="s">
        <v>1064</v>
      </c>
      <c r="V192" s="9"/>
      <c r="W192" s="9" t="s">
        <v>56</v>
      </c>
      <c r="X192" s="9"/>
      <c r="Y192" s="9"/>
    </row>
    <row r="193" ht="28" hidden="1" spans="1:25">
      <c r="A193" s="21">
        <v>540425201917009</v>
      </c>
      <c r="B193" s="22" t="s">
        <v>20</v>
      </c>
      <c r="C193" s="489" t="s">
        <v>2259</v>
      </c>
      <c r="D193" s="9" t="s">
        <v>2260</v>
      </c>
      <c r="E193" s="9">
        <v>2020.02</v>
      </c>
      <c r="F193" s="9" t="s">
        <v>2214</v>
      </c>
      <c r="G193" s="9" t="s">
        <v>1675</v>
      </c>
      <c r="H193" s="9">
        <v>5</v>
      </c>
      <c r="I193" s="9">
        <v>1</v>
      </c>
      <c r="J193" s="9">
        <v>5000</v>
      </c>
      <c r="K193" s="9">
        <v>4916.67</v>
      </c>
      <c r="L193" s="9">
        <v>83.3299999999999</v>
      </c>
      <c r="M193" s="9" t="s">
        <v>1625</v>
      </c>
      <c r="N193" s="9" t="s">
        <v>2256</v>
      </c>
      <c r="O193" s="9" t="s">
        <v>1421</v>
      </c>
      <c r="P193" s="9" t="s">
        <v>1627</v>
      </c>
      <c r="Q193" s="9" t="s">
        <v>1628</v>
      </c>
      <c r="R193" s="9" t="s">
        <v>1629</v>
      </c>
      <c r="S193" s="9" t="s">
        <v>1630</v>
      </c>
      <c r="T193" s="9" t="s">
        <v>1700</v>
      </c>
      <c r="U193" s="9" t="s">
        <v>1064</v>
      </c>
      <c r="V193" s="9"/>
      <c r="W193" s="9" t="s">
        <v>56</v>
      </c>
      <c r="X193" s="9"/>
      <c r="Y193" s="9"/>
    </row>
    <row r="194" ht="28" hidden="1" spans="1:25">
      <c r="A194" s="21">
        <v>540425201907016</v>
      </c>
      <c r="B194" s="22" t="s">
        <v>20</v>
      </c>
      <c r="C194" s="489" t="s">
        <v>2277</v>
      </c>
      <c r="D194" s="9" t="s">
        <v>1698</v>
      </c>
      <c r="E194" s="9">
        <v>2020.03</v>
      </c>
      <c r="F194" s="9" t="s">
        <v>2278</v>
      </c>
      <c r="G194" s="9" t="s">
        <v>1642</v>
      </c>
      <c r="H194" s="9">
        <v>20</v>
      </c>
      <c r="I194" s="9">
        <v>1</v>
      </c>
      <c r="J194" s="9">
        <v>366700</v>
      </c>
      <c r="K194" s="9">
        <v>177238.33</v>
      </c>
      <c r="L194" s="9">
        <v>189461.67</v>
      </c>
      <c r="M194" s="9" t="s">
        <v>1625</v>
      </c>
      <c r="N194" s="9" t="s">
        <v>1643</v>
      </c>
      <c r="O194" s="9" t="s">
        <v>1421</v>
      </c>
      <c r="P194" s="9" t="s">
        <v>1627</v>
      </c>
      <c r="Q194" s="9" t="s">
        <v>1688</v>
      </c>
      <c r="R194" s="9" t="s">
        <v>1636</v>
      </c>
      <c r="S194" s="9" t="s">
        <v>1630</v>
      </c>
      <c r="T194" s="9" t="s">
        <v>1636</v>
      </c>
      <c r="U194" s="9" t="s">
        <v>1535</v>
      </c>
      <c r="V194" s="9"/>
      <c r="W194" s="9" t="s">
        <v>56</v>
      </c>
      <c r="X194" s="9"/>
      <c r="Y194" s="9"/>
    </row>
    <row r="195" ht="28" hidden="1" spans="1:25">
      <c r="A195" s="21">
        <v>540425201907016</v>
      </c>
      <c r="B195" s="22" t="s">
        <v>20</v>
      </c>
      <c r="C195" s="489" t="s">
        <v>2279</v>
      </c>
      <c r="D195" s="9" t="s">
        <v>1709</v>
      </c>
      <c r="E195" s="9">
        <v>2020.03</v>
      </c>
      <c r="F195" s="9" t="s">
        <v>2278</v>
      </c>
      <c r="G195" s="9" t="s">
        <v>2152</v>
      </c>
      <c r="H195" s="9">
        <v>3</v>
      </c>
      <c r="I195" s="9">
        <v>33</v>
      </c>
      <c r="J195" s="9">
        <v>115500</v>
      </c>
      <c r="K195" s="9"/>
      <c r="L195" s="9">
        <v>0</v>
      </c>
      <c r="M195" s="9" t="s">
        <v>1685</v>
      </c>
      <c r="N195" s="9" t="s">
        <v>1686</v>
      </c>
      <c r="O195" s="9" t="s">
        <v>1421</v>
      </c>
      <c r="P195" s="9" t="s">
        <v>1627</v>
      </c>
      <c r="Q195" s="9" t="s">
        <v>1688</v>
      </c>
      <c r="R195" s="9" t="s">
        <v>1636</v>
      </c>
      <c r="S195" s="9" t="s">
        <v>1630</v>
      </c>
      <c r="T195" s="9" t="s">
        <v>1636</v>
      </c>
      <c r="U195" s="9" t="s">
        <v>1535</v>
      </c>
      <c r="V195" s="9"/>
      <c r="W195" s="9" t="s">
        <v>56</v>
      </c>
      <c r="X195" s="9"/>
      <c r="Y195" s="9"/>
    </row>
    <row r="196" ht="28" hidden="1" spans="1:25">
      <c r="A196" s="21">
        <v>540425201907016</v>
      </c>
      <c r="B196" s="22" t="s">
        <v>20</v>
      </c>
      <c r="C196" s="489" t="s">
        <v>2280</v>
      </c>
      <c r="D196" s="9" t="s">
        <v>1704</v>
      </c>
      <c r="E196" s="9">
        <v>2020.03</v>
      </c>
      <c r="F196" s="9" t="s">
        <v>2278</v>
      </c>
      <c r="G196" s="9" t="s">
        <v>1675</v>
      </c>
      <c r="H196" s="9">
        <v>10</v>
      </c>
      <c r="I196" s="9">
        <v>1</v>
      </c>
      <c r="J196" s="9">
        <v>10000</v>
      </c>
      <c r="K196" s="9">
        <v>4833.33</v>
      </c>
      <c r="L196" s="9">
        <v>5166.67</v>
      </c>
      <c r="M196" s="9" t="s">
        <v>1625</v>
      </c>
      <c r="N196" s="9" t="s">
        <v>1652</v>
      </c>
      <c r="O196" s="9" t="s">
        <v>1421</v>
      </c>
      <c r="P196" s="9" t="s">
        <v>1627</v>
      </c>
      <c r="Q196" s="9" t="s">
        <v>1688</v>
      </c>
      <c r="R196" s="9" t="s">
        <v>1636</v>
      </c>
      <c r="S196" s="9" t="s">
        <v>1630</v>
      </c>
      <c r="T196" s="9" t="s">
        <v>1636</v>
      </c>
      <c r="U196" s="9" t="s">
        <v>1535</v>
      </c>
      <c r="V196" s="9"/>
      <c r="W196" s="9" t="s">
        <v>56</v>
      </c>
      <c r="X196" s="9"/>
      <c r="Y196" s="9"/>
    </row>
    <row r="197" ht="28" hidden="1" spans="1:25">
      <c r="A197" s="21">
        <v>540425201907016</v>
      </c>
      <c r="B197" s="22" t="s">
        <v>20</v>
      </c>
      <c r="C197" s="489" t="s">
        <v>2281</v>
      </c>
      <c r="D197" s="9" t="s">
        <v>1707</v>
      </c>
      <c r="E197" s="9">
        <v>2020.03</v>
      </c>
      <c r="F197" s="9" t="s">
        <v>2278</v>
      </c>
      <c r="G197" s="9" t="s">
        <v>1675</v>
      </c>
      <c r="H197" s="9">
        <v>10</v>
      </c>
      <c r="I197" s="9">
        <v>1</v>
      </c>
      <c r="J197" s="9">
        <v>7800</v>
      </c>
      <c r="K197" s="9">
        <v>3770</v>
      </c>
      <c r="L197" s="9">
        <v>4030</v>
      </c>
      <c r="M197" s="9" t="s">
        <v>1625</v>
      </c>
      <c r="N197" s="9" t="s">
        <v>1652</v>
      </c>
      <c r="O197" s="9" t="s">
        <v>1421</v>
      </c>
      <c r="P197" s="9" t="s">
        <v>1627</v>
      </c>
      <c r="Q197" s="9" t="s">
        <v>1688</v>
      </c>
      <c r="R197" s="9" t="s">
        <v>1636</v>
      </c>
      <c r="S197" s="9" t="s">
        <v>1630</v>
      </c>
      <c r="T197" s="9" t="s">
        <v>1636</v>
      </c>
      <c r="U197" s="9" t="s">
        <v>1535</v>
      </c>
      <c r="V197" s="9"/>
      <c r="W197" s="9" t="s">
        <v>56</v>
      </c>
      <c r="X197" s="9"/>
      <c r="Y197" s="9"/>
    </row>
    <row r="198" ht="28" hidden="1" spans="1:25">
      <c r="A198" s="21">
        <v>540425201820016</v>
      </c>
      <c r="B198" s="22" t="s">
        <v>20</v>
      </c>
      <c r="C198" s="489" t="s">
        <v>2282</v>
      </c>
      <c r="D198" s="9" t="s">
        <v>2170</v>
      </c>
      <c r="E198" s="9">
        <v>2019.03</v>
      </c>
      <c r="F198" s="9" t="s">
        <v>2135</v>
      </c>
      <c r="G198" s="9" t="s">
        <v>2063</v>
      </c>
      <c r="H198" s="9">
        <v>10</v>
      </c>
      <c r="I198" s="9">
        <v>3622</v>
      </c>
      <c r="J198" s="9">
        <v>362240</v>
      </c>
      <c r="K198" s="9">
        <v>211306.7</v>
      </c>
      <c r="L198" s="9">
        <v>150933.3</v>
      </c>
      <c r="M198" s="9" t="s">
        <v>1685</v>
      </c>
      <c r="N198" s="9" t="s">
        <v>1866</v>
      </c>
      <c r="O198" s="9" t="s">
        <v>1421</v>
      </c>
      <c r="P198" s="9" t="s">
        <v>1627</v>
      </c>
      <c r="Q198" s="9" t="s">
        <v>1688</v>
      </c>
      <c r="R198" s="9" t="s">
        <v>1636</v>
      </c>
      <c r="S198" s="9" t="s">
        <v>1630</v>
      </c>
      <c r="T198" s="9" t="s">
        <v>1636</v>
      </c>
      <c r="U198" s="9" t="s">
        <v>1516</v>
      </c>
      <c r="V198" s="9"/>
      <c r="W198" s="9" t="s">
        <v>56</v>
      </c>
      <c r="X198" s="9"/>
      <c r="Y198" s="9"/>
    </row>
    <row r="199" ht="28" hidden="1" spans="1:25">
      <c r="A199" s="21">
        <v>540425201820016</v>
      </c>
      <c r="B199" s="22" t="s">
        <v>20</v>
      </c>
      <c r="C199" s="489" t="s">
        <v>2400</v>
      </c>
      <c r="D199" s="9" t="s">
        <v>2391</v>
      </c>
      <c r="E199" s="9">
        <v>2019.03</v>
      </c>
      <c r="F199" s="9" t="s">
        <v>2135</v>
      </c>
      <c r="G199" s="9" t="s">
        <v>2063</v>
      </c>
      <c r="H199" s="9">
        <v>10</v>
      </c>
      <c r="I199" s="9">
        <v>5434</v>
      </c>
      <c r="J199" s="9">
        <v>543360</v>
      </c>
      <c r="K199" s="9">
        <v>543360</v>
      </c>
      <c r="L199" s="9">
        <v>0</v>
      </c>
      <c r="M199" s="9" t="s">
        <v>1685</v>
      </c>
      <c r="N199" s="9" t="s">
        <v>1866</v>
      </c>
      <c r="O199" s="9" t="s">
        <v>1421</v>
      </c>
      <c r="P199" s="9" t="s">
        <v>1687</v>
      </c>
      <c r="Q199" s="9" t="s">
        <v>1688</v>
      </c>
      <c r="R199" s="9" t="s">
        <v>1689</v>
      </c>
      <c r="S199" s="9" t="s">
        <v>1630</v>
      </c>
      <c r="T199" s="9" t="s">
        <v>1636</v>
      </c>
      <c r="U199" s="9" t="s">
        <v>1516</v>
      </c>
      <c r="V199" s="9"/>
      <c r="W199" s="9" t="s">
        <v>56</v>
      </c>
      <c r="X199" s="9"/>
      <c r="Y199" s="9"/>
    </row>
  </sheetData>
  <sheetProtection formatCells="0" formatColumns="0" formatRows="0" insertRows="0" insertColumns="0" insertHyperlinks="0" deleteColumns="0" deleteRows="0" sort="0" autoFilter="0" pivotTables="0"/>
  <autoFilter xmlns:etc="http://www.wps.cn/officeDocument/2017/etCustomData" ref="A3:Y199" etc:filterBottomFollowUsedRange="0">
    <filterColumn colId="0">
      <customFilters>
        <customFilter operator="equal" val="540425201912011"/>
      </customFilters>
    </filterColumn>
    <extLst/>
  </autoFilter>
  <mergeCells count="2">
    <mergeCell ref="A1:Y1"/>
    <mergeCell ref="Q2:R2"/>
  </mergeCells>
  <pageMargins left="0.751388888888889" right="0.751388888888889" top="1" bottom="1" header="0.5" footer="0.5"/>
  <pageSetup paperSize="9" scale="37" fitToHeight="0" orientation="landscape" horizontalDpi="6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Y98"/>
  <sheetViews>
    <sheetView workbookViewId="0">
      <pane ySplit="3" topLeftCell="A88" activePane="bottomLeft" state="frozen"/>
      <selection/>
      <selection pane="bottomLeft" activeCell="E3" sqref="E3"/>
    </sheetView>
  </sheetViews>
  <sheetFormatPr defaultColWidth="9.02727272727273" defaultRowHeight="14"/>
  <cols>
    <col min="1" max="1" width="18.2545454545455" style="1" customWidth="1"/>
    <col min="2" max="2" width="16.6090909090909" style="1" customWidth="1"/>
    <col min="3" max="3" width="22.8" style="1" customWidth="1"/>
    <col min="4" max="4" width="16.5545454545455" style="1" customWidth="1"/>
    <col min="5" max="5" width="14.0545454545455" style="1" customWidth="1"/>
    <col min="6" max="6" width="14.3727272727273" style="1" customWidth="1"/>
    <col min="7" max="7" width="9.5" style="1" customWidth="1"/>
    <col min="8" max="8" width="17.6272727272727" style="1" customWidth="1"/>
    <col min="9" max="9" width="9.5" style="1" customWidth="1"/>
    <col min="10" max="10" width="16" style="1" customWidth="1"/>
    <col min="11" max="11" width="24.6818181818182" style="1" customWidth="1"/>
    <col min="12" max="12" width="17.5" style="1" customWidth="1"/>
    <col min="13" max="13" width="13.5" style="1" customWidth="1"/>
    <col min="14" max="14" width="19.6272727272727" style="1" customWidth="1"/>
    <col min="15" max="15" width="12" style="1" customWidth="1"/>
    <col min="16" max="16" width="9.25454545454545" style="1" customWidth="1"/>
    <col min="17" max="18" width="12.7545454545455" style="1" customWidth="1"/>
    <col min="19" max="19" width="10.8727272727273" style="1" customWidth="1"/>
    <col min="20" max="20" width="12.1272727272727" style="1" customWidth="1"/>
    <col min="21" max="21" width="22.8090909090909" style="1" customWidth="1"/>
    <col min="22" max="22" width="12.1272727272727" style="1" customWidth="1"/>
    <col min="23" max="25" width="9.23636363636364" style="1"/>
    <col min="26" max="16384" width="9.02727272727273" style="1"/>
  </cols>
  <sheetData>
    <row r="1" ht="79" customHeight="1" spans="1:25">
      <c r="A1" s="2" t="s">
        <v>2401</v>
      </c>
      <c r="B1" s="2"/>
      <c r="C1" s="2"/>
      <c r="D1" s="2"/>
      <c r="E1" s="2"/>
      <c r="F1" s="2"/>
      <c r="G1" s="2"/>
      <c r="H1" s="2"/>
      <c r="I1" s="2"/>
      <c r="J1" s="2"/>
      <c r="K1" s="2"/>
      <c r="L1" s="2"/>
      <c r="M1" s="2"/>
      <c r="N1" s="2"/>
      <c r="O1" s="2"/>
      <c r="P1" s="2"/>
      <c r="Q1" s="2"/>
      <c r="R1" s="2"/>
      <c r="S1" s="2"/>
      <c r="T1" s="2"/>
      <c r="U1" s="2"/>
      <c r="V1" s="2"/>
      <c r="W1" s="2"/>
      <c r="X1" s="2"/>
      <c r="Y1" s="2"/>
    </row>
    <row r="2" ht="70" spans="1:25">
      <c r="A2" s="3" t="s">
        <v>1588</v>
      </c>
      <c r="B2" s="3" t="s">
        <v>1400</v>
      </c>
      <c r="C2" s="3" t="s">
        <v>2402</v>
      </c>
      <c r="D2" s="3" t="s">
        <v>2372</v>
      </c>
      <c r="E2" s="3" t="s">
        <v>1591</v>
      </c>
      <c r="F2" s="3" t="s">
        <v>2373</v>
      </c>
      <c r="G2" s="3" t="s">
        <v>1593</v>
      </c>
      <c r="H2" s="3" t="s">
        <v>1594</v>
      </c>
      <c r="I2" s="3" t="s">
        <v>1402</v>
      </c>
      <c r="J2" s="3" t="s">
        <v>2375</v>
      </c>
      <c r="K2" s="3" t="s">
        <v>2376</v>
      </c>
      <c r="L2" s="3" t="s">
        <v>2377</v>
      </c>
      <c r="M2" s="3" t="s">
        <v>1598</v>
      </c>
      <c r="N2" s="3" t="s">
        <v>1599</v>
      </c>
      <c r="O2" s="3" t="s">
        <v>1405</v>
      </c>
      <c r="P2" s="4" t="s">
        <v>1601</v>
      </c>
      <c r="Q2" s="3" t="s">
        <v>1602</v>
      </c>
      <c r="R2" s="3" t="s">
        <v>1603</v>
      </c>
      <c r="S2" s="3" t="s">
        <v>2379</v>
      </c>
      <c r="T2" s="3" t="s">
        <v>1604</v>
      </c>
      <c r="U2" s="3" t="s">
        <v>2403</v>
      </c>
      <c r="V2" s="3" t="s">
        <v>2404</v>
      </c>
      <c r="W2" s="3" t="s">
        <v>2405</v>
      </c>
      <c r="X2" s="3" t="s">
        <v>2406</v>
      </c>
      <c r="Y2" s="3" t="s">
        <v>893</v>
      </c>
    </row>
    <row r="3" ht="101" customHeight="1" spans="1:25">
      <c r="A3" s="5" t="s">
        <v>2384</v>
      </c>
      <c r="B3" s="5"/>
      <c r="C3" s="5" t="s">
        <v>1606</v>
      </c>
      <c r="D3" s="5" t="s">
        <v>1607</v>
      </c>
      <c r="E3" s="5" t="s">
        <v>1608</v>
      </c>
      <c r="F3" s="5"/>
      <c r="G3" s="5"/>
      <c r="H3" s="5" t="s">
        <v>1609</v>
      </c>
      <c r="I3" s="5"/>
      <c r="J3" s="5" t="s">
        <v>1610</v>
      </c>
      <c r="K3" s="5" t="s">
        <v>1611</v>
      </c>
      <c r="L3" s="5" t="s">
        <v>2407</v>
      </c>
      <c r="M3" s="5" t="s">
        <v>2385</v>
      </c>
      <c r="N3" s="5" t="s">
        <v>1614</v>
      </c>
      <c r="O3" s="5" t="s">
        <v>1615</v>
      </c>
      <c r="P3" s="5" t="s">
        <v>2408</v>
      </c>
      <c r="Q3" s="6" t="s">
        <v>1617</v>
      </c>
      <c r="R3" s="7" t="s">
        <v>1618</v>
      </c>
      <c r="S3" s="5" t="s">
        <v>1619</v>
      </c>
      <c r="T3" s="6" t="s">
        <v>2386</v>
      </c>
      <c r="U3" s="5"/>
      <c r="V3" s="5"/>
      <c r="W3" s="5" t="s">
        <v>2387</v>
      </c>
      <c r="X3" s="5" t="s">
        <v>2409</v>
      </c>
      <c r="Y3" s="5"/>
    </row>
    <row r="4" ht="28" spans="1:25">
      <c r="A4" s="8">
        <v>540425201912012</v>
      </c>
      <c r="B4" s="9" t="s">
        <v>20</v>
      </c>
      <c r="C4" s="9" t="s">
        <v>2007</v>
      </c>
      <c r="D4" s="9" t="s">
        <v>1843</v>
      </c>
      <c r="E4" s="10">
        <v>43862</v>
      </c>
      <c r="F4" s="9" t="s">
        <v>1996</v>
      </c>
      <c r="G4" s="9" t="s">
        <v>1647</v>
      </c>
      <c r="H4" s="9">
        <v>10</v>
      </c>
      <c r="I4" s="9">
        <v>2</v>
      </c>
      <c r="J4" s="9">
        <v>9300</v>
      </c>
      <c r="K4" s="9">
        <v>4572.5</v>
      </c>
      <c r="L4" s="9">
        <v>4727.5</v>
      </c>
      <c r="M4" s="9" t="s">
        <v>1625</v>
      </c>
      <c r="N4" s="9" t="s">
        <v>1626</v>
      </c>
      <c r="O4" s="9" t="s">
        <v>1421</v>
      </c>
      <c r="P4" s="9" t="s">
        <v>1705</v>
      </c>
      <c r="Q4" s="9" t="s">
        <v>1628</v>
      </c>
      <c r="R4" s="9" t="s">
        <v>1629</v>
      </c>
      <c r="S4" s="9" t="s">
        <v>1630</v>
      </c>
      <c r="T4" s="9" t="s">
        <v>1700</v>
      </c>
      <c r="U4" s="9" t="s">
        <v>1477</v>
      </c>
      <c r="V4" s="9"/>
      <c r="W4" s="9" t="s">
        <v>56</v>
      </c>
      <c r="X4" s="9"/>
      <c r="Y4" s="9"/>
    </row>
    <row r="5" ht="28" spans="1:25">
      <c r="A5" s="8">
        <v>540425201912012</v>
      </c>
      <c r="B5" s="9" t="s">
        <v>20</v>
      </c>
      <c r="C5" s="9" t="s">
        <v>2008</v>
      </c>
      <c r="D5" s="9" t="s">
        <v>1929</v>
      </c>
      <c r="E5" s="10">
        <v>43862</v>
      </c>
      <c r="F5" s="9" t="s">
        <v>1996</v>
      </c>
      <c r="G5" s="9" t="s">
        <v>1865</v>
      </c>
      <c r="H5" s="9">
        <v>10</v>
      </c>
      <c r="I5" s="9">
        <v>277914</v>
      </c>
      <c r="J5" s="9">
        <v>613620</v>
      </c>
      <c r="K5" s="9">
        <v>301696.5</v>
      </c>
      <c r="L5" s="9">
        <v>311923.5</v>
      </c>
      <c r="M5" s="9" t="s">
        <v>1685</v>
      </c>
      <c r="N5" s="9" t="s">
        <v>1866</v>
      </c>
      <c r="O5" s="9" t="s">
        <v>1421</v>
      </c>
      <c r="P5" s="9" t="s">
        <v>1705</v>
      </c>
      <c r="Q5" s="9" t="s">
        <v>1628</v>
      </c>
      <c r="R5" s="9" t="s">
        <v>1629</v>
      </c>
      <c r="S5" s="9" t="s">
        <v>1630</v>
      </c>
      <c r="T5" s="9" t="s">
        <v>1700</v>
      </c>
      <c r="U5" s="9" t="s">
        <v>1477</v>
      </c>
      <c r="V5" s="9"/>
      <c r="W5" s="9" t="s">
        <v>56</v>
      </c>
      <c r="X5" s="9"/>
      <c r="Y5" s="9"/>
    </row>
    <row r="6" ht="28" spans="1:25">
      <c r="A6" s="8">
        <v>540425201912013</v>
      </c>
      <c r="B6" s="9" t="s">
        <v>20</v>
      </c>
      <c r="C6" s="9" t="s">
        <v>2009</v>
      </c>
      <c r="D6" s="9" t="s">
        <v>1951</v>
      </c>
      <c r="E6" s="10">
        <v>43831</v>
      </c>
      <c r="F6" s="9" t="s">
        <v>1996</v>
      </c>
      <c r="G6" s="9" t="s">
        <v>1647</v>
      </c>
      <c r="H6" s="9">
        <v>10</v>
      </c>
      <c r="I6" s="9">
        <v>1</v>
      </c>
      <c r="J6" s="9">
        <v>79800</v>
      </c>
      <c r="K6" s="9">
        <v>39900</v>
      </c>
      <c r="L6" s="9">
        <v>39900</v>
      </c>
      <c r="M6" s="9" t="s">
        <v>1625</v>
      </c>
      <c r="N6" s="9" t="s">
        <v>1626</v>
      </c>
      <c r="O6" s="9" t="s">
        <v>1421</v>
      </c>
      <c r="P6" s="9" t="s">
        <v>1627</v>
      </c>
      <c r="Q6" s="9" t="s">
        <v>1969</v>
      </c>
      <c r="R6" s="9" t="s">
        <v>1636</v>
      </c>
      <c r="S6" s="9" t="s">
        <v>1630</v>
      </c>
      <c r="T6" s="9" t="s">
        <v>1700</v>
      </c>
      <c r="U6" s="9" t="s">
        <v>1477</v>
      </c>
      <c r="V6" s="9"/>
      <c r="W6" s="9" t="s">
        <v>56</v>
      </c>
      <c r="X6" s="9"/>
      <c r="Y6" s="9"/>
    </row>
    <row r="7" ht="28" spans="1:25">
      <c r="A7" s="8">
        <v>540425201912013</v>
      </c>
      <c r="B7" s="9" t="s">
        <v>20</v>
      </c>
      <c r="C7" s="9" t="s">
        <v>2010</v>
      </c>
      <c r="D7" s="9" t="s">
        <v>1956</v>
      </c>
      <c r="E7" s="10">
        <v>43831</v>
      </c>
      <c r="F7" s="9" t="s">
        <v>1996</v>
      </c>
      <c r="G7" s="9" t="s">
        <v>2006</v>
      </c>
      <c r="H7" s="9">
        <v>10</v>
      </c>
      <c r="I7" s="9">
        <v>1</v>
      </c>
      <c r="J7" s="9">
        <v>126900</v>
      </c>
      <c r="K7" s="9">
        <v>63450</v>
      </c>
      <c r="L7" s="9">
        <v>63450</v>
      </c>
      <c r="M7" s="9" t="s">
        <v>1625</v>
      </c>
      <c r="N7" s="9" t="s">
        <v>1626</v>
      </c>
      <c r="O7" s="9" t="s">
        <v>1421</v>
      </c>
      <c r="P7" s="9" t="s">
        <v>1705</v>
      </c>
      <c r="Q7" s="9" t="s">
        <v>1628</v>
      </c>
      <c r="R7" s="9" t="s">
        <v>1629</v>
      </c>
      <c r="S7" s="9" t="s">
        <v>1630</v>
      </c>
      <c r="T7" s="9" t="s">
        <v>1700</v>
      </c>
      <c r="U7" s="9" t="s">
        <v>1477</v>
      </c>
      <c r="V7" s="9"/>
      <c r="W7" s="9" t="s">
        <v>56</v>
      </c>
      <c r="X7" s="9"/>
      <c r="Y7" s="9"/>
    </row>
    <row r="8" ht="28" spans="1:25">
      <c r="A8" s="8">
        <v>540425201912013</v>
      </c>
      <c r="B8" s="9" t="s">
        <v>20</v>
      </c>
      <c r="C8" s="9" t="s">
        <v>2011</v>
      </c>
      <c r="D8" s="9" t="s">
        <v>1929</v>
      </c>
      <c r="E8" s="10">
        <v>43831</v>
      </c>
      <c r="F8" s="9" t="s">
        <v>1996</v>
      </c>
      <c r="G8" s="9" t="s">
        <v>1865</v>
      </c>
      <c r="H8" s="9">
        <v>10</v>
      </c>
      <c r="I8" s="9">
        <v>358925</v>
      </c>
      <c r="J8" s="9">
        <v>215355</v>
      </c>
      <c r="K8" s="9">
        <v>107677.5</v>
      </c>
      <c r="L8" s="9">
        <v>107677.5</v>
      </c>
      <c r="M8" s="9" t="s">
        <v>1685</v>
      </c>
      <c r="N8" s="9" t="s">
        <v>1866</v>
      </c>
      <c r="O8" s="9" t="s">
        <v>1421</v>
      </c>
      <c r="P8" s="9" t="s">
        <v>1705</v>
      </c>
      <c r="Q8" s="9" t="s">
        <v>1628</v>
      </c>
      <c r="R8" s="9" t="s">
        <v>1629</v>
      </c>
      <c r="S8" s="9" t="s">
        <v>1630</v>
      </c>
      <c r="T8" s="9" t="s">
        <v>1700</v>
      </c>
      <c r="U8" s="9" t="s">
        <v>1477</v>
      </c>
      <c r="V8" s="9"/>
      <c r="W8" s="9" t="s">
        <v>56</v>
      </c>
      <c r="X8" s="9"/>
      <c r="Y8" s="9"/>
    </row>
    <row r="9" ht="28" spans="1:25">
      <c r="A9" s="8">
        <v>540425201919026</v>
      </c>
      <c r="B9" s="9" t="s">
        <v>20</v>
      </c>
      <c r="C9" s="9" t="s">
        <v>2061</v>
      </c>
      <c r="D9" s="9" t="s">
        <v>2062</v>
      </c>
      <c r="E9" s="10">
        <v>43922</v>
      </c>
      <c r="F9" s="9" t="s">
        <v>1984</v>
      </c>
      <c r="G9" s="9" t="s">
        <v>2063</v>
      </c>
      <c r="H9" s="9">
        <v>10</v>
      </c>
      <c r="I9" s="9">
        <v>6066</v>
      </c>
      <c r="J9" s="9">
        <v>289500</v>
      </c>
      <c r="K9" s="9">
        <v>289500</v>
      </c>
      <c r="L9" s="9">
        <v>0</v>
      </c>
      <c r="M9" s="9" t="s">
        <v>1685</v>
      </c>
      <c r="N9" s="9" t="s">
        <v>1866</v>
      </c>
      <c r="O9" s="9" t="s">
        <v>1421</v>
      </c>
      <c r="P9" s="9" t="s">
        <v>1687</v>
      </c>
      <c r="Q9" s="9" t="s">
        <v>1628</v>
      </c>
      <c r="R9" s="9" t="s">
        <v>1629</v>
      </c>
      <c r="S9" s="9" t="s">
        <v>1630</v>
      </c>
      <c r="T9" s="9" t="s">
        <v>1700</v>
      </c>
      <c r="U9" s="9" t="s">
        <v>1482</v>
      </c>
      <c r="V9" s="9"/>
      <c r="W9" s="9" t="s">
        <v>56</v>
      </c>
      <c r="X9" s="9"/>
      <c r="Y9" s="9"/>
    </row>
    <row r="10" ht="28" spans="1:25">
      <c r="A10" s="8">
        <v>540425201919026</v>
      </c>
      <c r="B10" s="9" t="s">
        <v>20</v>
      </c>
      <c r="C10" s="9" t="s">
        <v>2064</v>
      </c>
      <c r="D10" s="9" t="s">
        <v>1956</v>
      </c>
      <c r="E10" s="10">
        <v>43922</v>
      </c>
      <c r="F10" s="9" t="s">
        <v>1984</v>
      </c>
      <c r="G10" s="9" t="s">
        <v>2065</v>
      </c>
      <c r="H10" s="9">
        <v>10</v>
      </c>
      <c r="I10" s="9">
        <v>1</v>
      </c>
      <c r="J10" s="9">
        <v>69200</v>
      </c>
      <c r="K10" s="9">
        <v>32870</v>
      </c>
      <c r="L10" s="9">
        <v>36330</v>
      </c>
      <c r="M10" s="9" t="s">
        <v>1625</v>
      </c>
      <c r="N10" s="9" t="s">
        <v>1626</v>
      </c>
      <c r="O10" s="9" t="s">
        <v>1421</v>
      </c>
      <c r="P10" s="9" t="s">
        <v>1705</v>
      </c>
      <c r="Q10" s="9" t="s">
        <v>1628</v>
      </c>
      <c r="R10" s="9" t="s">
        <v>1629</v>
      </c>
      <c r="S10" s="9" t="s">
        <v>1630</v>
      </c>
      <c r="T10" s="9" t="s">
        <v>1700</v>
      </c>
      <c r="U10" s="9" t="s">
        <v>1482</v>
      </c>
      <c r="V10" s="9"/>
      <c r="W10" s="9" t="s">
        <v>56</v>
      </c>
      <c r="X10" s="9"/>
      <c r="Y10" s="9"/>
    </row>
    <row r="11" ht="28" spans="1:25">
      <c r="A11" s="8">
        <v>540425201819013</v>
      </c>
      <c r="B11" s="9" t="s">
        <v>20</v>
      </c>
      <c r="C11" s="9" t="s">
        <v>2066</v>
      </c>
      <c r="D11" s="9" t="s">
        <v>2067</v>
      </c>
      <c r="E11" s="10">
        <v>43435</v>
      </c>
      <c r="F11" s="9" t="s">
        <v>2068</v>
      </c>
      <c r="G11" s="9" t="s">
        <v>2389</v>
      </c>
      <c r="H11" s="9">
        <v>10</v>
      </c>
      <c r="I11" s="9">
        <v>60000</v>
      </c>
      <c r="J11" s="9">
        <v>450000</v>
      </c>
      <c r="K11" s="9">
        <v>273750</v>
      </c>
      <c r="L11" s="9">
        <v>176250</v>
      </c>
      <c r="M11" s="9" t="s">
        <v>1625</v>
      </c>
      <c r="N11" s="9" t="s">
        <v>1866</v>
      </c>
      <c r="O11" s="9" t="s">
        <v>1421</v>
      </c>
      <c r="P11" s="9" t="s">
        <v>1705</v>
      </c>
      <c r="Q11" s="9" t="s">
        <v>1628</v>
      </c>
      <c r="R11" s="9" t="s">
        <v>1629</v>
      </c>
      <c r="S11" s="9" t="s">
        <v>1630</v>
      </c>
      <c r="T11" s="9" t="s">
        <v>1700</v>
      </c>
      <c r="U11" s="9" t="s">
        <v>1480</v>
      </c>
      <c r="V11" s="9"/>
      <c r="W11" s="9" t="s">
        <v>56</v>
      </c>
      <c r="X11" s="9"/>
      <c r="Y11" s="9"/>
    </row>
    <row r="12" spans="1:25">
      <c r="A12" s="8">
        <v>540425201919023</v>
      </c>
      <c r="B12" s="9" t="s">
        <v>20</v>
      </c>
      <c r="C12" s="9" t="s">
        <v>2071</v>
      </c>
      <c r="D12" s="9" t="s">
        <v>2072</v>
      </c>
      <c r="E12" s="10">
        <v>43862</v>
      </c>
      <c r="F12" s="9" t="s">
        <v>2073</v>
      </c>
      <c r="G12" s="9" t="s">
        <v>1642</v>
      </c>
      <c r="H12" s="9">
        <v>20</v>
      </c>
      <c r="I12" s="9">
        <v>1</v>
      </c>
      <c r="J12" s="9">
        <v>1667000</v>
      </c>
      <c r="K12" s="9">
        <v>409804.17</v>
      </c>
      <c r="L12" s="9">
        <v>1257195.83</v>
      </c>
      <c r="M12" s="9" t="s">
        <v>1625</v>
      </c>
      <c r="N12" s="9" t="s">
        <v>1643</v>
      </c>
      <c r="O12" s="9" t="s">
        <v>1421</v>
      </c>
      <c r="P12" s="9" t="s">
        <v>1627</v>
      </c>
      <c r="Q12" s="9" t="s">
        <v>1969</v>
      </c>
      <c r="R12" s="9" t="s">
        <v>1636</v>
      </c>
      <c r="S12" s="9" t="s">
        <v>1630</v>
      </c>
      <c r="T12" s="9" t="s">
        <v>1636</v>
      </c>
      <c r="U12" s="9" t="s">
        <v>1460</v>
      </c>
      <c r="V12" s="9"/>
      <c r="W12" s="9" t="s">
        <v>56</v>
      </c>
      <c r="X12" s="9"/>
      <c r="Y12" s="9"/>
    </row>
    <row r="13" spans="1:25">
      <c r="A13" s="8">
        <v>540425201919023</v>
      </c>
      <c r="B13" s="9" t="s">
        <v>20</v>
      </c>
      <c r="C13" s="9" t="s">
        <v>2075</v>
      </c>
      <c r="D13" s="9" t="s">
        <v>2076</v>
      </c>
      <c r="E13" s="10">
        <v>43862</v>
      </c>
      <c r="F13" s="9" t="s">
        <v>2073</v>
      </c>
      <c r="G13" s="9" t="s">
        <v>1675</v>
      </c>
      <c r="H13" s="9">
        <v>5</v>
      </c>
      <c r="I13" s="9">
        <v>2</v>
      </c>
      <c r="J13" s="9">
        <v>160000</v>
      </c>
      <c r="K13" s="9">
        <v>160000</v>
      </c>
      <c r="L13" s="9">
        <v>0</v>
      </c>
      <c r="M13" s="9" t="s">
        <v>1625</v>
      </c>
      <c r="N13" s="9" t="s">
        <v>1652</v>
      </c>
      <c r="O13" s="9" t="s">
        <v>1421</v>
      </c>
      <c r="P13" s="9" t="s">
        <v>1687</v>
      </c>
      <c r="Q13" s="9" t="s">
        <v>1969</v>
      </c>
      <c r="R13" s="9" t="s">
        <v>1687</v>
      </c>
      <c r="S13" s="9" t="s">
        <v>1630</v>
      </c>
      <c r="T13" s="9" t="s">
        <v>1636</v>
      </c>
      <c r="U13" s="9" t="s">
        <v>1460</v>
      </c>
      <c r="V13" s="9"/>
      <c r="W13" s="9" t="s">
        <v>56</v>
      </c>
      <c r="X13" s="9"/>
      <c r="Y13" s="9"/>
    </row>
    <row r="14" spans="1:25">
      <c r="A14" s="8">
        <v>540425201919023</v>
      </c>
      <c r="B14" s="9" t="s">
        <v>20</v>
      </c>
      <c r="C14" s="9" t="s">
        <v>2077</v>
      </c>
      <c r="D14" s="9" t="s">
        <v>2078</v>
      </c>
      <c r="E14" s="10">
        <v>43862</v>
      </c>
      <c r="F14" s="9" t="s">
        <v>2073</v>
      </c>
      <c r="G14" s="9" t="s">
        <v>1675</v>
      </c>
      <c r="H14" s="9">
        <v>5</v>
      </c>
      <c r="I14" s="9">
        <v>1</v>
      </c>
      <c r="J14" s="9">
        <v>81000</v>
      </c>
      <c r="K14" s="9">
        <v>81000</v>
      </c>
      <c r="L14" s="9">
        <v>0</v>
      </c>
      <c r="M14" s="9" t="s">
        <v>1625</v>
      </c>
      <c r="N14" s="9" t="s">
        <v>1652</v>
      </c>
      <c r="O14" s="9" t="s">
        <v>1421</v>
      </c>
      <c r="P14" s="9" t="s">
        <v>1687</v>
      </c>
      <c r="Q14" s="9" t="s">
        <v>1969</v>
      </c>
      <c r="R14" s="9" t="s">
        <v>1687</v>
      </c>
      <c r="S14" s="9" t="s">
        <v>1630</v>
      </c>
      <c r="T14" s="9" t="s">
        <v>1636</v>
      </c>
      <c r="U14" s="9" t="s">
        <v>1460</v>
      </c>
      <c r="V14" s="9"/>
      <c r="W14" s="9" t="s">
        <v>56</v>
      </c>
      <c r="X14" s="9"/>
      <c r="Y14" s="9"/>
    </row>
    <row r="15" spans="1:25">
      <c r="A15" s="8">
        <v>540425201919023</v>
      </c>
      <c r="B15" s="9" t="s">
        <v>20</v>
      </c>
      <c r="C15" s="9" t="s">
        <v>2079</v>
      </c>
      <c r="D15" s="9" t="s">
        <v>2080</v>
      </c>
      <c r="E15" s="10">
        <v>43862</v>
      </c>
      <c r="F15" s="9" t="s">
        <v>2073</v>
      </c>
      <c r="G15" s="9" t="s">
        <v>1675</v>
      </c>
      <c r="H15" s="9">
        <v>5</v>
      </c>
      <c r="I15" s="9">
        <v>1</v>
      </c>
      <c r="J15" s="9">
        <v>60000</v>
      </c>
      <c r="K15" s="9">
        <v>60000</v>
      </c>
      <c r="L15" s="9">
        <v>0</v>
      </c>
      <c r="M15" s="9" t="s">
        <v>1625</v>
      </c>
      <c r="N15" s="9" t="s">
        <v>1652</v>
      </c>
      <c r="O15" s="9" t="s">
        <v>1421</v>
      </c>
      <c r="P15" s="9" t="s">
        <v>1687</v>
      </c>
      <c r="Q15" s="9" t="s">
        <v>1969</v>
      </c>
      <c r="R15" s="9" t="s">
        <v>1687</v>
      </c>
      <c r="S15" s="9" t="s">
        <v>1630</v>
      </c>
      <c r="T15" s="9" t="s">
        <v>1636</v>
      </c>
      <c r="U15" s="9" t="s">
        <v>1460</v>
      </c>
      <c r="V15" s="9"/>
      <c r="W15" s="9" t="s">
        <v>56</v>
      </c>
      <c r="X15" s="9"/>
      <c r="Y15" s="9"/>
    </row>
    <row r="16" spans="1:25">
      <c r="A16" s="8">
        <v>540425201919023</v>
      </c>
      <c r="B16" s="9" t="s">
        <v>20</v>
      </c>
      <c r="C16" s="9" t="s">
        <v>2081</v>
      </c>
      <c r="D16" s="9" t="s">
        <v>2082</v>
      </c>
      <c r="E16" s="10">
        <v>43862</v>
      </c>
      <c r="F16" s="9" t="s">
        <v>2073</v>
      </c>
      <c r="G16" s="9" t="s">
        <v>1675</v>
      </c>
      <c r="H16" s="9">
        <v>5</v>
      </c>
      <c r="I16" s="9">
        <v>1</v>
      </c>
      <c r="J16" s="9">
        <v>8000</v>
      </c>
      <c r="K16" s="9">
        <v>8000</v>
      </c>
      <c r="L16" s="9">
        <v>0</v>
      </c>
      <c r="M16" s="9" t="s">
        <v>1625</v>
      </c>
      <c r="N16" s="9" t="s">
        <v>1652</v>
      </c>
      <c r="O16" s="9" t="s">
        <v>1421</v>
      </c>
      <c r="P16" s="9" t="s">
        <v>1687</v>
      </c>
      <c r="Q16" s="9" t="s">
        <v>1969</v>
      </c>
      <c r="R16" s="9" t="s">
        <v>1687</v>
      </c>
      <c r="S16" s="9" t="s">
        <v>1630</v>
      </c>
      <c r="T16" s="9" t="s">
        <v>1636</v>
      </c>
      <c r="U16" s="9" t="s">
        <v>1460</v>
      </c>
      <c r="V16" s="9"/>
      <c r="W16" s="9" t="s">
        <v>56</v>
      </c>
      <c r="X16" s="9"/>
      <c r="Y16" s="9"/>
    </row>
    <row r="17" spans="1:25">
      <c r="A17" s="8">
        <v>540425201919023</v>
      </c>
      <c r="B17" s="9" t="s">
        <v>20</v>
      </c>
      <c r="C17" s="9" t="s">
        <v>2083</v>
      </c>
      <c r="D17" s="9" t="s">
        <v>2084</v>
      </c>
      <c r="E17" s="10">
        <v>43862</v>
      </c>
      <c r="F17" s="9" t="s">
        <v>2073</v>
      </c>
      <c r="G17" s="9" t="s">
        <v>1675</v>
      </c>
      <c r="H17" s="9">
        <v>5</v>
      </c>
      <c r="I17" s="9">
        <v>1</v>
      </c>
      <c r="J17" s="9">
        <v>2500</v>
      </c>
      <c r="K17" s="9">
        <v>2500</v>
      </c>
      <c r="L17" s="9">
        <v>0</v>
      </c>
      <c r="M17" s="9" t="s">
        <v>1625</v>
      </c>
      <c r="N17" s="9" t="s">
        <v>1652</v>
      </c>
      <c r="O17" s="9" t="s">
        <v>1421</v>
      </c>
      <c r="P17" s="9" t="s">
        <v>1687</v>
      </c>
      <c r="Q17" s="9" t="s">
        <v>1969</v>
      </c>
      <c r="R17" s="9" t="s">
        <v>1687</v>
      </c>
      <c r="S17" s="9" t="s">
        <v>1630</v>
      </c>
      <c r="T17" s="9" t="s">
        <v>1636</v>
      </c>
      <c r="U17" s="9" t="s">
        <v>1460</v>
      </c>
      <c r="V17" s="9"/>
      <c r="W17" s="9" t="s">
        <v>56</v>
      </c>
      <c r="X17" s="9"/>
      <c r="Y17" s="9"/>
    </row>
    <row r="18" spans="1:25">
      <c r="A18" s="8">
        <v>540425201919023</v>
      </c>
      <c r="B18" s="9" t="s">
        <v>20</v>
      </c>
      <c r="C18" s="9" t="s">
        <v>2085</v>
      </c>
      <c r="D18" s="9" t="s">
        <v>2086</v>
      </c>
      <c r="E18" s="10">
        <v>43862</v>
      </c>
      <c r="F18" s="9" t="s">
        <v>2073</v>
      </c>
      <c r="G18" s="9" t="s">
        <v>1675</v>
      </c>
      <c r="H18" s="9">
        <v>5</v>
      </c>
      <c r="I18" s="9">
        <v>1</v>
      </c>
      <c r="J18" s="9">
        <v>12000</v>
      </c>
      <c r="K18" s="9">
        <v>12000</v>
      </c>
      <c r="L18" s="9">
        <v>0</v>
      </c>
      <c r="M18" s="9" t="s">
        <v>1625</v>
      </c>
      <c r="N18" s="9" t="s">
        <v>1652</v>
      </c>
      <c r="O18" s="9" t="s">
        <v>1421</v>
      </c>
      <c r="P18" s="9" t="s">
        <v>1687</v>
      </c>
      <c r="Q18" s="9" t="s">
        <v>1969</v>
      </c>
      <c r="R18" s="9" t="s">
        <v>1687</v>
      </c>
      <c r="S18" s="9" t="s">
        <v>1630</v>
      </c>
      <c r="T18" s="9" t="s">
        <v>1636</v>
      </c>
      <c r="U18" s="9" t="s">
        <v>1460</v>
      </c>
      <c r="V18" s="9"/>
      <c r="W18" s="9" t="s">
        <v>56</v>
      </c>
      <c r="X18" s="9"/>
      <c r="Y18" s="9"/>
    </row>
    <row r="19" spans="1:25">
      <c r="A19" s="8">
        <v>540425201919023</v>
      </c>
      <c r="B19" s="9" t="s">
        <v>20</v>
      </c>
      <c r="C19" s="9" t="s">
        <v>2087</v>
      </c>
      <c r="D19" s="9" t="s">
        <v>2088</v>
      </c>
      <c r="E19" s="10">
        <v>43862</v>
      </c>
      <c r="F19" s="9" t="s">
        <v>2073</v>
      </c>
      <c r="G19" s="9" t="s">
        <v>1675</v>
      </c>
      <c r="H19" s="9">
        <v>5</v>
      </c>
      <c r="I19" s="9">
        <v>1</v>
      </c>
      <c r="J19" s="9">
        <v>2500</v>
      </c>
      <c r="K19" s="9">
        <v>2500</v>
      </c>
      <c r="L19" s="9">
        <v>0</v>
      </c>
      <c r="M19" s="9" t="s">
        <v>1625</v>
      </c>
      <c r="N19" s="9" t="s">
        <v>1652</v>
      </c>
      <c r="O19" s="9" t="s">
        <v>1421</v>
      </c>
      <c r="P19" s="9" t="s">
        <v>1687</v>
      </c>
      <c r="Q19" s="9" t="s">
        <v>1969</v>
      </c>
      <c r="R19" s="9" t="s">
        <v>1687</v>
      </c>
      <c r="S19" s="9" t="s">
        <v>1630</v>
      </c>
      <c r="T19" s="9" t="s">
        <v>1636</v>
      </c>
      <c r="U19" s="9" t="s">
        <v>1460</v>
      </c>
      <c r="V19" s="9"/>
      <c r="W19" s="9" t="s">
        <v>56</v>
      </c>
      <c r="X19" s="9"/>
      <c r="Y19" s="9"/>
    </row>
    <row r="20" spans="1:25">
      <c r="A20" s="8">
        <v>540425201919023</v>
      </c>
      <c r="B20" s="9" t="s">
        <v>20</v>
      </c>
      <c r="C20" s="9" t="s">
        <v>2089</v>
      </c>
      <c r="D20" s="9" t="s">
        <v>2090</v>
      </c>
      <c r="E20" s="10">
        <v>43862</v>
      </c>
      <c r="F20" s="9" t="s">
        <v>2073</v>
      </c>
      <c r="G20" s="9" t="s">
        <v>1675</v>
      </c>
      <c r="H20" s="9">
        <v>5</v>
      </c>
      <c r="I20" s="9">
        <v>2</v>
      </c>
      <c r="J20" s="9">
        <v>50000</v>
      </c>
      <c r="K20" s="9">
        <v>50000</v>
      </c>
      <c r="L20" s="9">
        <v>0</v>
      </c>
      <c r="M20" s="9" t="s">
        <v>1625</v>
      </c>
      <c r="N20" s="9" t="s">
        <v>1652</v>
      </c>
      <c r="O20" s="9" t="s">
        <v>1421</v>
      </c>
      <c r="P20" s="9" t="s">
        <v>1687</v>
      </c>
      <c r="Q20" s="9" t="s">
        <v>1969</v>
      </c>
      <c r="R20" s="9" t="s">
        <v>1687</v>
      </c>
      <c r="S20" s="9" t="s">
        <v>1630</v>
      </c>
      <c r="T20" s="9" t="s">
        <v>1636</v>
      </c>
      <c r="U20" s="9" t="s">
        <v>1460</v>
      </c>
      <c r="V20" s="9"/>
      <c r="W20" s="9" t="s">
        <v>56</v>
      </c>
      <c r="X20" s="9"/>
      <c r="Y20" s="9"/>
    </row>
    <row r="21" spans="1:25">
      <c r="A21" s="8">
        <v>540425201919023</v>
      </c>
      <c r="B21" s="9" t="s">
        <v>20</v>
      </c>
      <c r="C21" s="9" t="s">
        <v>2091</v>
      </c>
      <c r="D21" s="9" t="s">
        <v>2092</v>
      </c>
      <c r="E21" s="10">
        <v>43862</v>
      </c>
      <c r="F21" s="9" t="s">
        <v>2073</v>
      </c>
      <c r="G21" s="9" t="s">
        <v>1675</v>
      </c>
      <c r="H21" s="9">
        <v>5</v>
      </c>
      <c r="I21" s="9">
        <v>2</v>
      </c>
      <c r="J21" s="9">
        <v>24000</v>
      </c>
      <c r="K21" s="9">
        <v>24000</v>
      </c>
      <c r="L21" s="9">
        <v>0</v>
      </c>
      <c r="M21" s="9" t="s">
        <v>1625</v>
      </c>
      <c r="N21" s="9" t="s">
        <v>1652</v>
      </c>
      <c r="O21" s="9" t="s">
        <v>1421</v>
      </c>
      <c r="P21" s="9" t="s">
        <v>1687</v>
      </c>
      <c r="Q21" s="9" t="s">
        <v>1969</v>
      </c>
      <c r="R21" s="9" t="s">
        <v>1687</v>
      </c>
      <c r="S21" s="9" t="s">
        <v>1630</v>
      </c>
      <c r="T21" s="9" t="s">
        <v>1636</v>
      </c>
      <c r="U21" s="9" t="s">
        <v>1460</v>
      </c>
      <c r="V21" s="9"/>
      <c r="W21" s="9" t="s">
        <v>56</v>
      </c>
      <c r="X21" s="9"/>
      <c r="Y21" s="9"/>
    </row>
    <row r="22" spans="1:25">
      <c r="A22" s="8">
        <v>540425201919023</v>
      </c>
      <c r="B22" s="9" t="s">
        <v>20</v>
      </c>
      <c r="C22" s="9" t="s">
        <v>2093</v>
      </c>
      <c r="D22" s="9" t="s">
        <v>2094</v>
      </c>
      <c r="E22" s="10">
        <v>43862</v>
      </c>
      <c r="F22" s="9" t="s">
        <v>2073</v>
      </c>
      <c r="G22" s="9" t="s">
        <v>1675</v>
      </c>
      <c r="H22" s="9">
        <v>5</v>
      </c>
      <c r="I22" s="9">
        <v>1</v>
      </c>
      <c r="J22" s="9">
        <v>190000</v>
      </c>
      <c r="K22" s="9">
        <v>190000</v>
      </c>
      <c r="L22" s="9">
        <v>0</v>
      </c>
      <c r="M22" s="9" t="s">
        <v>1625</v>
      </c>
      <c r="N22" s="9" t="s">
        <v>1652</v>
      </c>
      <c r="O22" s="9" t="s">
        <v>1421</v>
      </c>
      <c r="P22" s="9" t="s">
        <v>1687</v>
      </c>
      <c r="Q22" s="9" t="s">
        <v>1969</v>
      </c>
      <c r="R22" s="9" t="s">
        <v>1687</v>
      </c>
      <c r="S22" s="9" t="s">
        <v>1630</v>
      </c>
      <c r="T22" s="9" t="s">
        <v>1636</v>
      </c>
      <c r="U22" s="9" t="s">
        <v>1460</v>
      </c>
      <c r="V22" s="9"/>
      <c r="W22" s="9" t="s">
        <v>56</v>
      </c>
      <c r="X22" s="9"/>
      <c r="Y22" s="9"/>
    </row>
    <row r="23" ht="28" spans="1:25">
      <c r="A23" s="8">
        <v>540425201919023</v>
      </c>
      <c r="B23" s="9" t="s">
        <v>20</v>
      </c>
      <c r="C23" s="9" t="s">
        <v>2095</v>
      </c>
      <c r="D23" s="9" t="s">
        <v>2096</v>
      </c>
      <c r="E23" s="10">
        <v>43862</v>
      </c>
      <c r="F23" s="9" t="s">
        <v>2073</v>
      </c>
      <c r="G23" s="9" t="s">
        <v>1675</v>
      </c>
      <c r="H23" s="9">
        <v>5</v>
      </c>
      <c r="I23" s="9">
        <v>1</v>
      </c>
      <c r="J23" s="9">
        <v>85000</v>
      </c>
      <c r="K23" s="9">
        <v>85000</v>
      </c>
      <c r="L23" s="9">
        <v>0</v>
      </c>
      <c r="M23" s="9" t="s">
        <v>1625</v>
      </c>
      <c r="N23" s="9" t="s">
        <v>1652</v>
      </c>
      <c r="O23" s="9" t="s">
        <v>1421</v>
      </c>
      <c r="P23" s="9" t="s">
        <v>1687</v>
      </c>
      <c r="Q23" s="9" t="s">
        <v>1969</v>
      </c>
      <c r="R23" s="9" t="s">
        <v>1687</v>
      </c>
      <c r="S23" s="9" t="s">
        <v>1630</v>
      </c>
      <c r="T23" s="9" t="s">
        <v>1636</v>
      </c>
      <c r="U23" s="9" t="s">
        <v>1460</v>
      </c>
      <c r="V23" s="9"/>
      <c r="W23" s="9" t="s">
        <v>56</v>
      </c>
      <c r="X23" s="9"/>
      <c r="Y23" s="9"/>
    </row>
    <row r="24" spans="1:25">
      <c r="A24" s="8">
        <v>540425201919023</v>
      </c>
      <c r="B24" s="9" t="s">
        <v>20</v>
      </c>
      <c r="C24" s="9" t="s">
        <v>2097</v>
      </c>
      <c r="D24" s="9" t="s">
        <v>2098</v>
      </c>
      <c r="E24" s="10">
        <v>43862</v>
      </c>
      <c r="F24" s="9" t="s">
        <v>2073</v>
      </c>
      <c r="G24" s="9" t="s">
        <v>1675</v>
      </c>
      <c r="H24" s="9">
        <v>5</v>
      </c>
      <c r="I24" s="9">
        <v>5</v>
      </c>
      <c r="J24" s="9">
        <v>25000</v>
      </c>
      <c r="K24" s="9">
        <v>25000</v>
      </c>
      <c r="L24" s="9">
        <v>0</v>
      </c>
      <c r="M24" s="9" t="s">
        <v>1625</v>
      </c>
      <c r="N24" s="9" t="s">
        <v>1652</v>
      </c>
      <c r="O24" s="9" t="s">
        <v>1421</v>
      </c>
      <c r="P24" s="9" t="s">
        <v>1687</v>
      </c>
      <c r="Q24" s="9" t="s">
        <v>1969</v>
      </c>
      <c r="R24" s="9" t="s">
        <v>1687</v>
      </c>
      <c r="S24" s="9" t="s">
        <v>1630</v>
      </c>
      <c r="T24" s="9" t="s">
        <v>1636</v>
      </c>
      <c r="U24" s="9" t="s">
        <v>1460</v>
      </c>
      <c r="V24" s="9"/>
      <c r="W24" s="9" t="s">
        <v>56</v>
      </c>
      <c r="X24" s="9"/>
      <c r="Y24" s="9"/>
    </row>
    <row r="25" spans="1:25">
      <c r="A25" s="8">
        <v>540425201919023</v>
      </c>
      <c r="B25" s="9" t="s">
        <v>20</v>
      </c>
      <c r="C25" s="9" t="s">
        <v>2099</v>
      </c>
      <c r="D25" s="9" t="s">
        <v>2100</v>
      </c>
      <c r="E25" s="10">
        <v>43862</v>
      </c>
      <c r="F25" s="9" t="s">
        <v>2073</v>
      </c>
      <c r="G25" s="9" t="s">
        <v>1675</v>
      </c>
      <c r="H25" s="9">
        <v>5</v>
      </c>
      <c r="I25" s="9">
        <v>2</v>
      </c>
      <c r="J25" s="9">
        <v>10000</v>
      </c>
      <c r="K25" s="9">
        <v>10000</v>
      </c>
      <c r="L25" s="9">
        <v>0</v>
      </c>
      <c r="M25" s="9" t="s">
        <v>1625</v>
      </c>
      <c r="N25" s="9" t="s">
        <v>1652</v>
      </c>
      <c r="O25" s="9" t="s">
        <v>1421</v>
      </c>
      <c r="P25" s="9" t="s">
        <v>1687</v>
      </c>
      <c r="Q25" s="9" t="s">
        <v>1969</v>
      </c>
      <c r="R25" s="9" t="s">
        <v>1687</v>
      </c>
      <c r="S25" s="9" t="s">
        <v>1630</v>
      </c>
      <c r="T25" s="9" t="s">
        <v>1636</v>
      </c>
      <c r="U25" s="9" t="s">
        <v>1460</v>
      </c>
      <c r="V25" s="9"/>
      <c r="W25" s="9" t="s">
        <v>56</v>
      </c>
      <c r="X25" s="9"/>
      <c r="Y25" s="9"/>
    </row>
    <row r="26" ht="28" spans="1:25">
      <c r="A26" s="8">
        <v>540425201903001</v>
      </c>
      <c r="B26" s="9" t="s">
        <v>20</v>
      </c>
      <c r="C26" s="9" t="s">
        <v>2111</v>
      </c>
      <c r="D26" s="9" t="s">
        <v>2112</v>
      </c>
      <c r="E26" s="10">
        <v>43891</v>
      </c>
      <c r="F26" s="9" t="s">
        <v>2018</v>
      </c>
      <c r="G26" s="9" t="s">
        <v>1642</v>
      </c>
      <c r="H26" s="9">
        <v>20</v>
      </c>
      <c r="I26" s="9">
        <v>1</v>
      </c>
      <c r="J26" s="9">
        <v>2953339.46</v>
      </c>
      <c r="K26" s="9">
        <v>713723.7</v>
      </c>
      <c r="L26" s="9">
        <v>2239615.76</v>
      </c>
      <c r="M26" s="9" t="s">
        <v>1625</v>
      </c>
      <c r="N26" s="9" t="s">
        <v>1643</v>
      </c>
      <c r="O26" s="9" t="s">
        <v>1421</v>
      </c>
      <c r="P26" s="9" t="s">
        <v>1627</v>
      </c>
      <c r="Q26" s="9" t="s">
        <v>1628</v>
      </c>
      <c r="R26" s="9" t="s">
        <v>1629</v>
      </c>
      <c r="S26" s="9" t="s">
        <v>1630</v>
      </c>
      <c r="T26" s="9" t="s">
        <v>1700</v>
      </c>
      <c r="U26" s="9" t="s">
        <v>1469</v>
      </c>
      <c r="V26" s="9"/>
      <c r="W26" s="9" t="s">
        <v>56</v>
      </c>
      <c r="X26" s="9"/>
      <c r="Y26" s="9"/>
    </row>
    <row r="27" ht="28" spans="1:25">
      <c r="A27" s="8">
        <v>540425201907013</v>
      </c>
      <c r="B27" s="9" t="s">
        <v>20</v>
      </c>
      <c r="C27" s="9" t="s">
        <v>2126</v>
      </c>
      <c r="D27" s="9" t="s">
        <v>2127</v>
      </c>
      <c r="E27" s="10">
        <v>43831</v>
      </c>
      <c r="F27" s="9" t="s">
        <v>2128</v>
      </c>
      <c r="G27" s="9" t="s">
        <v>1642</v>
      </c>
      <c r="H27" s="9">
        <v>20</v>
      </c>
      <c r="I27" s="9">
        <v>1</v>
      </c>
      <c r="J27" s="9">
        <v>300000</v>
      </c>
      <c r="K27" s="9">
        <v>75000</v>
      </c>
      <c r="L27" s="9">
        <v>225000</v>
      </c>
      <c r="M27" s="9" t="s">
        <v>1625</v>
      </c>
      <c r="N27" s="9" t="s">
        <v>1643</v>
      </c>
      <c r="O27" s="9" t="s">
        <v>1421</v>
      </c>
      <c r="P27" s="9" t="s">
        <v>1627</v>
      </c>
      <c r="Q27" s="9" t="s">
        <v>1969</v>
      </c>
      <c r="R27" s="9" t="s">
        <v>1636</v>
      </c>
      <c r="S27" s="9" t="s">
        <v>1630</v>
      </c>
      <c r="T27" s="9" t="s">
        <v>1636</v>
      </c>
      <c r="U27" s="9" t="s">
        <v>1459</v>
      </c>
      <c r="V27" s="9"/>
      <c r="W27" s="9" t="s">
        <v>56</v>
      </c>
      <c r="X27" s="9"/>
      <c r="Y27" s="9"/>
    </row>
    <row r="28" ht="28" spans="1:25">
      <c r="A28" s="8">
        <v>540425202019029</v>
      </c>
      <c r="B28" s="9" t="s">
        <v>20</v>
      </c>
      <c r="C28" s="9" t="s">
        <v>2133</v>
      </c>
      <c r="D28" s="9" t="s">
        <v>2134</v>
      </c>
      <c r="E28" s="10">
        <v>43800</v>
      </c>
      <c r="F28" s="9" t="s">
        <v>2135</v>
      </c>
      <c r="G28" s="9" t="s">
        <v>1868</v>
      </c>
      <c r="H28" s="9">
        <v>10</v>
      </c>
      <c r="I28" s="9">
        <v>8</v>
      </c>
      <c r="J28" s="9">
        <v>500000</v>
      </c>
      <c r="K28" s="9" t="s">
        <v>1460</v>
      </c>
      <c r="L28" s="9" t="s">
        <v>1460</v>
      </c>
      <c r="M28" s="9" t="s">
        <v>1685</v>
      </c>
      <c r="N28" s="9" t="s">
        <v>1866</v>
      </c>
      <c r="O28" s="9" t="s">
        <v>1421</v>
      </c>
      <c r="P28" s="9" t="s">
        <v>1627</v>
      </c>
      <c r="Q28" s="9" t="s">
        <v>1969</v>
      </c>
      <c r="R28" s="9" t="s">
        <v>1636</v>
      </c>
      <c r="S28" s="9" t="s">
        <v>1630</v>
      </c>
      <c r="T28" s="9" t="s">
        <v>1636</v>
      </c>
      <c r="U28" s="9" t="s">
        <v>1516</v>
      </c>
      <c r="V28" s="9"/>
      <c r="W28" s="9" t="s">
        <v>56</v>
      </c>
      <c r="X28" s="9"/>
      <c r="Y28" s="9"/>
    </row>
    <row r="29" ht="28" spans="1:25">
      <c r="A29" s="8">
        <v>540425202019029</v>
      </c>
      <c r="B29" s="9" t="s">
        <v>20</v>
      </c>
      <c r="C29" s="9" t="s">
        <v>2133</v>
      </c>
      <c r="D29" s="9" t="s">
        <v>2134</v>
      </c>
      <c r="E29" s="10">
        <v>44166</v>
      </c>
      <c r="F29" s="9" t="s">
        <v>2135</v>
      </c>
      <c r="G29" s="9" t="s">
        <v>1868</v>
      </c>
      <c r="H29" s="9">
        <v>10</v>
      </c>
      <c r="I29" s="9">
        <v>8</v>
      </c>
      <c r="J29" s="9">
        <v>500000</v>
      </c>
      <c r="K29" s="9" t="s">
        <v>1460</v>
      </c>
      <c r="L29" s="9" t="s">
        <v>1460</v>
      </c>
      <c r="M29" s="9" t="s">
        <v>1685</v>
      </c>
      <c r="N29" s="9" t="s">
        <v>1866</v>
      </c>
      <c r="O29" s="9" t="s">
        <v>1421</v>
      </c>
      <c r="P29" s="9" t="s">
        <v>1627</v>
      </c>
      <c r="Q29" s="9" t="s">
        <v>1969</v>
      </c>
      <c r="R29" s="9" t="s">
        <v>1636</v>
      </c>
      <c r="S29" s="9" t="s">
        <v>1630</v>
      </c>
      <c r="T29" s="9" t="s">
        <v>1636</v>
      </c>
      <c r="U29" s="9" t="s">
        <v>1516</v>
      </c>
      <c r="V29" s="9"/>
      <c r="W29" s="9" t="s">
        <v>56</v>
      </c>
      <c r="X29" s="9"/>
      <c r="Y29" s="9"/>
    </row>
    <row r="30" ht="28" spans="1:25">
      <c r="A30" s="8">
        <v>540425201811001</v>
      </c>
      <c r="B30" s="9" t="s">
        <v>20</v>
      </c>
      <c r="C30" s="9" t="s">
        <v>2137</v>
      </c>
      <c r="D30" s="9" t="s">
        <v>2138</v>
      </c>
      <c r="E30" s="10">
        <v>43435</v>
      </c>
      <c r="F30" s="9" t="s">
        <v>2135</v>
      </c>
      <c r="G30" s="9" t="s">
        <v>1865</v>
      </c>
      <c r="H30" s="9">
        <v>10</v>
      </c>
      <c r="I30" s="9">
        <v>280000</v>
      </c>
      <c r="J30" s="9">
        <v>280000</v>
      </c>
      <c r="K30" s="9">
        <v>280000</v>
      </c>
      <c r="L30" s="9">
        <v>0</v>
      </c>
      <c r="M30" s="9" t="s">
        <v>1685</v>
      </c>
      <c r="N30" s="9" t="s">
        <v>1866</v>
      </c>
      <c r="O30" s="9" t="s">
        <v>1421</v>
      </c>
      <c r="P30" s="9" t="s">
        <v>1687</v>
      </c>
      <c r="Q30" s="9" t="s">
        <v>1969</v>
      </c>
      <c r="R30" s="9" t="s">
        <v>1689</v>
      </c>
      <c r="S30" s="9" t="s">
        <v>1630</v>
      </c>
      <c r="T30" s="9" t="s">
        <v>1636</v>
      </c>
      <c r="U30" s="9" t="s">
        <v>1516</v>
      </c>
      <c r="V30" s="9"/>
      <c r="W30" s="9" t="s">
        <v>56</v>
      </c>
      <c r="X30" s="9"/>
      <c r="Y30" s="9"/>
    </row>
    <row r="31" ht="28" spans="1:25">
      <c r="A31" s="8">
        <v>540425201807011</v>
      </c>
      <c r="B31" s="9" t="s">
        <v>20</v>
      </c>
      <c r="C31" s="489" t="s">
        <v>2139</v>
      </c>
      <c r="D31" s="9" t="s">
        <v>1698</v>
      </c>
      <c r="E31" s="9">
        <v>2019.11</v>
      </c>
      <c r="F31" s="9" t="s">
        <v>2140</v>
      </c>
      <c r="G31" s="9" t="s">
        <v>2141</v>
      </c>
      <c r="H31" s="9">
        <v>20</v>
      </c>
      <c r="I31" s="9">
        <v>1</v>
      </c>
      <c r="J31" s="9">
        <v>71137.23</v>
      </c>
      <c r="K31" s="9">
        <v>18377.12</v>
      </c>
      <c r="L31" s="9">
        <v>52760.11</v>
      </c>
      <c r="M31" s="9" t="s">
        <v>1625</v>
      </c>
      <c r="N31" s="9" t="s">
        <v>1643</v>
      </c>
      <c r="O31" s="9" t="s">
        <v>1421</v>
      </c>
      <c r="P31" s="9" t="s">
        <v>1627</v>
      </c>
      <c r="Q31" s="9" t="s">
        <v>1688</v>
      </c>
      <c r="R31" s="9" t="s">
        <v>1636</v>
      </c>
      <c r="S31" s="9" t="s">
        <v>1630</v>
      </c>
      <c r="T31" s="9" t="s">
        <v>1636</v>
      </c>
      <c r="U31" s="9" t="s">
        <v>1519</v>
      </c>
      <c r="V31" s="9"/>
      <c r="W31" s="9" t="s">
        <v>56</v>
      </c>
      <c r="X31" s="9"/>
      <c r="Y31" s="9"/>
    </row>
    <row r="32" ht="28" spans="1:25">
      <c r="A32" s="8">
        <v>540425201807011</v>
      </c>
      <c r="B32" s="9" t="s">
        <v>20</v>
      </c>
      <c r="C32" s="489" t="s">
        <v>2142</v>
      </c>
      <c r="D32" s="9" t="s">
        <v>2143</v>
      </c>
      <c r="E32" s="9">
        <v>2019.11</v>
      </c>
      <c r="F32" s="9" t="s">
        <v>2140</v>
      </c>
      <c r="G32" s="9" t="s">
        <v>2144</v>
      </c>
      <c r="H32" s="9">
        <v>20</v>
      </c>
      <c r="I32" s="9">
        <v>1</v>
      </c>
      <c r="J32" s="9">
        <v>126916.49</v>
      </c>
      <c r="K32" s="9">
        <v>32786.76</v>
      </c>
      <c r="L32" s="9">
        <v>94129.73</v>
      </c>
      <c r="M32" s="9" t="s">
        <v>1625</v>
      </c>
      <c r="N32" s="9" t="s">
        <v>1643</v>
      </c>
      <c r="O32" s="9" t="s">
        <v>1421</v>
      </c>
      <c r="P32" s="9" t="s">
        <v>1627</v>
      </c>
      <c r="Q32" s="9" t="s">
        <v>1688</v>
      </c>
      <c r="R32" s="9" t="s">
        <v>1636</v>
      </c>
      <c r="S32" s="9" t="s">
        <v>1630</v>
      </c>
      <c r="T32" s="9" t="s">
        <v>1636</v>
      </c>
      <c r="U32" s="9" t="s">
        <v>1519</v>
      </c>
      <c r="V32" s="9"/>
      <c r="W32" s="9" t="s">
        <v>56</v>
      </c>
      <c r="X32" s="9"/>
      <c r="Y32" s="9"/>
    </row>
    <row r="33" ht="28" spans="1:25">
      <c r="A33" s="8">
        <v>540425201807011</v>
      </c>
      <c r="B33" s="9" t="s">
        <v>20</v>
      </c>
      <c r="C33" s="489" t="s">
        <v>2145</v>
      </c>
      <c r="D33" s="9" t="s">
        <v>2146</v>
      </c>
      <c r="E33" s="9">
        <v>2019.11</v>
      </c>
      <c r="F33" s="9" t="s">
        <v>2140</v>
      </c>
      <c r="G33" s="9" t="s">
        <v>2147</v>
      </c>
      <c r="H33" s="9">
        <v>20</v>
      </c>
      <c r="I33" s="9">
        <v>1</v>
      </c>
      <c r="J33" s="9">
        <v>111146.28</v>
      </c>
      <c r="K33" s="9">
        <v>28712.79</v>
      </c>
      <c r="L33" s="9">
        <v>82433.49</v>
      </c>
      <c r="M33" s="9" t="s">
        <v>1625</v>
      </c>
      <c r="N33" s="9" t="s">
        <v>1643</v>
      </c>
      <c r="O33" s="9" t="s">
        <v>1421</v>
      </c>
      <c r="P33" s="9" t="s">
        <v>1627</v>
      </c>
      <c r="Q33" s="9" t="s">
        <v>1688</v>
      </c>
      <c r="R33" s="9" t="s">
        <v>1636</v>
      </c>
      <c r="S33" s="9" t="s">
        <v>1630</v>
      </c>
      <c r="T33" s="9" t="s">
        <v>1636</v>
      </c>
      <c r="U33" s="9" t="s">
        <v>1519</v>
      </c>
      <c r="V33" s="9"/>
      <c r="W33" s="9" t="s">
        <v>56</v>
      </c>
      <c r="X33" s="9"/>
      <c r="Y33" s="9"/>
    </row>
    <row r="34" ht="28" spans="1:25">
      <c r="A34" s="8">
        <v>540425201807011</v>
      </c>
      <c r="B34" s="9" t="s">
        <v>20</v>
      </c>
      <c r="C34" s="489" t="s">
        <v>2148</v>
      </c>
      <c r="D34" s="9" t="s">
        <v>2149</v>
      </c>
      <c r="E34" s="9">
        <v>2019.11</v>
      </c>
      <c r="F34" s="9" t="s">
        <v>2140</v>
      </c>
      <c r="G34" s="9" t="s">
        <v>2150</v>
      </c>
      <c r="H34" s="9">
        <v>10</v>
      </c>
      <c r="I34" s="9">
        <v>1</v>
      </c>
      <c r="J34" s="9">
        <v>64000</v>
      </c>
      <c r="K34" s="9">
        <v>33066.67</v>
      </c>
      <c r="L34" s="9">
        <v>30933.33</v>
      </c>
      <c r="M34" s="9" t="s">
        <v>1625</v>
      </c>
      <c r="N34" s="9" t="s">
        <v>1626</v>
      </c>
      <c r="O34" s="9" t="s">
        <v>1421</v>
      </c>
      <c r="P34" s="9" t="s">
        <v>1627</v>
      </c>
      <c r="Q34" s="9" t="s">
        <v>1688</v>
      </c>
      <c r="R34" s="9" t="s">
        <v>1636</v>
      </c>
      <c r="S34" s="9" t="s">
        <v>1630</v>
      </c>
      <c r="T34" s="9" t="s">
        <v>1636</v>
      </c>
      <c r="U34" s="9" t="s">
        <v>1519</v>
      </c>
      <c r="V34" s="9"/>
      <c r="W34" s="9" t="s">
        <v>56</v>
      </c>
      <c r="X34" s="9"/>
      <c r="Y34" s="9"/>
    </row>
    <row r="35" ht="28" spans="1:25">
      <c r="A35" s="8">
        <v>540425201807011</v>
      </c>
      <c r="B35" s="9" t="s">
        <v>20</v>
      </c>
      <c r="C35" s="489" t="s">
        <v>2151</v>
      </c>
      <c r="D35" s="9" t="s">
        <v>1709</v>
      </c>
      <c r="E35" s="9">
        <v>2019.11</v>
      </c>
      <c r="F35" s="9" t="s">
        <v>2140</v>
      </c>
      <c r="G35" s="9" t="s">
        <v>2152</v>
      </c>
      <c r="H35" s="9">
        <v>3</v>
      </c>
      <c r="I35" s="9">
        <v>104</v>
      </c>
      <c r="J35" s="9">
        <v>102000</v>
      </c>
      <c r="K35" s="9"/>
      <c r="L35" s="9">
        <v>0</v>
      </c>
      <c r="M35" s="9" t="s">
        <v>1685</v>
      </c>
      <c r="N35" s="9" t="s">
        <v>1686</v>
      </c>
      <c r="O35" s="9" t="s">
        <v>1421</v>
      </c>
      <c r="P35" s="9" t="s">
        <v>1687</v>
      </c>
      <c r="Q35" s="9" t="s">
        <v>1688</v>
      </c>
      <c r="R35" s="9" t="s">
        <v>1689</v>
      </c>
      <c r="S35" s="9" t="s">
        <v>1630</v>
      </c>
      <c r="T35" s="9" t="s">
        <v>1636</v>
      </c>
      <c r="U35" s="9" t="s">
        <v>1519</v>
      </c>
      <c r="V35" s="9"/>
      <c r="W35" s="9" t="s">
        <v>56</v>
      </c>
      <c r="X35" s="9"/>
      <c r="Y35" s="9"/>
    </row>
    <row r="36" ht="28" spans="1:25">
      <c r="A36" s="8">
        <v>540425201917017</v>
      </c>
      <c r="B36" s="9" t="s">
        <v>20</v>
      </c>
      <c r="C36" s="489" t="s">
        <v>2153</v>
      </c>
      <c r="D36" s="9" t="s">
        <v>2154</v>
      </c>
      <c r="E36" s="9">
        <v>2015.12</v>
      </c>
      <c r="F36" s="9" t="s">
        <v>2155</v>
      </c>
      <c r="G36" s="9" t="s">
        <v>1642</v>
      </c>
      <c r="H36" s="9">
        <v>20</v>
      </c>
      <c r="I36" s="9">
        <v>1</v>
      </c>
      <c r="J36" s="9">
        <v>600000</v>
      </c>
      <c r="K36" s="9">
        <v>272500</v>
      </c>
      <c r="L36" s="9">
        <v>327500</v>
      </c>
      <c r="M36" s="9" t="s">
        <v>1625</v>
      </c>
      <c r="N36" s="9" t="s">
        <v>1643</v>
      </c>
      <c r="O36" s="9" t="s">
        <v>1421</v>
      </c>
      <c r="P36" s="9" t="s">
        <v>1627</v>
      </c>
      <c r="Q36" s="9" t="s">
        <v>1688</v>
      </c>
      <c r="R36" s="9" t="s">
        <v>1636</v>
      </c>
      <c r="S36" s="9" t="s">
        <v>1630</v>
      </c>
      <c r="T36" s="9" t="s">
        <v>1636</v>
      </c>
      <c r="U36" s="9" t="s">
        <v>1566</v>
      </c>
      <c r="V36" s="9"/>
      <c r="W36" s="9" t="s">
        <v>56</v>
      </c>
      <c r="X36" s="9"/>
      <c r="Y36" s="9"/>
    </row>
    <row r="37" ht="28" spans="1:25">
      <c r="A37" s="8">
        <v>540425202120032</v>
      </c>
      <c r="B37" s="9" t="s">
        <v>20</v>
      </c>
      <c r="C37" s="489" t="s">
        <v>2169</v>
      </c>
      <c r="D37" s="9" t="s">
        <v>2170</v>
      </c>
      <c r="E37" s="9">
        <v>2021.12</v>
      </c>
      <c r="F37" s="9" t="s">
        <v>2171</v>
      </c>
      <c r="G37" s="9" t="s">
        <v>1865</v>
      </c>
      <c r="H37" s="9">
        <v>10</v>
      </c>
      <c r="I37" s="9">
        <v>1384</v>
      </c>
      <c r="J37" s="9">
        <v>285898.97</v>
      </c>
      <c r="K37" s="9">
        <v>88152.18</v>
      </c>
      <c r="L37" s="9">
        <v>197746.79</v>
      </c>
      <c r="M37" s="9" t="s">
        <v>1685</v>
      </c>
      <c r="N37" s="9" t="s">
        <v>1866</v>
      </c>
      <c r="O37" s="9" t="s">
        <v>1421</v>
      </c>
      <c r="P37" s="9" t="s">
        <v>1627</v>
      </c>
      <c r="Q37" s="9" t="s">
        <v>1688</v>
      </c>
      <c r="R37" s="9" t="s">
        <v>1636</v>
      </c>
      <c r="S37" s="9" t="s">
        <v>1630</v>
      </c>
      <c r="T37" s="9" t="s">
        <v>1700</v>
      </c>
      <c r="U37" s="9" t="s">
        <v>1070</v>
      </c>
      <c r="V37" s="9"/>
      <c r="W37" s="9" t="s">
        <v>56</v>
      </c>
      <c r="X37" s="9"/>
      <c r="Y37" s="9"/>
    </row>
    <row r="38" ht="28" spans="1:25">
      <c r="A38" s="8">
        <v>540425202120032</v>
      </c>
      <c r="B38" s="9" t="s">
        <v>20</v>
      </c>
      <c r="C38" s="489" t="s">
        <v>2172</v>
      </c>
      <c r="D38" s="9" t="s">
        <v>2167</v>
      </c>
      <c r="E38" s="9">
        <v>2021.12</v>
      </c>
      <c r="F38" s="9" t="s">
        <v>2171</v>
      </c>
      <c r="G38" s="9" t="s">
        <v>2168</v>
      </c>
      <c r="H38" s="9">
        <v>10</v>
      </c>
      <c r="I38" s="9">
        <v>1</v>
      </c>
      <c r="J38" s="9">
        <v>374135.07</v>
      </c>
      <c r="K38" s="9">
        <v>115358.31</v>
      </c>
      <c r="L38" s="9">
        <v>258776.76</v>
      </c>
      <c r="M38" s="9" t="s">
        <v>1625</v>
      </c>
      <c r="N38" s="9" t="s">
        <v>1626</v>
      </c>
      <c r="O38" s="9" t="s">
        <v>1421</v>
      </c>
      <c r="P38" s="9" t="s">
        <v>1627</v>
      </c>
      <c r="Q38" s="9" t="s">
        <v>1688</v>
      </c>
      <c r="R38" s="9" t="s">
        <v>1636</v>
      </c>
      <c r="S38" s="9" t="s">
        <v>1630</v>
      </c>
      <c r="T38" s="9" t="s">
        <v>1700</v>
      </c>
      <c r="U38" s="9" t="s">
        <v>1070</v>
      </c>
      <c r="V38" s="9"/>
      <c r="W38" s="9" t="s">
        <v>56</v>
      </c>
      <c r="X38" s="9"/>
      <c r="Y38" s="9"/>
    </row>
    <row r="39" ht="28" spans="1:25">
      <c r="A39" s="8">
        <v>540425202120032</v>
      </c>
      <c r="B39" s="9" t="s">
        <v>20</v>
      </c>
      <c r="C39" s="489" t="s">
        <v>2173</v>
      </c>
      <c r="D39" s="9" t="s">
        <v>1894</v>
      </c>
      <c r="E39" s="9">
        <v>2021.12</v>
      </c>
      <c r="F39" s="9" t="s">
        <v>2171</v>
      </c>
      <c r="G39" s="9" t="s">
        <v>2174</v>
      </c>
      <c r="H39" s="9">
        <v>10</v>
      </c>
      <c r="I39" s="9">
        <v>1</v>
      </c>
      <c r="J39" s="9">
        <v>195639.97</v>
      </c>
      <c r="K39" s="9">
        <v>60322.32</v>
      </c>
      <c r="L39" s="9">
        <v>135317.65</v>
      </c>
      <c r="M39" s="9" t="s">
        <v>1625</v>
      </c>
      <c r="N39" s="9" t="s">
        <v>1626</v>
      </c>
      <c r="O39" s="9" t="s">
        <v>1421</v>
      </c>
      <c r="P39" s="9" t="s">
        <v>1627</v>
      </c>
      <c r="Q39" s="9" t="s">
        <v>1688</v>
      </c>
      <c r="R39" s="9" t="s">
        <v>1636</v>
      </c>
      <c r="S39" s="9" t="s">
        <v>1630</v>
      </c>
      <c r="T39" s="9" t="s">
        <v>1700</v>
      </c>
      <c r="U39" s="9" t="s">
        <v>1070</v>
      </c>
      <c r="V39" s="9"/>
      <c r="W39" s="9" t="s">
        <v>56</v>
      </c>
      <c r="X39" s="9"/>
      <c r="Y39" s="9"/>
    </row>
    <row r="40" ht="28" spans="1:25">
      <c r="A40" s="8">
        <v>540425201919022</v>
      </c>
      <c r="B40" s="9" t="s">
        <v>20</v>
      </c>
      <c r="C40" s="489" t="s">
        <v>2175</v>
      </c>
      <c r="D40" s="9" t="s">
        <v>2176</v>
      </c>
      <c r="E40" s="9">
        <v>2019.7</v>
      </c>
      <c r="F40" s="9" t="s">
        <v>2171</v>
      </c>
      <c r="G40" s="9" t="s">
        <v>1675</v>
      </c>
      <c r="H40" s="9">
        <v>10</v>
      </c>
      <c r="I40" s="9">
        <v>1</v>
      </c>
      <c r="J40" s="9">
        <v>28800</v>
      </c>
      <c r="K40" s="9">
        <v>15840</v>
      </c>
      <c r="L40" s="9">
        <v>12960</v>
      </c>
      <c r="M40" s="9" t="s">
        <v>1625</v>
      </c>
      <c r="N40" s="9" t="s">
        <v>1652</v>
      </c>
      <c r="O40" s="9" t="s">
        <v>1421</v>
      </c>
      <c r="P40" s="9" t="s">
        <v>1705</v>
      </c>
      <c r="Q40" s="9" t="s">
        <v>1688</v>
      </c>
      <c r="R40" s="9" t="s">
        <v>1687</v>
      </c>
      <c r="S40" s="9" t="s">
        <v>1630</v>
      </c>
      <c r="T40" s="9" t="s">
        <v>1636</v>
      </c>
      <c r="U40" s="9" t="s">
        <v>1070</v>
      </c>
      <c r="V40" s="9"/>
      <c r="W40" s="9" t="s">
        <v>56</v>
      </c>
      <c r="X40" s="9"/>
      <c r="Y40" s="9"/>
    </row>
    <row r="41" ht="28" spans="1:25">
      <c r="A41" s="8">
        <v>540425201919022</v>
      </c>
      <c r="B41" s="9" t="s">
        <v>20</v>
      </c>
      <c r="C41" s="489" t="s">
        <v>2177</v>
      </c>
      <c r="D41" s="9" t="s">
        <v>2178</v>
      </c>
      <c r="E41" s="9">
        <v>2019.7</v>
      </c>
      <c r="F41" s="9" t="s">
        <v>2171</v>
      </c>
      <c r="G41" s="9" t="s">
        <v>1675</v>
      </c>
      <c r="H41" s="9">
        <v>10</v>
      </c>
      <c r="I41" s="9">
        <v>2</v>
      </c>
      <c r="J41" s="9">
        <v>15000</v>
      </c>
      <c r="K41" s="9">
        <v>8250</v>
      </c>
      <c r="L41" s="9">
        <v>6750</v>
      </c>
      <c r="M41" s="9" t="s">
        <v>1625</v>
      </c>
      <c r="N41" s="9" t="s">
        <v>1652</v>
      </c>
      <c r="O41" s="9" t="s">
        <v>1421</v>
      </c>
      <c r="P41" s="9" t="s">
        <v>1627</v>
      </c>
      <c r="Q41" s="9" t="s">
        <v>1688</v>
      </c>
      <c r="R41" s="9" t="s">
        <v>1636</v>
      </c>
      <c r="S41" s="9" t="s">
        <v>1630</v>
      </c>
      <c r="T41" s="9" t="s">
        <v>1636</v>
      </c>
      <c r="U41" s="9" t="s">
        <v>1070</v>
      </c>
      <c r="V41" s="9"/>
      <c r="W41" s="9" t="s">
        <v>56</v>
      </c>
      <c r="X41" s="9"/>
      <c r="Y41" s="9"/>
    </row>
    <row r="42" ht="28" spans="1:25">
      <c r="A42" s="8">
        <v>540425201919022</v>
      </c>
      <c r="B42" s="9" t="s">
        <v>20</v>
      </c>
      <c r="C42" s="489" t="s">
        <v>2179</v>
      </c>
      <c r="D42" s="9" t="s">
        <v>2180</v>
      </c>
      <c r="E42" s="9">
        <v>2019.7</v>
      </c>
      <c r="F42" s="9" t="s">
        <v>2171</v>
      </c>
      <c r="G42" s="9" t="s">
        <v>1675</v>
      </c>
      <c r="H42" s="9">
        <v>10</v>
      </c>
      <c r="I42" s="9">
        <v>1</v>
      </c>
      <c r="J42" s="9">
        <v>14500</v>
      </c>
      <c r="K42" s="9">
        <v>7975</v>
      </c>
      <c r="L42" s="9">
        <v>6525</v>
      </c>
      <c r="M42" s="9" t="s">
        <v>1625</v>
      </c>
      <c r="N42" s="9" t="s">
        <v>1652</v>
      </c>
      <c r="O42" s="9" t="s">
        <v>1421</v>
      </c>
      <c r="P42" s="9" t="s">
        <v>1627</v>
      </c>
      <c r="Q42" s="9" t="s">
        <v>1688</v>
      </c>
      <c r="R42" s="9" t="s">
        <v>1636</v>
      </c>
      <c r="S42" s="9" t="s">
        <v>1630</v>
      </c>
      <c r="T42" s="9" t="s">
        <v>1636</v>
      </c>
      <c r="U42" s="9" t="s">
        <v>1070</v>
      </c>
      <c r="V42" s="9"/>
      <c r="W42" s="9" t="s">
        <v>56</v>
      </c>
      <c r="X42" s="9"/>
      <c r="Y42" s="9"/>
    </row>
    <row r="43" ht="28" spans="1:25">
      <c r="A43" s="8">
        <v>540425201919022</v>
      </c>
      <c r="B43" s="9" t="s">
        <v>20</v>
      </c>
      <c r="C43" s="489" t="s">
        <v>2181</v>
      </c>
      <c r="D43" s="9" t="s">
        <v>2182</v>
      </c>
      <c r="E43" s="9">
        <v>2019.7</v>
      </c>
      <c r="F43" s="9" t="s">
        <v>2171</v>
      </c>
      <c r="G43" s="9" t="s">
        <v>1675</v>
      </c>
      <c r="H43" s="9">
        <v>10</v>
      </c>
      <c r="I43" s="9">
        <v>1</v>
      </c>
      <c r="J43" s="9">
        <v>13500</v>
      </c>
      <c r="K43" s="9">
        <v>7425</v>
      </c>
      <c r="L43" s="9">
        <v>6075</v>
      </c>
      <c r="M43" s="9" t="s">
        <v>1625</v>
      </c>
      <c r="N43" s="9" t="s">
        <v>1652</v>
      </c>
      <c r="O43" s="9" t="s">
        <v>1421</v>
      </c>
      <c r="P43" s="9" t="s">
        <v>1627</v>
      </c>
      <c r="Q43" s="9" t="s">
        <v>1688</v>
      </c>
      <c r="R43" s="9" t="s">
        <v>1636</v>
      </c>
      <c r="S43" s="9" t="s">
        <v>1630</v>
      </c>
      <c r="T43" s="9" t="s">
        <v>1636</v>
      </c>
      <c r="U43" s="9" t="s">
        <v>1070</v>
      </c>
      <c r="V43" s="9"/>
      <c r="W43" s="9" t="s">
        <v>56</v>
      </c>
      <c r="X43" s="9"/>
      <c r="Y43" s="9"/>
    </row>
    <row r="44" ht="28" spans="1:25">
      <c r="A44" s="8">
        <v>540425201919022</v>
      </c>
      <c r="B44" s="9" t="s">
        <v>20</v>
      </c>
      <c r="C44" s="489" t="s">
        <v>2183</v>
      </c>
      <c r="D44" s="9" t="s">
        <v>2184</v>
      </c>
      <c r="E44" s="9">
        <v>2019.7</v>
      </c>
      <c r="F44" s="9" t="s">
        <v>2171</v>
      </c>
      <c r="G44" s="9" t="s">
        <v>1675</v>
      </c>
      <c r="H44" s="9">
        <v>10</v>
      </c>
      <c r="I44" s="9">
        <v>2</v>
      </c>
      <c r="J44" s="9">
        <v>24000</v>
      </c>
      <c r="K44" s="9">
        <v>13200</v>
      </c>
      <c r="L44" s="9">
        <v>10800</v>
      </c>
      <c r="M44" s="9" t="s">
        <v>1625</v>
      </c>
      <c r="N44" s="9" t="s">
        <v>1652</v>
      </c>
      <c r="O44" s="9" t="s">
        <v>1421</v>
      </c>
      <c r="P44" s="9" t="s">
        <v>1627</v>
      </c>
      <c r="Q44" s="9" t="s">
        <v>1688</v>
      </c>
      <c r="R44" s="9" t="s">
        <v>1636</v>
      </c>
      <c r="S44" s="9" t="s">
        <v>1630</v>
      </c>
      <c r="T44" s="9" t="s">
        <v>1636</v>
      </c>
      <c r="U44" s="9" t="s">
        <v>1070</v>
      </c>
      <c r="V44" s="9"/>
      <c r="W44" s="9" t="s">
        <v>56</v>
      </c>
      <c r="X44" s="9"/>
      <c r="Y44" s="9"/>
    </row>
    <row r="45" ht="28" spans="1:25">
      <c r="A45" s="8">
        <v>540425201919022</v>
      </c>
      <c r="B45" s="9" t="s">
        <v>20</v>
      </c>
      <c r="C45" s="489" t="s">
        <v>2185</v>
      </c>
      <c r="D45" s="9" t="s">
        <v>2186</v>
      </c>
      <c r="E45" s="9">
        <v>2019.7</v>
      </c>
      <c r="F45" s="9" t="s">
        <v>2171</v>
      </c>
      <c r="G45" s="9" t="s">
        <v>1675</v>
      </c>
      <c r="H45" s="9">
        <v>10</v>
      </c>
      <c r="I45" s="9">
        <v>1</v>
      </c>
      <c r="J45" s="9">
        <v>12500</v>
      </c>
      <c r="K45" s="9">
        <v>6875</v>
      </c>
      <c r="L45" s="9">
        <v>5625</v>
      </c>
      <c r="M45" s="9" t="s">
        <v>1625</v>
      </c>
      <c r="N45" s="9" t="s">
        <v>1652</v>
      </c>
      <c r="O45" s="9" t="s">
        <v>1421</v>
      </c>
      <c r="P45" s="9" t="s">
        <v>1627</v>
      </c>
      <c r="Q45" s="9" t="s">
        <v>1688</v>
      </c>
      <c r="R45" s="9" t="s">
        <v>1636</v>
      </c>
      <c r="S45" s="9" t="s">
        <v>1630</v>
      </c>
      <c r="T45" s="9" t="s">
        <v>1636</v>
      </c>
      <c r="U45" s="9" t="s">
        <v>1070</v>
      </c>
      <c r="V45" s="9"/>
      <c r="W45" s="9" t="s">
        <v>56</v>
      </c>
      <c r="X45" s="9"/>
      <c r="Y45" s="9"/>
    </row>
    <row r="46" ht="28" spans="1:25">
      <c r="A46" s="8">
        <v>540425201919022</v>
      </c>
      <c r="B46" s="9" t="s">
        <v>20</v>
      </c>
      <c r="C46" s="489" t="s">
        <v>2187</v>
      </c>
      <c r="D46" s="9" t="s">
        <v>2188</v>
      </c>
      <c r="E46" s="9">
        <v>2019.7</v>
      </c>
      <c r="F46" s="9" t="s">
        <v>2171</v>
      </c>
      <c r="G46" s="9" t="s">
        <v>1675</v>
      </c>
      <c r="H46" s="9">
        <v>10</v>
      </c>
      <c r="I46" s="9">
        <v>2</v>
      </c>
      <c r="J46" s="9">
        <v>19000</v>
      </c>
      <c r="K46" s="9">
        <v>10450</v>
      </c>
      <c r="L46" s="9">
        <v>8550</v>
      </c>
      <c r="M46" s="9" t="s">
        <v>1625</v>
      </c>
      <c r="N46" s="9" t="s">
        <v>1652</v>
      </c>
      <c r="O46" s="9" t="s">
        <v>1421</v>
      </c>
      <c r="P46" s="9" t="s">
        <v>1627</v>
      </c>
      <c r="Q46" s="9" t="s">
        <v>1688</v>
      </c>
      <c r="R46" s="9" t="s">
        <v>1636</v>
      </c>
      <c r="S46" s="9" t="s">
        <v>1630</v>
      </c>
      <c r="T46" s="9" t="s">
        <v>1636</v>
      </c>
      <c r="U46" s="9" t="s">
        <v>1070</v>
      </c>
      <c r="V46" s="9"/>
      <c r="W46" s="9" t="s">
        <v>56</v>
      </c>
      <c r="X46" s="9"/>
      <c r="Y46" s="9"/>
    </row>
    <row r="47" ht="28" spans="1:25">
      <c r="A47" s="8">
        <v>540425201919022</v>
      </c>
      <c r="B47" s="9" t="s">
        <v>20</v>
      </c>
      <c r="C47" s="489" t="s">
        <v>2189</v>
      </c>
      <c r="D47" s="9" t="s">
        <v>2190</v>
      </c>
      <c r="E47" s="9">
        <v>2019.7</v>
      </c>
      <c r="F47" s="9" t="s">
        <v>2171</v>
      </c>
      <c r="G47" s="9" t="s">
        <v>1675</v>
      </c>
      <c r="H47" s="9">
        <v>10</v>
      </c>
      <c r="I47" s="9">
        <v>1</v>
      </c>
      <c r="J47" s="9">
        <v>21400</v>
      </c>
      <c r="K47" s="9">
        <v>11770</v>
      </c>
      <c r="L47" s="9">
        <v>9630</v>
      </c>
      <c r="M47" s="9" t="s">
        <v>1625</v>
      </c>
      <c r="N47" s="9" t="s">
        <v>1652</v>
      </c>
      <c r="O47" s="9" t="s">
        <v>1421</v>
      </c>
      <c r="P47" s="9" t="s">
        <v>1627</v>
      </c>
      <c r="Q47" s="9" t="s">
        <v>1688</v>
      </c>
      <c r="R47" s="9" t="s">
        <v>1636</v>
      </c>
      <c r="S47" s="9" t="s">
        <v>1630</v>
      </c>
      <c r="T47" s="9" t="s">
        <v>1636</v>
      </c>
      <c r="U47" s="9" t="s">
        <v>1070</v>
      </c>
      <c r="V47" s="9"/>
      <c r="W47" s="9" t="s">
        <v>56</v>
      </c>
      <c r="X47" s="9"/>
      <c r="Y47" s="9"/>
    </row>
    <row r="48" spans="1:25">
      <c r="A48" s="8">
        <v>540425201919024</v>
      </c>
      <c r="B48" s="9" t="s">
        <v>20</v>
      </c>
      <c r="C48" s="489" t="s">
        <v>2195</v>
      </c>
      <c r="D48" s="9" t="s">
        <v>921</v>
      </c>
      <c r="E48" s="9">
        <v>2019.4</v>
      </c>
      <c r="F48" s="9" t="s">
        <v>2196</v>
      </c>
      <c r="G48" s="9" t="s">
        <v>1865</v>
      </c>
      <c r="H48" s="9">
        <v>10</v>
      </c>
      <c r="I48" s="9">
        <v>45703</v>
      </c>
      <c r="J48" s="9">
        <v>6933400</v>
      </c>
      <c r="K48" s="9">
        <v>6933400</v>
      </c>
      <c r="L48" s="9">
        <v>0</v>
      </c>
      <c r="M48" s="9" t="s">
        <v>1685</v>
      </c>
      <c r="N48" s="9" t="s">
        <v>1866</v>
      </c>
      <c r="O48" s="9" t="s">
        <v>1421</v>
      </c>
      <c r="P48" s="9" t="s">
        <v>1687</v>
      </c>
      <c r="Q48" s="9" t="s">
        <v>1688</v>
      </c>
      <c r="R48" s="9" t="s">
        <v>1689</v>
      </c>
      <c r="S48" s="9" t="s">
        <v>1630</v>
      </c>
      <c r="T48" s="9" t="s">
        <v>1636</v>
      </c>
      <c r="U48" s="9" t="s">
        <v>1460</v>
      </c>
      <c r="V48" s="9"/>
      <c r="W48" s="9" t="s">
        <v>56</v>
      </c>
      <c r="X48" s="9"/>
      <c r="Y48" s="9"/>
    </row>
    <row r="49" spans="1:25">
      <c r="A49" s="8">
        <v>540425201919024</v>
      </c>
      <c r="B49" s="9" t="s">
        <v>20</v>
      </c>
      <c r="C49" s="489" t="s">
        <v>2198</v>
      </c>
      <c r="D49" s="9" t="s">
        <v>1894</v>
      </c>
      <c r="E49" s="9">
        <v>2019.4</v>
      </c>
      <c r="F49" s="9" t="s">
        <v>2196</v>
      </c>
      <c r="G49" s="9" t="s">
        <v>2199</v>
      </c>
      <c r="H49" s="9">
        <v>10</v>
      </c>
      <c r="I49" s="9">
        <v>1</v>
      </c>
      <c r="J49" s="9">
        <v>684700</v>
      </c>
      <c r="K49" s="9">
        <v>684700</v>
      </c>
      <c r="L49" s="9">
        <v>0</v>
      </c>
      <c r="M49" s="9" t="s">
        <v>1625</v>
      </c>
      <c r="N49" s="9" t="s">
        <v>1626</v>
      </c>
      <c r="O49" s="9" t="s">
        <v>1421</v>
      </c>
      <c r="P49" s="9" t="s">
        <v>1687</v>
      </c>
      <c r="Q49" s="9" t="s">
        <v>1688</v>
      </c>
      <c r="R49" s="9" t="s">
        <v>1687</v>
      </c>
      <c r="S49" s="9" t="s">
        <v>1630</v>
      </c>
      <c r="T49" s="9" t="s">
        <v>1636</v>
      </c>
      <c r="U49" s="9" t="s">
        <v>1460</v>
      </c>
      <c r="V49" s="9"/>
      <c r="W49" s="9" t="s">
        <v>56</v>
      </c>
      <c r="X49" s="9"/>
      <c r="Y49" s="9"/>
    </row>
    <row r="50" spans="1:25">
      <c r="A50" s="8">
        <v>540425201919024</v>
      </c>
      <c r="B50" s="9" t="s">
        <v>20</v>
      </c>
      <c r="C50" s="489" t="s">
        <v>2200</v>
      </c>
      <c r="D50" s="9" t="s">
        <v>2201</v>
      </c>
      <c r="E50" s="9">
        <v>2019.4</v>
      </c>
      <c r="F50" s="9" t="s">
        <v>2196</v>
      </c>
      <c r="G50" s="9" t="s">
        <v>2168</v>
      </c>
      <c r="H50" s="9">
        <v>10</v>
      </c>
      <c r="I50" s="9">
        <v>1</v>
      </c>
      <c r="J50" s="9">
        <v>973000</v>
      </c>
      <c r="K50" s="9">
        <v>973000</v>
      </c>
      <c r="L50" s="9">
        <v>0</v>
      </c>
      <c r="M50" s="9" t="s">
        <v>1625</v>
      </c>
      <c r="N50" s="9" t="s">
        <v>1626</v>
      </c>
      <c r="O50" s="9" t="s">
        <v>1421</v>
      </c>
      <c r="P50" s="9" t="s">
        <v>1687</v>
      </c>
      <c r="Q50" s="9" t="s">
        <v>1688</v>
      </c>
      <c r="R50" s="9" t="s">
        <v>1687</v>
      </c>
      <c r="S50" s="9" t="s">
        <v>1630</v>
      </c>
      <c r="T50" s="9" t="s">
        <v>1636</v>
      </c>
      <c r="U50" s="9" t="s">
        <v>1460</v>
      </c>
      <c r="V50" s="9"/>
      <c r="W50" s="9" t="s">
        <v>56</v>
      </c>
      <c r="X50" s="9"/>
      <c r="Y50" s="9"/>
    </row>
    <row r="51" ht="28" spans="1:25">
      <c r="A51" s="8">
        <v>540425201820013</v>
      </c>
      <c r="B51" s="9" t="s">
        <v>20</v>
      </c>
      <c r="C51" s="489" t="s">
        <v>2202</v>
      </c>
      <c r="D51" s="9" t="s">
        <v>921</v>
      </c>
      <c r="E51" s="9">
        <v>2019.9</v>
      </c>
      <c r="F51" s="9" t="s">
        <v>2196</v>
      </c>
      <c r="G51" s="9" t="s">
        <v>1865</v>
      </c>
      <c r="H51" s="9">
        <v>10</v>
      </c>
      <c r="I51" s="9">
        <v>23573</v>
      </c>
      <c r="J51" s="9">
        <v>3468138.02</v>
      </c>
      <c r="K51" s="9">
        <v>3468138.02</v>
      </c>
      <c r="L51" s="9">
        <v>0</v>
      </c>
      <c r="M51" s="9" t="s">
        <v>1685</v>
      </c>
      <c r="N51" s="9" t="s">
        <v>1866</v>
      </c>
      <c r="O51" s="9" t="s">
        <v>1421</v>
      </c>
      <c r="P51" s="9" t="s">
        <v>1687</v>
      </c>
      <c r="Q51" s="9" t="s">
        <v>1688</v>
      </c>
      <c r="R51" s="9" t="s">
        <v>1689</v>
      </c>
      <c r="S51" s="9" t="s">
        <v>1630</v>
      </c>
      <c r="T51" s="9" t="s">
        <v>1636</v>
      </c>
      <c r="U51" s="9" t="s">
        <v>1528</v>
      </c>
      <c r="V51" s="9"/>
      <c r="W51" s="9" t="s">
        <v>56</v>
      </c>
      <c r="X51" s="9"/>
      <c r="Y51" s="9"/>
    </row>
    <row r="52" ht="28" spans="1:25">
      <c r="A52" s="8">
        <v>540425201820013</v>
      </c>
      <c r="B52" s="9" t="s">
        <v>20</v>
      </c>
      <c r="C52" s="489" t="s">
        <v>2203</v>
      </c>
      <c r="D52" s="9" t="s">
        <v>1894</v>
      </c>
      <c r="E52" s="9">
        <v>2019.9</v>
      </c>
      <c r="F52" s="9" t="s">
        <v>2196</v>
      </c>
      <c r="G52" s="9" t="s">
        <v>2204</v>
      </c>
      <c r="H52" s="9">
        <v>10</v>
      </c>
      <c r="I52" s="9">
        <v>1</v>
      </c>
      <c r="J52" s="9">
        <v>295538.05</v>
      </c>
      <c r="K52" s="9">
        <v>295538.05</v>
      </c>
      <c r="L52" s="9">
        <v>0</v>
      </c>
      <c r="M52" s="9" t="s">
        <v>1625</v>
      </c>
      <c r="N52" s="9" t="s">
        <v>1626</v>
      </c>
      <c r="O52" s="9" t="s">
        <v>1421</v>
      </c>
      <c r="P52" s="9" t="s">
        <v>1687</v>
      </c>
      <c r="Q52" s="9" t="s">
        <v>1688</v>
      </c>
      <c r="R52" s="9" t="s">
        <v>1687</v>
      </c>
      <c r="S52" s="9" t="s">
        <v>1630</v>
      </c>
      <c r="T52" s="9" t="s">
        <v>1636</v>
      </c>
      <c r="U52" s="9" t="s">
        <v>1528</v>
      </c>
      <c r="V52" s="9"/>
      <c r="W52" s="9" t="s">
        <v>56</v>
      </c>
      <c r="X52" s="9"/>
      <c r="Y52" s="9"/>
    </row>
    <row r="53" ht="28" spans="1:25">
      <c r="A53" s="8">
        <v>540425201820013</v>
      </c>
      <c r="B53" s="9" t="s">
        <v>20</v>
      </c>
      <c r="C53" s="489" t="s">
        <v>2205</v>
      </c>
      <c r="D53" s="9" t="s">
        <v>2167</v>
      </c>
      <c r="E53" s="9">
        <v>2019.9</v>
      </c>
      <c r="F53" s="9" t="s">
        <v>2196</v>
      </c>
      <c r="G53" s="9" t="s">
        <v>2168</v>
      </c>
      <c r="H53" s="9">
        <v>10</v>
      </c>
      <c r="I53" s="9">
        <v>1</v>
      </c>
      <c r="J53" s="9">
        <v>637283.08</v>
      </c>
      <c r="K53" s="9">
        <v>637283.08</v>
      </c>
      <c r="L53" s="9">
        <v>0</v>
      </c>
      <c r="M53" s="9" t="s">
        <v>1625</v>
      </c>
      <c r="N53" s="9" t="s">
        <v>1626</v>
      </c>
      <c r="O53" s="9" t="s">
        <v>1421</v>
      </c>
      <c r="P53" s="9" t="s">
        <v>1687</v>
      </c>
      <c r="Q53" s="9" t="s">
        <v>1688</v>
      </c>
      <c r="R53" s="9" t="s">
        <v>1687</v>
      </c>
      <c r="S53" s="9" t="s">
        <v>1630</v>
      </c>
      <c r="T53" s="9" t="s">
        <v>1636</v>
      </c>
      <c r="U53" s="9" t="s">
        <v>1528</v>
      </c>
      <c r="V53" s="9"/>
      <c r="W53" s="9" t="s">
        <v>56</v>
      </c>
      <c r="X53" s="9"/>
      <c r="Y53" s="9"/>
    </row>
    <row r="54" ht="28" spans="1:25">
      <c r="A54" s="8">
        <v>540425202020022</v>
      </c>
      <c r="B54" s="9" t="s">
        <v>20</v>
      </c>
      <c r="C54" s="489" t="s">
        <v>2206</v>
      </c>
      <c r="D54" s="9" t="s">
        <v>2170</v>
      </c>
      <c r="E54" s="9">
        <v>2020.07</v>
      </c>
      <c r="F54" s="9" t="s">
        <v>2207</v>
      </c>
      <c r="G54" s="9" t="s">
        <v>1865</v>
      </c>
      <c r="H54" s="9">
        <v>10</v>
      </c>
      <c r="I54" s="9">
        <v>3881</v>
      </c>
      <c r="J54" s="9">
        <v>383400</v>
      </c>
      <c r="K54" s="9">
        <v>172530</v>
      </c>
      <c r="L54" s="9">
        <v>210870</v>
      </c>
      <c r="M54" s="9" t="s">
        <v>1685</v>
      </c>
      <c r="N54" s="9" t="s">
        <v>1866</v>
      </c>
      <c r="O54" s="9" t="s">
        <v>1421</v>
      </c>
      <c r="P54" s="9" t="s">
        <v>1627</v>
      </c>
      <c r="Q54" s="9" t="s">
        <v>1688</v>
      </c>
      <c r="R54" s="9" t="s">
        <v>1636</v>
      </c>
      <c r="S54" s="9" t="s">
        <v>1630</v>
      </c>
      <c r="T54" s="9" t="s">
        <v>1636</v>
      </c>
      <c r="U54" s="9" t="s">
        <v>1549</v>
      </c>
      <c r="V54" s="9"/>
      <c r="W54" s="9" t="s">
        <v>56</v>
      </c>
      <c r="X54" s="9"/>
      <c r="Y54" s="9"/>
    </row>
    <row r="55" ht="28" spans="1:25">
      <c r="A55" s="8">
        <v>540425202020022</v>
      </c>
      <c r="B55" s="9" t="s">
        <v>20</v>
      </c>
      <c r="C55" s="489" t="s">
        <v>2390</v>
      </c>
      <c r="D55" s="9" t="s">
        <v>2391</v>
      </c>
      <c r="E55" s="9">
        <v>2020.07</v>
      </c>
      <c r="F55" s="9" t="s">
        <v>2207</v>
      </c>
      <c r="G55" s="9" t="s">
        <v>1865</v>
      </c>
      <c r="H55" s="9">
        <v>10</v>
      </c>
      <c r="I55" s="9">
        <v>2588</v>
      </c>
      <c r="J55" s="9">
        <v>255600</v>
      </c>
      <c r="K55" s="9">
        <v>255600</v>
      </c>
      <c r="L55" s="9">
        <v>0</v>
      </c>
      <c r="M55" s="9" t="s">
        <v>1685</v>
      </c>
      <c r="N55" s="9" t="s">
        <v>1866</v>
      </c>
      <c r="O55" s="9" t="s">
        <v>1421</v>
      </c>
      <c r="P55" s="9" t="s">
        <v>1687</v>
      </c>
      <c r="Q55" s="9" t="s">
        <v>1688</v>
      </c>
      <c r="R55" s="9" t="s">
        <v>1689</v>
      </c>
      <c r="S55" s="9" t="s">
        <v>1630</v>
      </c>
      <c r="T55" s="9" t="s">
        <v>1636</v>
      </c>
      <c r="U55" s="9" t="s">
        <v>1549</v>
      </c>
      <c r="V55" s="9"/>
      <c r="W55" s="9" t="s">
        <v>56</v>
      </c>
      <c r="X55" s="9"/>
      <c r="Y55" s="9"/>
    </row>
    <row r="56" ht="28" spans="1:25">
      <c r="A56" s="8">
        <v>540425202120036</v>
      </c>
      <c r="B56" s="9" t="s">
        <v>20</v>
      </c>
      <c r="C56" s="489" t="s">
        <v>2392</v>
      </c>
      <c r="D56" s="9" t="s">
        <v>2391</v>
      </c>
      <c r="E56" s="9">
        <v>2021.12</v>
      </c>
      <c r="F56" s="9" t="s">
        <v>2207</v>
      </c>
      <c r="G56" s="9" t="s">
        <v>1865</v>
      </c>
      <c r="H56" s="9">
        <v>10</v>
      </c>
      <c r="I56" s="9">
        <v>1492</v>
      </c>
      <c r="J56" s="9">
        <v>280367.02</v>
      </c>
      <c r="K56" s="9">
        <v>280367.02</v>
      </c>
      <c r="L56" s="9">
        <v>0</v>
      </c>
      <c r="M56" s="9" t="s">
        <v>1685</v>
      </c>
      <c r="N56" s="9" t="s">
        <v>1866</v>
      </c>
      <c r="O56" s="9" t="s">
        <v>1421</v>
      </c>
      <c r="P56" s="9" t="s">
        <v>1687</v>
      </c>
      <c r="Q56" s="9" t="s">
        <v>1688</v>
      </c>
      <c r="R56" s="9" t="s">
        <v>1689</v>
      </c>
      <c r="S56" s="9" t="s">
        <v>1630</v>
      </c>
      <c r="T56" s="9" t="s">
        <v>1700</v>
      </c>
      <c r="U56" s="9" t="s">
        <v>1556</v>
      </c>
      <c r="V56" s="9"/>
      <c r="W56" s="9" t="s">
        <v>56</v>
      </c>
      <c r="X56" s="9"/>
      <c r="Y56" s="9"/>
    </row>
    <row r="57" ht="28" spans="1:25">
      <c r="A57" s="8">
        <v>540425202120036</v>
      </c>
      <c r="B57" s="9" t="s">
        <v>20</v>
      </c>
      <c r="C57" s="489" t="s">
        <v>2208</v>
      </c>
      <c r="D57" s="9" t="s">
        <v>2170</v>
      </c>
      <c r="E57" s="9">
        <v>2021.12</v>
      </c>
      <c r="F57" s="9" t="s">
        <v>2207</v>
      </c>
      <c r="G57" s="9" t="s">
        <v>1865</v>
      </c>
      <c r="H57" s="9">
        <v>10</v>
      </c>
      <c r="I57" s="9">
        <v>2238</v>
      </c>
      <c r="J57" s="9">
        <v>420550.53</v>
      </c>
      <c r="K57" s="9">
        <v>129669.75</v>
      </c>
      <c r="L57" s="9">
        <v>290880.78</v>
      </c>
      <c r="M57" s="9" t="s">
        <v>1685</v>
      </c>
      <c r="N57" s="9" t="s">
        <v>1866</v>
      </c>
      <c r="O57" s="9" t="s">
        <v>1421</v>
      </c>
      <c r="P57" s="9" t="s">
        <v>1627</v>
      </c>
      <c r="Q57" s="9" t="s">
        <v>1628</v>
      </c>
      <c r="R57" s="9" t="s">
        <v>1629</v>
      </c>
      <c r="S57" s="9" t="s">
        <v>1630</v>
      </c>
      <c r="T57" s="9" t="s">
        <v>1700</v>
      </c>
      <c r="U57" s="9" t="s">
        <v>1556</v>
      </c>
      <c r="V57" s="9"/>
      <c r="W57" s="9" t="s">
        <v>56</v>
      </c>
      <c r="X57" s="9"/>
      <c r="Y57" s="9"/>
    </row>
    <row r="58" ht="28" spans="1:25">
      <c r="A58" s="8">
        <v>540425202120036</v>
      </c>
      <c r="B58" s="9" t="s">
        <v>20</v>
      </c>
      <c r="C58" s="489" t="s">
        <v>2210</v>
      </c>
      <c r="D58" s="9" t="s">
        <v>2167</v>
      </c>
      <c r="E58" s="9">
        <v>2021.12</v>
      </c>
      <c r="F58" s="9" t="s">
        <v>2207</v>
      </c>
      <c r="G58" s="9" t="s">
        <v>2168</v>
      </c>
      <c r="H58" s="9">
        <v>10</v>
      </c>
      <c r="I58" s="9">
        <v>1</v>
      </c>
      <c r="J58" s="9">
        <v>431543.48</v>
      </c>
      <c r="K58" s="9">
        <v>133059.24</v>
      </c>
      <c r="L58" s="9">
        <v>298484.24</v>
      </c>
      <c r="M58" s="9" t="s">
        <v>1625</v>
      </c>
      <c r="N58" s="9" t="s">
        <v>1626</v>
      </c>
      <c r="O58" s="9" t="s">
        <v>1421</v>
      </c>
      <c r="P58" s="9" t="s">
        <v>1627</v>
      </c>
      <c r="Q58" s="9" t="s">
        <v>1628</v>
      </c>
      <c r="R58" s="9" t="s">
        <v>1629</v>
      </c>
      <c r="S58" s="9" t="s">
        <v>1630</v>
      </c>
      <c r="T58" s="9" t="s">
        <v>1700</v>
      </c>
      <c r="U58" s="9" t="s">
        <v>1556</v>
      </c>
      <c r="V58" s="9"/>
      <c r="W58" s="9" t="s">
        <v>56</v>
      </c>
      <c r="X58" s="9"/>
      <c r="Y58" s="9"/>
    </row>
    <row r="59" ht="28" spans="1:25">
      <c r="A59" s="8">
        <v>540425202120036</v>
      </c>
      <c r="B59" s="9" t="s">
        <v>20</v>
      </c>
      <c r="C59" s="489" t="s">
        <v>2211</v>
      </c>
      <c r="D59" s="9" t="s">
        <v>1894</v>
      </c>
      <c r="E59" s="9">
        <v>2021.12</v>
      </c>
      <c r="F59" s="9" t="s">
        <v>2207</v>
      </c>
      <c r="G59" s="9" t="s">
        <v>2212</v>
      </c>
      <c r="H59" s="9">
        <v>10</v>
      </c>
      <c r="I59" s="9">
        <v>1</v>
      </c>
      <c r="J59" s="9">
        <v>166867.24</v>
      </c>
      <c r="K59" s="9">
        <v>51450.73</v>
      </c>
      <c r="L59" s="9">
        <v>115416.51</v>
      </c>
      <c r="M59" s="9" t="s">
        <v>1625</v>
      </c>
      <c r="N59" s="9" t="s">
        <v>1626</v>
      </c>
      <c r="O59" s="9" t="s">
        <v>1421</v>
      </c>
      <c r="P59" s="9" t="s">
        <v>1627</v>
      </c>
      <c r="Q59" s="9" t="s">
        <v>1628</v>
      </c>
      <c r="R59" s="9" t="s">
        <v>1629</v>
      </c>
      <c r="S59" s="9" t="s">
        <v>1630</v>
      </c>
      <c r="T59" s="9" t="s">
        <v>1700</v>
      </c>
      <c r="U59" s="9" t="s">
        <v>1556</v>
      </c>
      <c r="V59" s="9"/>
      <c r="W59" s="9" t="s">
        <v>56</v>
      </c>
      <c r="X59" s="9"/>
      <c r="Y59" s="9"/>
    </row>
    <row r="60" ht="28" spans="1:25">
      <c r="A60" s="8">
        <v>540425202120034</v>
      </c>
      <c r="B60" s="9" t="s">
        <v>20</v>
      </c>
      <c r="C60" s="489" t="s">
        <v>2393</v>
      </c>
      <c r="D60" s="9" t="s">
        <v>2391</v>
      </c>
      <c r="E60" s="9">
        <v>2021.12</v>
      </c>
      <c r="F60" s="9" t="s">
        <v>2216</v>
      </c>
      <c r="G60" s="9" t="s">
        <v>1865</v>
      </c>
      <c r="H60" s="9">
        <v>10</v>
      </c>
      <c r="I60" s="9">
        <v>2948</v>
      </c>
      <c r="J60" s="9">
        <v>103200</v>
      </c>
      <c r="K60" s="9">
        <v>103200</v>
      </c>
      <c r="L60" s="9">
        <v>0</v>
      </c>
      <c r="M60" s="9" t="s">
        <v>1685</v>
      </c>
      <c r="N60" s="9" t="s">
        <v>1866</v>
      </c>
      <c r="O60" s="9" t="s">
        <v>1421</v>
      </c>
      <c r="P60" s="9" t="s">
        <v>1687</v>
      </c>
      <c r="Q60" s="9" t="s">
        <v>1688</v>
      </c>
      <c r="R60" s="9" t="s">
        <v>1689</v>
      </c>
      <c r="S60" s="9" t="s">
        <v>1630</v>
      </c>
      <c r="T60" s="9" t="s">
        <v>1700</v>
      </c>
      <c r="U60" s="9" t="s">
        <v>1535</v>
      </c>
      <c r="V60" s="9"/>
      <c r="W60" s="9" t="s">
        <v>56</v>
      </c>
      <c r="X60" s="9"/>
      <c r="Y60" s="9"/>
    </row>
    <row r="61" ht="28" spans="1:25">
      <c r="A61" s="8">
        <v>540425202120034</v>
      </c>
      <c r="B61" s="9" t="s">
        <v>20</v>
      </c>
      <c r="C61" s="489" t="s">
        <v>2215</v>
      </c>
      <c r="D61" s="9" t="s">
        <v>2170</v>
      </c>
      <c r="E61" s="9">
        <v>2021.12</v>
      </c>
      <c r="F61" s="9" t="s">
        <v>2216</v>
      </c>
      <c r="G61" s="9" t="s">
        <v>1865</v>
      </c>
      <c r="H61" s="9">
        <v>10</v>
      </c>
      <c r="I61" s="9">
        <v>1965</v>
      </c>
      <c r="J61" s="9">
        <v>68800</v>
      </c>
      <c r="K61" s="9">
        <v>21213.3</v>
      </c>
      <c r="L61" s="9">
        <v>47586.7</v>
      </c>
      <c r="M61" s="9" t="s">
        <v>1685</v>
      </c>
      <c r="N61" s="9" t="s">
        <v>1866</v>
      </c>
      <c r="O61" s="9" t="s">
        <v>1421</v>
      </c>
      <c r="P61" s="9" t="s">
        <v>1627</v>
      </c>
      <c r="Q61" s="9" t="s">
        <v>1628</v>
      </c>
      <c r="R61" s="9" t="s">
        <v>1629</v>
      </c>
      <c r="S61" s="9" t="s">
        <v>1630</v>
      </c>
      <c r="T61" s="9" t="s">
        <v>1700</v>
      </c>
      <c r="U61" s="9" t="s">
        <v>1535</v>
      </c>
      <c r="V61" s="9"/>
      <c r="W61" s="9" t="s">
        <v>56</v>
      </c>
      <c r="X61" s="9"/>
      <c r="Y61" s="9"/>
    </row>
    <row r="62" ht="28" spans="1:25">
      <c r="A62" s="8">
        <v>540425202120034</v>
      </c>
      <c r="B62" s="9" t="s">
        <v>20</v>
      </c>
      <c r="C62" s="489" t="s">
        <v>2217</v>
      </c>
      <c r="D62" s="9" t="s">
        <v>2167</v>
      </c>
      <c r="E62" s="9">
        <v>2021.12</v>
      </c>
      <c r="F62" s="9" t="s">
        <v>2216</v>
      </c>
      <c r="G62" s="9" t="s">
        <v>2168</v>
      </c>
      <c r="H62" s="9">
        <v>10</v>
      </c>
      <c r="I62" s="9">
        <v>1</v>
      </c>
      <c r="J62" s="9">
        <v>708600</v>
      </c>
      <c r="K62" s="9">
        <v>218485</v>
      </c>
      <c r="L62" s="9">
        <v>490115</v>
      </c>
      <c r="M62" s="9" t="s">
        <v>1625</v>
      </c>
      <c r="N62" s="9" t="s">
        <v>1626</v>
      </c>
      <c r="O62" s="9" t="s">
        <v>1421</v>
      </c>
      <c r="P62" s="9" t="s">
        <v>1627</v>
      </c>
      <c r="Q62" s="9" t="s">
        <v>1628</v>
      </c>
      <c r="R62" s="9" t="s">
        <v>1629</v>
      </c>
      <c r="S62" s="9" t="s">
        <v>1630</v>
      </c>
      <c r="T62" s="9" t="s">
        <v>1700</v>
      </c>
      <c r="U62" s="9" t="s">
        <v>1535</v>
      </c>
      <c r="V62" s="9"/>
      <c r="W62" s="9" t="s">
        <v>56</v>
      </c>
      <c r="X62" s="9"/>
      <c r="Y62" s="9"/>
    </row>
    <row r="63" ht="28" spans="1:25">
      <c r="A63" s="8">
        <v>540425202020021</v>
      </c>
      <c r="B63" s="9" t="s">
        <v>20</v>
      </c>
      <c r="C63" s="489" t="s">
        <v>2394</v>
      </c>
      <c r="D63" s="9" t="s">
        <v>2391</v>
      </c>
      <c r="E63" s="9">
        <v>2020.07</v>
      </c>
      <c r="F63" s="9" t="s">
        <v>2219</v>
      </c>
      <c r="G63" s="9" t="s">
        <v>1865</v>
      </c>
      <c r="H63" s="9">
        <v>10</v>
      </c>
      <c r="I63" s="9">
        <v>582</v>
      </c>
      <c r="J63" s="9">
        <v>57440</v>
      </c>
      <c r="K63" s="9">
        <v>57440</v>
      </c>
      <c r="L63" s="9">
        <v>0</v>
      </c>
      <c r="M63" s="9" t="s">
        <v>1685</v>
      </c>
      <c r="N63" s="9" t="s">
        <v>1866</v>
      </c>
      <c r="O63" s="9" t="s">
        <v>1421</v>
      </c>
      <c r="P63" s="9" t="s">
        <v>1687</v>
      </c>
      <c r="Q63" s="9" t="s">
        <v>1688</v>
      </c>
      <c r="R63" s="9" t="s">
        <v>1689</v>
      </c>
      <c r="S63" s="9" t="s">
        <v>1630</v>
      </c>
      <c r="T63" s="9" t="s">
        <v>1700</v>
      </c>
      <c r="U63" s="9" t="s">
        <v>1547</v>
      </c>
      <c r="V63" s="9"/>
      <c r="W63" s="9" t="s">
        <v>56</v>
      </c>
      <c r="X63" s="9"/>
      <c r="Y63" s="9"/>
    </row>
    <row r="64" ht="28" spans="1:25">
      <c r="A64" s="8">
        <v>540425202020021</v>
      </c>
      <c r="B64" s="9" t="s">
        <v>20</v>
      </c>
      <c r="C64" s="489" t="s">
        <v>2218</v>
      </c>
      <c r="D64" s="9" t="s">
        <v>2170</v>
      </c>
      <c r="E64" s="9">
        <v>2020.07</v>
      </c>
      <c r="F64" s="9" t="s">
        <v>2219</v>
      </c>
      <c r="G64" s="9" t="s">
        <v>1865</v>
      </c>
      <c r="H64" s="9">
        <v>10</v>
      </c>
      <c r="I64" s="9">
        <v>872</v>
      </c>
      <c r="J64" s="9">
        <v>86160</v>
      </c>
      <c r="K64" s="9">
        <v>38772</v>
      </c>
      <c r="L64" s="9">
        <v>47388</v>
      </c>
      <c r="M64" s="9" t="s">
        <v>1685</v>
      </c>
      <c r="N64" s="9" t="s">
        <v>1866</v>
      </c>
      <c r="O64" s="9" t="s">
        <v>1421</v>
      </c>
      <c r="P64" s="9" t="s">
        <v>1627</v>
      </c>
      <c r="Q64" s="9" t="s">
        <v>1628</v>
      </c>
      <c r="R64" s="9" t="s">
        <v>1629</v>
      </c>
      <c r="S64" s="9" t="s">
        <v>1630</v>
      </c>
      <c r="T64" s="9" t="s">
        <v>1700</v>
      </c>
      <c r="U64" s="9" t="s">
        <v>1547</v>
      </c>
      <c r="V64" s="9"/>
      <c r="W64" s="9" t="s">
        <v>56</v>
      </c>
      <c r="X64" s="9"/>
      <c r="Y64" s="9"/>
    </row>
    <row r="65" ht="28" spans="1:25">
      <c r="A65" s="8">
        <v>540425202020021</v>
      </c>
      <c r="B65" s="9" t="s">
        <v>20</v>
      </c>
      <c r="C65" s="489" t="s">
        <v>2220</v>
      </c>
      <c r="D65" s="9" t="s">
        <v>1744</v>
      </c>
      <c r="E65" s="9">
        <v>2020.07</v>
      </c>
      <c r="F65" s="9" t="s">
        <v>2219</v>
      </c>
      <c r="G65" s="9" t="s">
        <v>2168</v>
      </c>
      <c r="H65" s="9">
        <v>10</v>
      </c>
      <c r="I65" s="9">
        <v>1</v>
      </c>
      <c r="J65" s="9">
        <v>73400</v>
      </c>
      <c r="K65" s="9">
        <v>33030</v>
      </c>
      <c r="L65" s="9">
        <v>40370</v>
      </c>
      <c r="M65" s="9" t="s">
        <v>1625</v>
      </c>
      <c r="N65" s="9" t="s">
        <v>1626</v>
      </c>
      <c r="O65" s="9" t="s">
        <v>1421</v>
      </c>
      <c r="P65" s="9" t="s">
        <v>1627</v>
      </c>
      <c r="Q65" s="9" t="s">
        <v>1628</v>
      </c>
      <c r="R65" s="9" t="s">
        <v>1629</v>
      </c>
      <c r="S65" s="9" t="s">
        <v>1630</v>
      </c>
      <c r="T65" s="9" t="s">
        <v>1700</v>
      </c>
      <c r="U65" s="9" t="s">
        <v>1547</v>
      </c>
      <c r="V65" s="9"/>
      <c r="W65" s="9" t="s">
        <v>56</v>
      </c>
      <c r="X65" s="9"/>
      <c r="Y65" s="9"/>
    </row>
    <row r="66" ht="28" spans="1:25">
      <c r="A66" s="8">
        <v>540425201920020</v>
      </c>
      <c r="B66" s="9" t="s">
        <v>20</v>
      </c>
      <c r="C66" s="489" t="s">
        <v>2395</v>
      </c>
      <c r="D66" s="9" t="s">
        <v>2391</v>
      </c>
      <c r="E66" s="9">
        <v>2019.12</v>
      </c>
      <c r="F66" s="9" t="s">
        <v>2222</v>
      </c>
      <c r="G66" s="9" t="s">
        <v>1865</v>
      </c>
      <c r="H66" s="9">
        <v>10</v>
      </c>
      <c r="I66" s="9">
        <v>1100</v>
      </c>
      <c r="J66" s="9">
        <v>95558.82</v>
      </c>
      <c r="K66" s="9">
        <v>95558.82</v>
      </c>
      <c r="L66" s="9">
        <v>0</v>
      </c>
      <c r="M66" s="9" t="s">
        <v>1685</v>
      </c>
      <c r="N66" s="9" t="s">
        <v>1866</v>
      </c>
      <c r="O66" s="9" t="s">
        <v>1421</v>
      </c>
      <c r="P66" s="9" t="s">
        <v>1687</v>
      </c>
      <c r="Q66" s="9" t="s">
        <v>1688</v>
      </c>
      <c r="R66" s="9" t="s">
        <v>1689</v>
      </c>
      <c r="S66" s="9" t="s">
        <v>1630</v>
      </c>
      <c r="T66" s="9" t="s">
        <v>1700</v>
      </c>
      <c r="U66" s="9" t="s">
        <v>1532</v>
      </c>
      <c r="V66" s="9"/>
      <c r="W66" s="9" t="s">
        <v>56</v>
      </c>
      <c r="X66" s="9"/>
      <c r="Y66" s="9"/>
    </row>
    <row r="67" ht="28" spans="1:25">
      <c r="A67" s="8">
        <v>540425201920020</v>
      </c>
      <c r="B67" s="9" t="s">
        <v>20</v>
      </c>
      <c r="C67" s="489" t="s">
        <v>2221</v>
      </c>
      <c r="D67" s="9" t="s">
        <v>2170</v>
      </c>
      <c r="E67" s="9">
        <v>2019.12</v>
      </c>
      <c r="F67" s="9" t="s">
        <v>2222</v>
      </c>
      <c r="G67" s="9" t="s">
        <v>1865</v>
      </c>
      <c r="H67" s="9">
        <v>10</v>
      </c>
      <c r="I67" s="9">
        <v>1650</v>
      </c>
      <c r="J67" s="9">
        <v>143338.23</v>
      </c>
      <c r="K67" s="9">
        <v>72863.6</v>
      </c>
      <c r="L67" s="9">
        <v>70474.63</v>
      </c>
      <c r="M67" s="9" t="s">
        <v>1685</v>
      </c>
      <c r="N67" s="9" t="s">
        <v>1866</v>
      </c>
      <c r="O67" s="9" t="s">
        <v>1421</v>
      </c>
      <c r="P67" s="9" t="s">
        <v>1627</v>
      </c>
      <c r="Q67" s="9" t="s">
        <v>1628</v>
      </c>
      <c r="R67" s="9" t="s">
        <v>1629</v>
      </c>
      <c r="S67" s="9" t="s">
        <v>1630</v>
      </c>
      <c r="T67" s="9" t="s">
        <v>1700</v>
      </c>
      <c r="U67" s="9" t="s">
        <v>1532</v>
      </c>
      <c r="V67" s="9"/>
      <c r="W67" s="9" t="s">
        <v>56</v>
      </c>
      <c r="X67" s="9"/>
      <c r="Y67" s="9"/>
    </row>
    <row r="68" ht="28" spans="1:25">
      <c r="A68" s="8">
        <v>540425201920020</v>
      </c>
      <c r="B68" s="9" t="s">
        <v>20</v>
      </c>
      <c r="C68" s="489" t="s">
        <v>2223</v>
      </c>
      <c r="D68" s="9" t="s">
        <v>2224</v>
      </c>
      <c r="E68" s="9">
        <v>2019.12</v>
      </c>
      <c r="F68" s="9" t="s">
        <v>2222</v>
      </c>
      <c r="G68" s="9" t="s">
        <v>2225</v>
      </c>
      <c r="H68" s="9">
        <v>10</v>
      </c>
      <c r="I68" s="9">
        <v>1</v>
      </c>
      <c r="J68" s="9">
        <v>115445.49</v>
      </c>
      <c r="K68" s="9">
        <v>58684.79</v>
      </c>
      <c r="L68" s="9">
        <v>56760.7</v>
      </c>
      <c r="M68" s="9" t="s">
        <v>1625</v>
      </c>
      <c r="N68" s="9" t="s">
        <v>1626</v>
      </c>
      <c r="O68" s="9" t="s">
        <v>1421</v>
      </c>
      <c r="P68" s="9" t="s">
        <v>1627</v>
      </c>
      <c r="Q68" s="9" t="s">
        <v>1628</v>
      </c>
      <c r="R68" s="9" t="s">
        <v>1629</v>
      </c>
      <c r="S68" s="9" t="s">
        <v>1630</v>
      </c>
      <c r="T68" s="9" t="s">
        <v>1700</v>
      </c>
      <c r="U68" s="9" t="s">
        <v>1532</v>
      </c>
      <c r="V68" s="9"/>
      <c r="W68" s="9" t="s">
        <v>56</v>
      </c>
      <c r="X68" s="9"/>
      <c r="Y68" s="9"/>
    </row>
    <row r="69" ht="28" spans="1:25">
      <c r="A69" s="8">
        <v>540425201920020</v>
      </c>
      <c r="B69" s="9" t="s">
        <v>20</v>
      </c>
      <c r="C69" s="489" t="s">
        <v>2226</v>
      </c>
      <c r="D69" s="9" t="s">
        <v>2167</v>
      </c>
      <c r="E69" s="9">
        <v>2019.12</v>
      </c>
      <c r="F69" s="9" t="s">
        <v>2222</v>
      </c>
      <c r="G69" s="9" t="s">
        <v>2168</v>
      </c>
      <c r="H69" s="9">
        <v>10</v>
      </c>
      <c r="I69" s="9">
        <v>1</v>
      </c>
      <c r="J69" s="9">
        <v>198075.99</v>
      </c>
      <c r="K69" s="9">
        <v>100688.63</v>
      </c>
      <c r="L69" s="9">
        <v>97387.36</v>
      </c>
      <c r="M69" s="9" t="s">
        <v>1625</v>
      </c>
      <c r="N69" s="9" t="s">
        <v>1626</v>
      </c>
      <c r="O69" s="9" t="s">
        <v>1421</v>
      </c>
      <c r="P69" s="9" t="s">
        <v>1627</v>
      </c>
      <c r="Q69" s="9" t="s">
        <v>1628</v>
      </c>
      <c r="R69" s="9" t="s">
        <v>1629</v>
      </c>
      <c r="S69" s="9" t="s">
        <v>1630</v>
      </c>
      <c r="T69" s="9" t="s">
        <v>1700</v>
      </c>
      <c r="U69" s="9" t="s">
        <v>1532</v>
      </c>
      <c r="V69" s="9"/>
      <c r="W69" s="9" t="s">
        <v>56</v>
      </c>
      <c r="X69" s="9"/>
      <c r="Y69" s="9"/>
    </row>
    <row r="70" ht="28" spans="1:25">
      <c r="A70" s="8">
        <v>540425202120037</v>
      </c>
      <c r="B70" s="9" t="s">
        <v>20</v>
      </c>
      <c r="C70" s="489" t="s">
        <v>2396</v>
      </c>
      <c r="D70" s="9" t="s">
        <v>2391</v>
      </c>
      <c r="E70" s="9">
        <v>2020.07</v>
      </c>
      <c r="F70" s="9" t="s">
        <v>2228</v>
      </c>
      <c r="G70" s="9" t="s">
        <v>1865</v>
      </c>
      <c r="H70" s="9">
        <v>10</v>
      </c>
      <c r="I70" s="9">
        <v>2511</v>
      </c>
      <c r="J70" s="9">
        <v>403745.15</v>
      </c>
      <c r="K70" s="9">
        <v>403745.15</v>
      </c>
      <c r="L70" s="9">
        <v>0</v>
      </c>
      <c r="M70" s="9" t="s">
        <v>1685</v>
      </c>
      <c r="N70" s="9" t="s">
        <v>1866</v>
      </c>
      <c r="O70" s="9" t="s">
        <v>1421</v>
      </c>
      <c r="P70" s="9" t="s">
        <v>1687</v>
      </c>
      <c r="Q70" s="9" t="s">
        <v>1688</v>
      </c>
      <c r="R70" s="9" t="s">
        <v>1689</v>
      </c>
      <c r="S70" s="9" t="s">
        <v>1630</v>
      </c>
      <c r="T70" s="9" t="s">
        <v>1700</v>
      </c>
      <c r="U70" s="9" t="s">
        <v>1226</v>
      </c>
      <c r="V70" s="9"/>
      <c r="W70" s="9" t="s">
        <v>56</v>
      </c>
      <c r="X70" s="9"/>
      <c r="Y70" s="9"/>
    </row>
    <row r="71" ht="28" spans="1:25">
      <c r="A71" s="8">
        <v>540425202120037</v>
      </c>
      <c r="B71" s="9" t="s">
        <v>20</v>
      </c>
      <c r="C71" s="489" t="s">
        <v>2227</v>
      </c>
      <c r="D71" s="9" t="s">
        <v>2170</v>
      </c>
      <c r="E71" s="9">
        <v>2020.07</v>
      </c>
      <c r="F71" s="9" t="s">
        <v>2228</v>
      </c>
      <c r="G71" s="9" t="s">
        <v>1865</v>
      </c>
      <c r="H71" s="9">
        <v>10</v>
      </c>
      <c r="I71" s="9">
        <v>3766</v>
      </c>
      <c r="J71" s="9">
        <v>605537.34</v>
      </c>
      <c r="K71" s="9">
        <v>272491.8</v>
      </c>
      <c r="L71" s="9">
        <v>333045.54</v>
      </c>
      <c r="M71" s="9" t="s">
        <v>1685</v>
      </c>
      <c r="N71" s="9" t="s">
        <v>1866</v>
      </c>
      <c r="O71" s="9" t="s">
        <v>1421</v>
      </c>
      <c r="P71" s="9" t="s">
        <v>1627</v>
      </c>
      <c r="Q71" s="9" t="s">
        <v>1628</v>
      </c>
      <c r="R71" s="9" t="s">
        <v>1629</v>
      </c>
      <c r="S71" s="9" t="s">
        <v>1630</v>
      </c>
      <c r="T71" s="9" t="s">
        <v>1700</v>
      </c>
      <c r="U71" s="9" t="s">
        <v>1226</v>
      </c>
      <c r="V71" s="9"/>
      <c r="W71" s="9" t="s">
        <v>56</v>
      </c>
      <c r="X71" s="9"/>
      <c r="Y71" s="9"/>
    </row>
    <row r="72" ht="28" spans="1:25">
      <c r="A72" s="8">
        <v>540425202120037</v>
      </c>
      <c r="B72" s="9" t="s">
        <v>20</v>
      </c>
      <c r="C72" s="489" t="s">
        <v>2229</v>
      </c>
      <c r="D72" s="9" t="s">
        <v>2167</v>
      </c>
      <c r="E72" s="9">
        <v>2020.07</v>
      </c>
      <c r="F72" s="9" t="s">
        <v>2228</v>
      </c>
      <c r="G72" s="9" t="s">
        <v>2168</v>
      </c>
      <c r="H72" s="9">
        <v>10</v>
      </c>
      <c r="I72" s="9">
        <v>1</v>
      </c>
      <c r="J72" s="9">
        <v>1061632.68</v>
      </c>
      <c r="K72" s="9">
        <v>477734.71</v>
      </c>
      <c r="L72" s="9">
        <v>583897.97</v>
      </c>
      <c r="M72" s="9" t="s">
        <v>1625</v>
      </c>
      <c r="N72" s="9" t="s">
        <v>1626</v>
      </c>
      <c r="O72" s="9" t="s">
        <v>1421</v>
      </c>
      <c r="P72" s="9" t="s">
        <v>1627</v>
      </c>
      <c r="Q72" s="9" t="s">
        <v>1628</v>
      </c>
      <c r="R72" s="9" t="s">
        <v>1629</v>
      </c>
      <c r="S72" s="9" t="s">
        <v>1630</v>
      </c>
      <c r="T72" s="9" t="s">
        <v>1700</v>
      </c>
      <c r="U72" s="9" t="s">
        <v>1226</v>
      </c>
      <c r="V72" s="9"/>
      <c r="W72" s="9" t="s">
        <v>56</v>
      </c>
      <c r="X72" s="9"/>
      <c r="Y72" s="9"/>
    </row>
    <row r="73" ht="28" spans="1:25">
      <c r="A73" s="8">
        <v>540425202120037</v>
      </c>
      <c r="B73" s="9" t="s">
        <v>20</v>
      </c>
      <c r="C73" s="489" t="s">
        <v>2230</v>
      </c>
      <c r="D73" s="9" t="s">
        <v>1894</v>
      </c>
      <c r="E73" s="9">
        <v>2020.07</v>
      </c>
      <c r="F73" s="9" t="s">
        <v>2228</v>
      </c>
      <c r="G73" s="9" t="s">
        <v>2231</v>
      </c>
      <c r="H73" s="9">
        <v>10</v>
      </c>
      <c r="I73" s="9">
        <v>1</v>
      </c>
      <c r="J73" s="9">
        <v>268856.39</v>
      </c>
      <c r="K73" s="9">
        <v>120985.38</v>
      </c>
      <c r="L73" s="9">
        <v>147871.01</v>
      </c>
      <c r="M73" s="9" t="s">
        <v>1625</v>
      </c>
      <c r="N73" s="9" t="s">
        <v>1626</v>
      </c>
      <c r="O73" s="9" t="s">
        <v>1421</v>
      </c>
      <c r="P73" s="9" t="s">
        <v>1627</v>
      </c>
      <c r="Q73" s="9" t="s">
        <v>1628</v>
      </c>
      <c r="R73" s="9" t="s">
        <v>1629</v>
      </c>
      <c r="S73" s="9" t="s">
        <v>1630</v>
      </c>
      <c r="T73" s="9" t="s">
        <v>1700</v>
      </c>
      <c r="U73" s="9" t="s">
        <v>1226</v>
      </c>
      <c r="V73" s="9"/>
      <c r="W73" s="9" t="s">
        <v>56</v>
      </c>
      <c r="X73" s="9"/>
      <c r="Y73" s="9"/>
    </row>
    <row r="74" ht="28" spans="1:25">
      <c r="A74" s="8">
        <v>540425201820009</v>
      </c>
      <c r="B74" s="9" t="s">
        <v>20</v>
      </c>
      <c r="C74" s="489" t="s">
        <v>2397</v>
      </c>
      <c r="D74" s="9" t="s">
        <v>2391</v>
      </c>
      <c r="E74" s="9">
        <v>2019.03</v>
      </c>
      <c r="F74" s="9" t="s">
        <v>2233</v>
      </c>
      <c r="G74" s="9" t="s">
        <v>1865</v>
      </c>
      <c r="H74" s="9">
        <v>10</v>
      </c>
      <c r="I74" s="9">
        <v>6650</v>
      </c>
      <c r="J74" s="9">
        <v>711600</v>
      </c>
      <c r="K74" s="9">
        <v>711600</v>
      </c>
      <c r="L74" s="9">
        <v>0</v>
      </c>
      <c r="M74" s="9" t="s">
        <v>1685</v>
      </c>
      <c r="N74" s="9" t="s">
        <v>1866</v>
      </c>
      <c r="O74" s="9" t="s">
        <v>1421</v>
      </c>
      <c r="P74" s="9" t="s">
        <v>1687</v>
      </c>
      <c r="Q74" s="9" t="s">
        <v>1688</v>
      </c>
      <c r="R74" s="9" t="s">
        <v>1689</v>
      </c>
      <c r="S74" s="9" t="s">
        <v>1630</v>
      </c>
      <c r="T74" s="9" t="s">
        <v>1700</v>
      </c>
      <c r="U74" s="9" t="s">
        <v>1524</v>
      </c>
      <c r="V74" s="9"/>
      <c r="W74" s="9" t="s">
        <v>56</v>
      </c>
      <c r="X74" s="9"/>
      <c r="Y74" s="9"/>
    </row>
    <row r="75" ht="28" spans="1:25">
      <c r="A75" s="8">
        <v>540425201820009</v>
      </c>
      <c r="B75" s="9" t="s">
        <v>20</v>
      </c>
      <c r="C75" s="489" t="s">
        <v>2232</v>
      </c>
      <c r="D75" s="9" t="s">
        <v>2170</v>
      </c>
      <c r="E75" s="9">
        <v>2019.03</v>
      </c>
      <c r="F75" s="9" t="s">
        <v>2233</v>
      </c>
      <c r="G75" s="9" t="s">
        <v>1865</v>
      </c>
      <c r="H75" s="9">
        <v>10</v>
      </c>
      <c r="I75" s="9">
        <v>1663</v>
      </c>
      <c r="J75" s="9">
        <v>177900</v>
      </c>
      <c r="K75" s="9">
        <v>103775</v>
      </c>
      <c r="L75" s="9">
        <v>74125</v>
      </c>
      <c r="M75" s="9" t="s">
        <v>1685</v>
      </c>
      <c r="N75" s="9" t="s">
        <v>1866</v>
      </c>
      <c r="O75" s="9" t="s">
        <v>1421</v>
      </c>
      <c r="P75" s="9" t="s">
        <v>1627</v>
      </c>
      <c r="Q75" s="9" t="s">
        <v>1628</v>
      </c>
      <c r="R75" s="9" t="s">
        <v>1629</v>
      </c>
      <c r="S75" s="9" t="s">
        <v>1630</v>
      </c>
      <c r="T75" s="9" t="s">
        <v>1700</v>
      </c>
      <c r="U75" s="9" t="s">
        <v>1524</v>
      </c>
      <c r="V75" s="9"/>
      <c r="W75" s="9" t="s">
        <v>56</v>
      </c>
      <c r="X75" s="9"/>
      <c r="Y75" s="9"/>
    </row>
    <row r="76" ht="28" spans="1:25">
      <c r="A76" s="8">
        <v>540425202020027</v>
      </c>
      <c r="B76" s="9" t="s">
        <v>20</v>
      </c>
      <c r="C76" s="489" t="s">
        <v>2234</v>
      </c>
      <c r="D76" s="9" t="s">
        <v>2167</v>
      </c>
      <c r="E76" s="9">
        <v>2021.04</v>
      </c>
      <c r="F76" s="9" t="s">
        <v>2235</v>
      </c>
      <c r="G76" s="9" t="s">
        <v>2168</v>
      </c>
      <c r="H76" s="9">
        <v>10</v>
      </c>
      <c r="I76" s="9">
        <v>1</v>
      </c>
      <c r="J76" s="9">
        <v>513200</v>
      </c>
      <c r="K76" s="9">
        <v>192450</v>
      </c>
      <c r="L76" s="9">
        <v>320750</v>
      </c>
      <c r="M76" s="9" t="s">
        <v>1625</v>
      </c>
      <c r="N76" s="9" t="s">
        <v>1626</v>
      </c>
      <c r="O76" s="9" t="s">
        <v>1421</v>
      </c>
      <c r="P76" s="9" t="s">
        <v>1627</v>
      </c>
      <c r="Q76" s="9" t="s">
        <v>1688</v>
      </c>
      <c r="R76" s="9" t="s">
        <v>1636</v>
      </c>
      <c r="S76" s="9" t="s">
        <v>1630</v>
      </c>
      <c r="T76" s="9" t="s">
        <v>1700</v>
      </c>
      <c r="U76" s="9" t="s">
        <v>1554</v>
      </c>
      <c r="V76" s="9"/>
      <c r="W76" s="9" t="s">
        <v>56</v>
      </c>
      <c r="X76" s="9"/>
      <c r="Y76" s="9"/>
    </row>
    <row r="77" ht="28" spans="1:25">
      <c r="A77" s="8">
        <v>540425202020027</v>
      </c>
      <c r="B77" s="9" t="s">
        <v>20</v>
      </c>
      <c r="C77" s="489" t="s">
        <v>2236</v>
      </c>
      <c r="D77" s="9" t="s">
        <v>2170</v>
      </c>
      <c r="E77" s="9">
        <v>2021.04</v>
      </c>
      <c r="F77" s="9" t="s">
        <v>2235</v>
      </c>
      <c r="G77" s="9" t="s">
        <v>1865</v>
      </c>
      <c r="H77" s="9">
        <v>10</v>
      </c>
      <c r="I77" s="9">
        <v>6667</v>
      </c>
      <c r="J77" s="9">
        <v>1252842.42</v>
      </c>
      <c r="K77" s="9">
        <v>469815.91</v>
      </c>
      <c r="L77" s="9">
        <v>783026.51</v>
      </c>
      <c r="M77" s="9" t="s">
        <v>1685</v>
      </c>
      <c r="N77" s="9" t="s">
        <v>1866</v>
      </c>
      <c r="O77" s="9" t="s">
        <v>1421</v>
      </c>
      <c r="P77" s="9" t="s">
        <v>1627</v>
      </c>
      <c r="Q77" s="9" t="s">
        <v>1688</v>
      </c>
      <c r="R77" s="9" t="s">
        <v>1636</v>
      </c>
      <c r="S77" s="9" t="s">
        <v>1630</v>
      </c>
      <c r="T77" s="9" t="s">
        <v>1700</v>
      </c>
      <c r="U77" s="9" t="s">
        <v>1554</v>
      </c>
      <c r="V77" s="9"/>
      <c r="W77" s="9" t="s">
        <v>56</v>
      </c>
      <c r="X77" s="9"/>
      <c r="Y77" s="9"/>
    </row>
    <row r="78" ht="28" spans="1:25">
      <c r="A78" s="8">
        <v>540425202020027</v>
      </c>
      <c r="B78" s="9" t="s">
        <v>20</v>
      </c>
      <c r="C78" s="489" t="s">
        <v>2398</v>
      </c>
      <c r="D78" s="9" t="s">
        <v>2391</v>
      </c>
      <c r="E78" s="9">
        <v>2021.04</v>
      </c>
      <c r="F78" s="9" t="s">
        <v>2235</v>
      </c>
      <c r="G78" s="9" t="s">
        <v>1865</v>
      </c>
      <c r="H78" s="9">
        <v>10</v>
      </c>
      <c r="I78" s="9">
        <v>10001</v>
      </c>
      <c r="J78" s="9">
        <v>1879357.58</v>
      </c>
      <c r="K78" s="9">
        <v>1879357.58</v>
      </c>
      <c r="L78" s="9">
        <v>0</v>
      </c>
      <c r="M78" s="9" t="s">
        <v>1685</v>
      </c>
      <c r="N78" s="9" t="s">
        <v>1866</v>
      </c>
      <c r="O78" s="9" t="s">
        <v>1421</v>
      </c>
      <c r="P78" s="9" t="s">
        <v>1687</v>
      </c>
      <c r="Q78" s="9" t="s">
        <v>1688</v>
      </c>
      <c r="R78" s="9" t="s">
        <v>1689</v>
      </c>
      <c r="S78" s="9" t="s">
        <v>1630</v>
      </c>
      <c r="T78" s="9" t="s">
        <v>1700</v>
      </c>
      <c r="U78" s="9" t="s">
        <v>1554</v>
      </c>
      <c r="V78" s="9"/>
      <c r="W78" s="9" t="s">
        <v>56</v>
      </c>
      <c r="X78" s="9"/>
      <c r="Y78" s="9"/>
    </row>
    <row r="79" ht="28" spans="1:25">
      <c r="A79" s="8">
        <v>540425202020023</v>
      </c>
      <c r="B79" s="9" t="s">
        <v>20</v>
      </c>
      <c r="C79" s="489" t="s">
        <v>2237</v>
      </c>
      <c r="D79" s="9" t="s">
        <v>2170</v>
      </c>
      <c r="E79" s="9">
        <v>2020.07</v>
      </c>
      <c r="F79" s="9" t="s">
        <v>2135</v>
      </c>
      <c r="G79" s="9" t="s">
        <v>1865</v>
      </c>
      <c r="H79" s="9">
        <v>10</v>
      </c>
      <c r="I79" s="9">
        <v>4968</v>
      </c>
      <c r="J79" s="9">
        <v>490760</v>
      </c>
      <c r="K79" s="9">
        <v>229021.3</v>
      </c>
      <c r="L79" s="9">
        <v>261738.7</v>
      </c>
      <c r="M79" s="9" t="s">
        <v>1685</v>
      </c>
      <c r="N79" s="9" t="s">
        <v>1866</v>
      </c>
      <c r="O79" s="9" t="s">
        <v>1421</v>
      </c>
      <c r="P79" s="9" t="s">
        <v>1627</v>
      </c>
      <c r="Q79" s="9" t="s">
        <v>1688</v>
      </c>
      <c r="R79" s="9" t="s">
        <v>1636</v>
      </c>
      <c r="S79" s="9" t="s">
        <v>1630</v>
      </c>
      <c r="T79" s="9" t="s">
        <v>1700</v>
      </c>
      <c r="U79" s="9" t="s">
        <v>1516</v>
      </c>
      <c r="V79" s="9"/>
      <c r="W79" s="9" t="s">
        <v>56</v>
      </c>
      <c r="X79" s="9"/>
      <c r="Y79" s="9"/>
    </row>
    <row r="80" ht="28" spans="1:25">
      <c r="A80" s="8">
        <v>540425202020023</v>
      </c>
      <c r="B80" s="9" t="s">
        <v>20</v>
      </c>
      <c r="C80" s="489" t="s">
        <v>2399</v>
      </c>
      <c r="D80" s="9" t="s">
        <v>2391</v>
      </c>
      <c r="E80" s="9">
        <v>2020.07</v>
      </c>
      <c r="F80" s="9" t="s">
        <v>2135</v>
      </c>
      <c r="G80" s="9" t="s">
        <v>1865</v>
      </c>
      <c r="H80" s="9">
        <v>10</v>
      </c>
      <c r="I80" s="9">
        <v>7452</v>
      </c>
      <c r="J80" s="9">
        <v>736140</v>
      </c>
      <c r="K80" s="9">
        <v>736140</v>
      </c>
      <c r="L80" s="9">
        <v>0</v>
      </c>
      <c r="M80" s="9" t="s">
        <v>1685</v>
      </c>
      <c r="N80" s="9" t="s">
        <v>1866</v>
      </c>
      <c r="O80" s="9" t="s">
        <v>1421</v>
      </c>
      <c r="P80" s="9" t="s">
        <v>1687</v>
      </c>
      <c r="Q80" s="9" t="s">
        <v>1688</v>
      </c>
      <c r="R80" s="9" t="s">
        <v>1689</v>
      </c>
      <c r="S80" s="9" t="s">
        <v>1630</v>
      </c>
      <c r="T80" s="9" t="s">
        <v>1700</v>
      </c>
      <c r="U80" s="9" t="s">
        <v>1516</v>
      </c>
      <c r="V80" s="9"/>
      <c r="W80" s="9" t="s">
        <v>56</v>
      </c>
      <c r="X80" s="9"/>
      <c r="Y80" s="9"/>
    </row>
    <row r="81" ht="28" spans="1:25">
      <c r="A81" s="8">
        <v>540425202020023</v>
      </c>
      <c r="B81" s="9" t="s">
        <v>20</v>
      </c>
      <c r="C81" s="489" t="s">
        <v>2238</v>
      </c>
      <c r="D81" s="9" t="s">
        <v>1744</v>
      </c>
      <c r="E81" s="9">
        <v>2020.07</v>
      </c>
      <c r="F81" s="9" t="s">
        <v>2135</v>
      </c>
      <c r="G81" s="9" t="s">
        <v>1647</v>
      </c>
      <c r="H81" s="9">
        <v>10</v>
      </c>
      <c r="I81" s="9">
        <v>2</v>
      </c>
      <c r="J81" s="9">
        <v>371600</v>
      </c>
      <c r="K81" s="9">
        <v>173413.3</v>
      </c>
      <c r="L81" s="9">
        <v>198186.7</v>
      </c>
      <c r="M81" s="9" t="s">
        <v>1625</v>
      </c>
      <c r="N81" s="9" t="s">
        <v>1626</v>
      </c>
      <c r="O81" s="9" t="s">
        <v>1421</v>
      </c>
      <c r="P81" s="9" t="s">
        <v>1627</v>
      </c>
      <c r="Q81" s="9" t="s">
        <v>1688</v>
      </c>
      <c r="R81" s="9" t="s">
        <v>1636</v>
      </c>
      <c r="S81" s="9" t="s">
        <v>1630</v>
      </c>
      <c r="T81" s="9" t="s">
        <v>1700</v>
      </c>
      <c r="U81" s="9" t="s">
        <v>1516</v>
      </c>
      <c r="V81" s="9"/>
      <c r="W81" s="9" t="s">
        <v>56</v>
      </c>
      <c r="X81" s="9"/>
      <c r="Y81" s="9"/>
    </row>
    <row r="82" spans="1:25">
      <c r="A82" s="8">
        <v>540425201718001</v>
      </c>
      <c r="B82" s="9" t="s">
        <v>20</v>
      </c>
      <c r="C82" s="489" t="s">
        <v>2239</v>
      </c>
      <c r="D82" s="9" t="s">
        <v>2240</v>
      </c>
      <c r="E82" s="9">
        <v>2019.07</v>
      </c>
      <c r="F82" s="9" t="s">
        <v>952</v>
      </c>
      <c r="G82" s="9" t="s">
        <v>1642</v>
      </c>
      <c r="H82" s="9">
        <v>20</v>
      </c>
      <c r="I82" s="9">
        <v>1</v>
      </c>
      <c r="J82" s="9">
        <v>3016845.89</v>
      </c>
      <c r="K82" s="9">
        <v>829632.62</v>
      </c>
      <c r="L82" s="9">
        <v>2187213.27</v>
      </c>
      <c r="M82" s="9" t="s">
        <v>1625</v>
      </c>
      <c r="N82" s="9" t="s">
        <v>1643</v>
      </c>
      <c r="O82" s="9" t="s">
        <v>1426</v>
      </c>
      <c r="P82" s="9" t="s">
        <v>1627</v>
      </c>
      <c r="Q82" s="9" t="s">
        <v>1628</v>
      </c>
      <c r="R82" s="9" t="s">
        <v>1629</v>
      </c>
      <c r="S82" s="9" t="s">
        <v>1630</v>
      </c>
      <c r="T82" s="9" t="s">
        <v>1700</v>
      </c>
      <c r="U82" s="9" t="s">
        <v>375</v>
      </c>
      <c r="V82" s="9"/>
      <c r="W82" s="9" t="s">
        <v>56</v>
      </c>
      <c r="X82" s="9"/>
      <c r="Y82" s="9"/>
    </row>
    <row r="83" spans="1:25">
      <c r="A83" s="8">
        <v>540425201718001</v>
      </c>
      <c r="B83" s="9" t="s">
        <v>20</v>
      </c>
      <c r="C83" s="489" t="s">
        <v>2241</v>
      </c>
      <c r="D83" s="9" t="s">
        <v>2242</v>
      </c>
      <c r="E83" s="9">
        <v>2019.07</v>
      </c>
      <c r="F83" s="9" t="s">
        <v>952</v>
      </c>
      <c r="G83" s="9" t="s">
        <v>1642</v>
      </c>
      <c r="H83" s="9">
        <v>20</v>
      </c>
      <c r="I83" s="9">
        <v>1</v>
      </c>
      <c r="J83" s="9">
        <v>9097118.43</v>
      </c>
      <c r="K83" s="9">
        <v>2501707.57</v>
      </c>
      <c r="L83" s="9">
        <v>6595410.86</v>
      </c>
      <c r="M83" s="9" t="s">
        <v>1625</v>
      </c>
      <c r="N83" s="9" t="s">
        <v>1643</v>
      </c>
      <c r="O83" s="9" t="s">
        <v>1426</v>
      </c>
      <c r="P83" s="9" t="s">
        <v>1627</v>
      </c>
      <c r="Q83" s="9" t="s">
        <v>1628</v>
      </c>
      <c r="R83" s="9" t="s">
        <v>1629</v>
      </c>
      <c r="S83" s="9" t="s">
        <v>1630</v>
      </c>
      <c r="T83" s="9" t="s">
        <v>1700</v>
      </c>
      <c r="U83" s="9" t="s">
        <v>375</v>
      </c>
      <c r="V83" s="9"/>
      <c r="W83" s="9" t="s">
        <v>56</v>
      </c>
      <c r="X83" s="9"/>
      <c r="Y83" s="9"/>
    </row>
    <row r="84" spans="1:25">
      <c r="A84" s="8">
        <v>540425201718001</v>
      </c>
      <c r="B84" s="9" t="s">
        <v>20</v>
      </c>
      <c r="C84" s="489" t="s">
        <v>2243</v>
      </c>
      <c r="D84" s="9" t="s">
        <v>2244</v>
      </c>
      <c r="E84" s="9">
        <v>2019.07</v>
      </c>
      <c r="F84" s="9" t="s">
        <v>952</v>
      </c>
      <c r="G84" s="9" t="s">
        <v>1642</v>
      </c>
      <c r="H84" s="9">
        <v>20</v>
      </c>
      <c r="I84" s="9">
        <v>1</v>
      </c>
      <c r="J84" s="9">
        <v>498925.92</v>
      </c>
      <c r="K84" s="9">
        <v>137204.63</v>
      </c>
      <c r="L84" s="9">
        <v>361721.29</v>
      </c>
      <c r="M84" s="9" t="s">
        <v>1625</v>
      </c>
      <c r="N84" s="9" t="s">
        <v>1643</v>
      </c>
      <c r="O84" s="9" t="s">
        <v>1426</v>
      </c>
      <c r="P84" s="9" t="s">
        <v>1627</v>
      </c>
      <c r="Q84" s="9" t="s">
        <v>1628</v>
      </c>
      <c r="R84" s="9" t="s">
        <v>1629</v>
      </c>
      <c r="S84" s="9" t="s">
        <v>1630</v>
      </c>
      <c r="T84" s="9" t="s">
        <v>1700</v>
      </c>
      <c r="U84" s="9" t="s">
        <v>375</v>
      </c>
      <c r="V84" s="9"/>
      <c r="W84" s="9" t="s">
        <v>56</v>
      </c>
      <c r="X84" s="9"/>
      <c r="Y84" s="9"/>
    </row>
    <row r="85" spans="1:25">
      <c r="A85" s="8">
        <v>540425201718001</v>
      </c>
      <c r="B85" s="9" t="s">
        <v>20</v>
      </c>
      <c r="C85" s="489" t="s">
        <v>2245</v>
      </c>
      <c r="D85" s="9" t="s">
        <v>1831</v>
      </c>
      <c r="E85" s="9">
        <v>2019.07</v>
      </c>
      <c r="F85" s="9" t="s">
        <v>952</v>
      </c>
      <c r="G85" s="9" t="s">
        <v>1642</v>
      </c>
      <c r="H85" s="9">
        <v>20</v>
      </c>
      <c r="I85" s="9">
        <v>1</v>
      </c>
      <c r="J85" s="9">
        <v>66236.25</v>
      </c>
      <c r="K85" s="9">
        <v>18214.97</v>
      </c>
      <c r="L85" s="9">
        <v>48021.28</v>
      </c>
      <c r="M85" s="9" t="s">
        <v>1625</v>
      </c>
      <c r="N85" s="9" t="s">
        <v>1643</v>
      </c>
      <c r="O85" s="9" t="s">
        <v>1426</v>
      </c>
      <c r="P85" s="9" t="s">
        <v>1627</v>
      </c>
      <c r="Q85" s="9" t="s">
        <v>1628</v>
      </c>
      <c r="R85" s="9" t="s">
        <v>1629</v>
      </c>
      <c r="S85" s="9" t="s">
        <v>1630</v>
      </c>
      <c r="T85" s="9" t="s">
        <v>1700</v>
      </c>
      <c r="U85" s="9" t="s">
        <v>375</v>
      </c>
      <c r="V85" s="9"/>
      <c r="W85" s="9" t="s">
        <v>56</v>
      </c>
      <c r="X85" s="9"/>
      <c r="Y85" s="9"/>
    </row>
    <row r="86" spans="1:25">
      <c r="A86" s="8">
        <v>540425201718001</v>
      </c>
      <c r="B86" s="9" t="s">
        <v>20</v>
      </c>
      <c r="C86" s="489" t="s">
        <v>2246</v>
      </c>
      <c r="D86" s="9" t="s">
        <v>2247</v>
      </c>
      <c r="E86" s="9">
        <v>2019.07</v>
      </c>
      <c r="F86" s="9" t="s">
        <v>952</v>
      </c>
      <c r="G86" s="9" t="s">
        <v>1642</v>
      </c>
      <c r="H86" s="9">
        <v>20</v>
      </c>
      <c r="I86" s="9">
        <v>1</v>
      </c>
      <c r="J86" s="9">
        <v>189150.27</v>
      </c>
      <c r="K86" s="9">
        <v>52016.32</v>
      </c>
      <c r="L86" s="9">
        <v>137133.95</v>
      </c>
      <c r="M86" s="9" t="s">
        <v>1625</v>
      </c>
      <c r="N86" s="9" t="s">
        <v>1643</v>
      </c>
      <c r="O86" s="9" t="s">
        <v>1426</v>
      </c>
      <c r="P86" s="9" t="s">
        <v>1627</v>
      </c>
      <c r="Q86" s="9" t="s">
        <v>1628</v>
      </c>
      <c r="R86" s="9" t="s">
        <v>1878</v>
      </c>
      <c r="S86" s="9" t="s">
        <v>1630</v>
      </c>
      <c r="T86" s="9" t="s">
        <v>1700</v>
      </c>
      <c r="U86" s="9" t="s">
        <v>375</v>
      </c>
      <c r="V86" s="9"/>
      <c r="W86" s="9" t="s">
        <v>56</v>
      </c>
      <c r="X86" s="9"/>
      <c r="Y86" s="9"/>
    </row>
    <row r="87" spans="1:25">
      <c r="A87" s="8">
        <v>540425201718001</v>
      </c>
      <c r="B87" s="9" t="s">
        <v>20</v>
      </c>
      <c r="C87" s="489" t="s">
        <v>2248</v>
      </c>
      <c r="D87" s="9" t="s">
        <v>1843</v>
      </c>
      <c r="E87" s="9">
        <v>2019.07</v>
      </c>
      <c r="F87" s="9" t="s">
        <v>952</v>
      </c>
      <c r="G87" s="9" t="s">
        <v>1647</v>
      </c>
      <c r="H87" s="9">
        <v>10</v>
      </c>
      <c r="I87" s="9">
        <v>1</v>
      </c>
      <c r="J87" s="9">
        <v>33252.75</v>
      </c>
      <c r="K87" s="9">
        <v>18289.01</v>
      </c>
      <c r="L87" s="9">
        <v>14963.74</v>
      </c>
      <c r="M87" s="9" t="s">
        <v>1625</v>
      </c>
      <c r="N87" s="9" t="s">
        <v>1626</v>
      </c>
      <c r="O87" s="9" t="s">
        <v>1426</v>
      </c>
      <c r="P87" s="9" t="s">
        <v>1627</v>
      </c>
      <c r="Q87" s="9" t="s">
        <v>1628</v>
      </c>
      <c r="R87" s="9" t="s">
        <v>1629</v>
      </c>
      <c r="S87" s="9" t="s">
        <v>1630</v>
      </c>
      <c r="T87" s="9" t="s">
        <v>1700</v>
      </c>
      <c r="U87" s="9" t="s">
        <v>375</v>
      </c>
      <c r="V87" s="9"/>
      <c r="W87" s="9" t="s">
        <v>56</v>
      </c>
      <c r="X87" s="9"/>
      <c r="Y87" s="9"/>
    </row>
    <row r="88" spans="1:25">
      <c r="A88" s="8">
        <v>540425201718001</v>
      </c>
      <c r="B88" s="9" t="s">
        <v>20</v>
      </c>
      <c r="C88" s="489" t="s">
        <v>2249</v>
      </c>
      <c r="D88" s="9" t="s">
        <v>2250</v>
      </c>
      <c r="E88" s="9">
        <v>2019.07</v>
      </c>
      <c r="F88" s="9" t="s">
        <v>952</v>
      </c>
      <c r="G88" s="9" t="s">
        <v>1675</v>
      </c>
      <c r="H88" s="9">
        <v>10</v>
      </c>
      <c r="I88" s="9">
        <v>1</v>
      </c>
      <c r="J88" s="9">
        <v>180000</v>
      </c>
      <c r="K88" s="9">
        <v>99000</v>
      </c>
      <c r="L88" s="9">
        <v>81000</v>
      </c>
      <c r="M88" s="9" t="s">
        <v>1625</v>
      </c>
      <c r="N88" s="9" t="s">
        <v>1652</v>
      </c>
      <c r="O88" s="9" t="s">
        <v>1426</v>
      </c>
      <c r="P88" s="9" t="s">
        <v>1627</v>
      </c>
      <c r="Q88" s="9" t="s">
        <v>1628</v>
      </c>
      <c r="R88" s="9" t="s">
        <v>1629</v>
      </c>
      <c r="S88" s="9" t="s">
        <v>1630</v>
      </c>
      <c r="T88" s="9" t="s">
        <v>1700</v>
      </c>
      <c r="U88" s="9" t="s">
        <v>375</v>
      </c>
      <c r="V88" s="9"/>
      <c r="W88" s="9" t="s">
        <v>56</v>
      </c>
      <c r="X88" s="9"/>
      <c r="Y88" s="9"/>
    </row>
    <row r="89" ht="28" spans="1:25">
      <c r="A89" s="8">
        <v>540425201917009</v>
      </c>
      <c r="B89" s="9" t="s">
        <v>20</v>
      </c>
      <c r="C89" s="489" t="s">
        <v>2251</v>
      </c>
      <c r="D89" s="9" t="s">
        <v>2252</v>
      </c>
      <c r="E89" s="9">
        <v>2020.02</v>
      </c>
      <c r="F89" s="9" t="s">
        <v>2214</v>
      </c>
      <c r="G89" s="9" t="s">
        <v>1642</v>
      </c>
      <c r="H89" s="9">
        <v>20</v>
      </c>
      <c r="I89" s="9">
        <v>1</v>
      </c>
      <c r="J89" s="9">
        <v>758182.07</v>
      </c>
      <c r="K89" s="9">
        <v>186386.43</v>
      </c>
      <c r="L89" s="9">
        <v>571795.64</v>
      </c>
      <c r="M89" s="9" t="s">
        <v>1625</v>
      </c>
      <c r="N89" s="9" t="s">
        <v>1643</v>
      </c>
      <c r="O89" s="9" t="s">
        <v>1421</v>
      </c>
      <c r="P89" s="9" t="s">
        <v>1627</v>
      </c>
      <c r="Q89" s="9" t="s">
        <v>1628</v>
      </c>
      <c r="R89" s="9" t="s">
        <v>1629</v>
      </c>
      <c r="S89" s="9" t="s">
        <v>1630</v>
      </c>
      <c r="T89" s="9" t="s">
        <v>1700</v>
      </c>
      <c r="U89" s="9" t="s">
        <v>1064</v>
      </c>
      <c r="V89" s="9"/>
      <c r="W89" s="9" t="s">
        <v>56</v>
      </c>
      <c r="X89" s="9"/>
      <c r="Y89" s="9"/>
    </row>
    <row r="90" ht="28" spans="1:25">
      <c r="A90" s="8">
        <v>540425201917009</v>
      </c>
      <c r="B90" s="9" t="s">
        <v>20</v>
      </c>
      <c r="C90" s="489" t="s">
        <v>2253</v>
      </c>
      <c r="D90" s="9" t="s">
        <v>2254</v>
      </c>
      <c r="E90" s="9">
        <v>2020.02</v>
      </c>
      <c r="F90" s="9" t="s">
        <v>2214</v>
      </c>
      <c r="G90" s="9" t="s">
        <v>2255</v>
      </c>
      <c r="H90" s="9">
        <v>5</v>
      </c>
      <c r="I90" s="9">
        <v>14</v>
      </c>
      <c r="J90" s="9">
        <v>16800</v>
      </c>
      <c r="K90" s="9">
        <v>16520</v>
      </c>
      <c r="L90" s="9">
        <v>280</v>
      </c>
      <c r="M90" s="9" t="s">
        <v>1625</v>
      </c>
      <c r="N90" s="9" t="s">
        <v>2256</v>
      </c>
      <c r="O90" s="9" t="s">
        <v>1421</v>
      </c>
      <c r="P90" s="9" t="s">
        <v>1627</v>
      </c>
      <c r="Q90" s="9" t="s">
        <v>1628</v>
      </c>
      <c r="R90" s="9" t="s">
        <v>1629</v>
      </c>
      <c r="S90" s="9" t="s">
        <v>1630</v>
      </c>
      <c r="T90" s="9" t="s">
        <v>1700</v>
      </c>
      <c r="U90" s="9" t="s">
        <v>1064</v>
      </c>
      <c r="V90" s="9"/>
      <c r="W90" s="9" t="s">
        <v>56</v>
      </c>
      <c r="X90" s="9"/>
      <c r="Y90" s="9"/>
    </row>
    <row r="91" ht="28" spans="1:25">
      <c r="A91" s="8">
        <v>540425201917009</v>
      </c>
      <c r="B91" s="9" t="s">
        <v>20</v>
      </c>
      <c r="C91" s="489" t="s">
        <v>2257</v>
      </c>
      <c r="D91" s="9" t="s">
        <v>2258</v>
      </c>
      <c r="E91" s="9">
        <v>2020.02</v>
      </c>
      <c r="F91" s="9" t="s">
        <v>2214</v>
      </c>
      <c r="G91" s="9" t="s">
        <v>1675</v>
      </c>
      <c r="H91" s="9">
        <v>5</v>
      </c>
      <c r="I91" s="9">
        <v>1</v>
      </c>
      <c r="J91" s="9">
        <v>2500</v>
      </c>
      <c r="K91" s="9">
        <v>2458.33</v>
      </c>
      <c r="L91" s="9">
        <v>41.6700000000001</v>
      </c>
      <c r="M91" s="9" t="s">
        <v>1625</v>
      </c>
      <c r="N91" s="9" t="s">
        <v>2256</v>
      </c>
      <c r="O91" s="9" t="s">
        <v>1421</v>
      </c>
      <c r="P91" s="9" t="s">
        <v>1627</v>
      </c>
      <c r="Q91" s="9" t="s">
        <v>1628</v>
      </c>
      <c r="R91" s="9" t="s">
        <v>1629</v>
      </c>
      <c r="S91" s="9" t="s">
        <v>1630</v>
      </c>
      <c r="T91" s="9" t="s">
        <v>1700</v>
      </c>
      <c r="U91" s="9" t="s">
        <v>1064</v>
      </c>
      <c r="V91" s="9"/>
      <c r="W91" s="9" t="s">
        <v>56</v>
      </c>
      <c r="X91" s="9"/>
      <c r="Y91" s="9"/>
    </row>
    <row r="92" ht="28" spans="1:25">
      <c r="A92" s="8">
        <v>540425201917009</v>
      </c>
      <c r="B92" s="9" t="s">
        <v>20</v>
      </c>
      <c r="C92" s="489" t="s">
        <v>2259</v>
      </c>
      <c r="D92" s="9" t="s">
        <v>2260</v>
      </c>
      <c r="E92" s="9">
        <v>2020.02</v>
      </c>
      <c r="F92" s="9" t="s">
        <v>2214</v>
      </c>
      <c r="G92" s="9" t="s">
        <v>1675</v>
      </c>
      <c r="H92" s="9">
        <v>5</v>
      </c>
      <c r="I92" s="9">
        <v>1</v>
      </c>
      <c r="J92" s="9">
        <v>5000</v>
      </c>
      <c r="K92" s="9">
        <v>4916.67</v>
      </c>
      <c r="L92" s="9">
        <v>83.3299999999999</v>
      </c>
      <c r="M92" s="9" t="s">
        <v>1625</v>
      </c>
      <c r="N92" s="9" t="s">
        <v>2256</v>
      </c>
      <c r="O92" s="9" t="s">
        <v>1421</v>
      </c>
      <c r="P92" s="9" t="s">
        <v>1627</v>
      </c>
      <c r="Q92" s="9" t="s">
        <v>1628</v>
      </c>
      <c r="R92" s="9" t="s">
        <v>1629</v>
      </c>
      <c r="S92" s="9" t="s">
        <v>1630</v>
      </c>
      <c r="T92" s="9" t="s">
        <v>1700</v>
      </c>
      <c r="U92" s="9" t="s">
        <v>1064</v>
      </c>
      <c r="V92" s="9"/>
      <c r="W92" s="9" t="s">
        <v>56</v>
      </c>
      <c r="X92" s="9"/>
      <c r="Y92" s="9"/>
    </row>
    <row r="93" ht="28" spans="1:25">
      <c r="A93" s="8">
        <v>540425201907016</v>
      </c>
      <c r="B93" s="9" t="s">
        <v>20</v>
      </c>
      <c r="C93" s="489" t="s">
        <v>2277</v>
      </c>
      <c r="D93" s="9" t="s">
        <v>1698</v>
      </c>
      <c r="E93" s="9">
        <v>2020.03</v>
      </c>
      <c r="F93" s="9" t="s">
        <v>2278</v>
      </c>
      <c r="G93" s="9" t="s">
        <v>1642</v>
      </c>
      <c r="H93" s="9">
        <v>20</v>
      </c>
      <c r="I93" s="9">
        <v>1</v>
      </c>
      <c r="J93" s="9">
        <v>366700</v>
      </c>
      <c r="K93" s="9">
        <v>177238.33</v>
      </c>
      <c r="L93" s="9">
        <v>189461.67</v>
      </c>
      <c r="M93" s="9" t="s">
        <v>1625</v>
      </c>
      <c r="N93" s="9" t="s">
        <v>1643</v>
      </c>
      <c r="O93" s="9" t="s">
        <v>1421</v>
      </c>
      <c r="P93" s="9" t="s">
        <v>1627</v>
      </c>
      <c r="Q93" s="9" t="s">
        <v>1688</v>
      </c>
      <c r="R93" s="9" t="s">
        <v>1636</v>
      </c>
      <c r="S93" s="9" t="s">
        <v>1630</v>
      </c>
      <c r="T93" s="9" t="s">
        <v>1636</v>
      </c>
      <c r="U93" s="9" t="s">
        <v>1535</v>
      </c>
      <c r="V93" s="9"/>
      <c r="W93" s="9" t="s">
        <v>56</v>
      </c>
      <c r="X93" s="9"/>
      <c r="Y93" s="9"/>
    </row>
    <row r="94" ht="28" spans="1:25">
      <c r="A94" s="8">
        <v>540425201907016</v>
      </c>
      <c r="B94" s="9" t="s">
        <v>20</v>
      </c>
      <c r="C94" s="489" t="s">
        <v>2279</v>
      </c>
      <c r="D94" s="9" t="s">
        <v>1709</v>
      </c>
      <c r="E94" s="9">
        <v>2020.03</v>
      </c>
      <c r="F94" s="9" t="s">
        <v>2278</v>
      </c>
      <c r="G94" s="9" t="s">
        <v>2152</v>
      </c>
      <c r="H94" s="9">
        <v>3</v>
      </c>
      <c r="I94" s="9">
        <v>33</v>
      </c>
      <c r="J94" s="9">
        <v>115500</v>
      </c>
      <c r="K94" s="9"/>
      <c r="L94" s="9">
        <v>0</v>
      </c>
      <c r="M94" s="9" t="s">
        <v>1685</v>
      </c>
      <c r="N94" s="9" t="s">
        <v>1686</v>
      </c>
      <c r="O94" s="9" t="s">
        <v>1421</v>
      </c>
      <c r="P94" s="9" t="s">
        <v>1627</v>
      </c>
      <c r="Q94" s="9" t="s">
        <v>1688</v>
      </c>
      <c r="R94" s="9" t="s">
        <v>1636</v>
      </c>
      <c r="S94" s="9" t="s">
        <v>1630</v>
      </c>
      <c r="T94" s="9" t="s">
        <v>1636</v>
      </c>
      <c r="U94" s="9" t="s">
        <v>1535</v>
      </c>
      <c r="V94" s="9"/>
      <c r="W94" s="9" t="s">
        <v>56</v>
      </c>
      <c r="X94" s="9"/>
      <c r="Y94" s="9"/>
    </row>
    <row r="95" ht="28" spans="1:25">
      <c r="A95" s="8">
        <v>540425201907016</v>
      </c>
      <c r="B95" s="9" t="s">
        <v>20</v>
      </c>
      <c r="C95" s="489" t="s">
        <v>2280</v>
      </c>
      <c r="D95" s="9" t="s">
        <v>1704</v>
      </c>
      <c r="E95" s="9">
        <v>2020.03</v>
      </c>
      <c r="F95" s="9" t="s">
        <v>2278</v>
      </c>
      <c r="G95" s="9" t="s">
        <v>1675</v>
      </c>
      <c r="H95" s="9">
        <v>10</v>
      </c>
      <c r="I95" s="9">
        <v>1</v>
      </c>
      <c r="J95" s="9">
        <v>10000</v>
      </c>
      <c r="K95" s="9">
        <v>4833.33</v>
      </c>
      <c r="L95" s="9">
        <v>5166.67</v>
      </c>
      <c r="M95" s="9" t="s">
        <v>1625</v>
      </c>
      <c r="N95" s="9" t="s">
        <v>1652</v>
      </c>
      <c r="O95" s="9" t="s">
        <v>1421</v>
      </c>
      <c r="P95" s="9" t="s">
        <v>1627</v>
      </c>
      <c r="Q95" s="9" t="s">
        <v>1688</v>
      </c>
      <c r="R95" s="9" t="s">
        <v>1636</v>
      </c>
      <c r="S95" s="9" t="s">
        <v>1630</v>
      </c>
      <c r="T95" s="9" t="s">
        <v>1636</v>
      </c>
      <c r="U95" s="9" t="s">
        <v>1535</v>
      </c>
      <c r="V95" s="9"/>
      <c r="W95" s="9" t="s">
        <v>56</v>
      </c>
      <c r="X95" s="9"/>
      <c r="Y95" s="9"/>
    </row>
    <row r="96" ht="28" spans="1:25">
      <c r="A96" s="8">
        <v>540425201907016</v>
      </c>
      <c r="B96" s="9" t="s">
        <v>20</v>
      </c>
      <c r="C96" s="489" t="s">
        <v>2281</v>
      </c>
      <c r="D96" s="9" t="s">
        <v>1707</v>
      </c>
      <c r="E96" s="9">
        <v>2020.03</v>
      </c>
      <c r="F96" s="9" t="s">
        <v>2278</v>
      </c>
      <c r="G96" s="9" t="s">
        <v>1675</v>
      </c>
      <c r="H96" s="9">
        <v>10</v>
      </c>
      <c r="I96" s="9">
        <v>1</v>
      </c>
      <c r="J96" s="9">
        <v>7800</v>
      </c>
      <c r="K96" s="9">
        <v>3770</v>
      </c>
      <c r="L96" s="9">
        <v>4030</v>
      </c>
      <c r="M96" s="9" t="s">
        <v>1625</v>
      </c>
      <c r="N96" s="9" t="s">
        <v>1652</v>
      </c>
      <c r="O96" s="9" t="s">
        <v>1421</v>
      </c>
      <c r="P96" s="9" t="s">
        <v>1627</v>
      </c>
      <c r="Q96" s="9" t="s">
        <v>1688</v>
      </c>
      <c r="R96" s="9" t="s">
        <v>1636</v>
      </c>
      <c r="S96" s="9" t="s">
        <v>1630</v>
      </c>
      <c r="T96" s="9" t="s">
        <v>1636</v>
      </c>
      <c r="U96" s="9" t="s">
        <v>1535</v>
      </c>
      <c r="V96" s="9"/>
      <c r="W96" s="9" t="s">
        <v>56</v>
      </c>
      <c r="X96" s="9"/>
      <c r="Y96" s="9"/>
    </row>
    <row r="97" ht="28" spans="1:25">
      <c r="A97" s="8">
        <v>540425201820016</v>
      </c>
      <c r="B97" s="9" t="s">
        <v>20</v>
      </c>
      <c r="C97" s="489" t="s">
        <v>2282</v>
      </c>
      <c r="D97" s="9" t="s">
        <v>2170</v>
      </c>
      <c r="E97" s="9">
        <v>2019.03</v>
      </c>
      <c r="F97" s="9" t="s">
        <v>2135</v>
      </c>
      <c r="G97" s="9" t="s">
        <v>2063</v>
      </c>
      <c r="H97" s="9">
        <v>10</v>
      </c>
      <c r="I97" s="9">
        <v>3622</v>
      </c>
      <c r="J97" s="9">
        <v>362240</v>
      </c>
      <c r="K97" s="9">
        <v>211306.7</v>
      </c>
      <c r="L97" s="9">
        <v>150933.3</v>
      </c>
      <c r="M97" s="9" t="s">
        <v>1685</v>
      </c>
      <c r="N97" s="9" t="s">
        <v>1866</v>
      </c>
      <c r="O97" s="9" t="s">
        <v>1421</v>
      </c>
      <c r="P97" s="9" t="s">
        <v>1627</v>
      </c>
      <c r="Q97" s="9" t="s">
        <v>1688</v>
      </c>
      <c r="R97" s="9" t="s">
        <v>1636</v>
      </c>
      <c r="S97" s="9" t="s">
        <v>1630</v>
      </c>
      <c r="T97" s="9" t="s">
        <v>1636</v>
      </c>
      <c r="U97" s="9" t="s">
        <v>1516</v>
      </c>
      <c r="V97" s="9"/>
      <c r="W97" s="9" t="s">
        <v>56</v>
      </c>
      <c r="X97" s="9"/>
      <c r="Y97" s="9"/>
    </row>
    <row r="98" ht="28" spans="1:25">
      <c r="A98" s="8">
        <v>540425201820016</v>
      </c>
      <c r="B98" s="9" t="s">
        <v>20</v>
      </c>
      <c r="C98" s="489" t="s">
        <v>2400</v>
      </c>
      <c r="D98" s="9" t="s">
        <v>2391</v>
      </c>
      <c r="E98" s="9">
        <v>2019.03</v>
      </c>
      <c r="F98" s="9" t="s">
        <v>2135</v>
      </c>
      <c r="G98" s="9" t="s">
        <v>2063</v>
      </c>
      <c r="H98" s="9">
        <v>10</v>
      </c>
      <c r="I98" s="9">
        <v>5434</v>
      </c>
      <c r="J98" s="9">
        <v>543360</v>
      </c>
      <c r="K98" s="9">
        <v>543360</v>
      </c>
      <c r="L98" s="9">
        <v>0</v>
      </c>
      <c r="M98" s="9" t="s">
        <v>1685</v>
      </c>
      <c r="N98" s="9" t="s">
        <v>1866</v>
      </c>
      <c r="O98" s="9" t="s">
        <v>1421</v>
      </c>
      <c r="P98" s="9" t="s">
        <v>1687</v>
      </c>
      <c r="Q98" s="9" t="s">
        <v>1688</v>
      </c>
      <c r="R98" s="9" t="s">
        <v>1689</v>
      </c>
      <c r="S98" s="9" t="s">
        <v>1630</v>
      </c>
      <c r="T98" s="9" t="s">
        <v>1636</v>
      </c>
      <c r="U98" s="9" t="s">
        <v>1516</v>
      </c>
      <c r="V98" s="9"/>
      <c r="W98" s="9" t="s">
        <v>56</v>
      </c>
      <c r="X98" s="9"/>
      <c r="Y98" s="9"/>
    </row>
  </sheetData>
  <sheetProtection formatCells="0" formatColumns="0" formatRows="0" insertRows="0" insertColumns="0" insertHyperlinks="0" deleteColumns="0" deleteRows="0" sort="0" autoFilter="0" pivotTables="0"/>
  <autoFilter xmlns:etc="http://www.wps.cn/officeDocument/2017/etCustomData" ref="A3:Y98" etc:filterBottomFollowUsedRange="0">
    <extLst/>
  </autoFilter>
  <mergeCells count="2">
    <mergeCell ref="A1:Y1"/>
    <mergeCell ref="Q2:R2"/>
  </mergeCells>
  <pageMargins left="0.751388888888889" right="0.751388888888889" top="1" bottom="1" header="0.5" footer="0.5"/>
  <pageSetup paperSize="9" scale="36" fitToHeight="0" orientation="landscape" horizontalDpi="600"/>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���V�S&��TybY�]�@b�Ne�(Wُ
</file>

<file path=customXml/item3.xml>���[�t��aNυ*s{Q�ky��v�[�t��aN+��V7b{Q*sy��vWl�Ch��Qg�e8nD��nGS�~9e �y��v��[�^600N�vybY	�
</file>

<file path=customXml/item4.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7</vt:i4>
      </vt:variant>
    </vt:vector>
  </HeadingPairs>
  <TitlesOfParts>
    <vt:vector size="7" baseType="lpstr">
      <vt:lpstr>附件1</vt:lpstr>
      <vt:lpstr>附件2</vt:lpstr>
      <vt:lpstr>附件3</vt:lpstr>
      <vt:lpstr>附件5-1</vt:lpstr>
      <vt:lpstr>附件5-2</vt:lpstr>
      <vt:lpstr>附件6</vt:lpstr>
      <vt:lpstr>附件9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胡文红</dc:creator>
  <cp:lastModifiedBy>WPS_1779975797</cp:lastModifiedBy>
  <dcterms:created xsi:type="dcterms:W3CDTF">2023-05-14T11:15:00Z</dcterms:created>
  <dcterms:modified xsi:type="dcterms:W3CDTF">2026-07-08T03:54:34Z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9829F3338AFC48EDB9588D52438C818E_13</vt:lpwstr>
  </property>
  <property fmtid="{D5CDD505-2E9C-101B-9397-08002B2CF9AE}" pid="4" name="CalculationRule">
    <vt:i4>0</vt:i4>
  </property>
  <property fmtid="{D5CDD505-2E9C-101B-9397-08002B2CF9AE}" pid="5" name="KSOReadingLayout">
    <vt:bool>false</vt:bool>
  </property>
</Properties>
</file>
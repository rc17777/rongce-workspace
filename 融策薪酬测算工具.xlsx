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03b495c5147d0" /><Relationship Type="http://schemas.openxmlformats.org/package/2006/relationships/metadata/core-properties" Target="/docProps/core.xml" Id="Rd4c1d7124c484928" /><Relationship Type="http://schemas.openxmlformats.org/officeDocument/2006/relationships/extended-properties" Target="/docProps/app.xml" Id="R38406df3e46f420c" /><Relationship Type="http://schemas.openxmlformats.org/officeDocument/2006/relationships/custom-properties" Target="/docProps/custom.xml" Id="R442b233442bf44c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  <x:calcPr fullCalcOnLoad="1"/>
</x:workbook>
</file>

<file path=xl/styles.xml><?xml version="1.0" encoding="utf-8"?>
<x:styleSheet xmlns:x="http://schemas.openxmlformats.org/spreadsheetml/2006/main">
  <x:numFmts count="0"/>
  <x:fonts count="4">
    <x:font>
      <x:sz val="11"/>
      <x:name val="Calibri"/>
    </x:font>
    <x:font>
      <x:b/>
      <x:sz val="16"/>
      <x:color rgb="FFFFFFFF"/>
      <x:name val="Calibri"/>
    </x:font>
    <x:font>
      <x:b/>
      <x:sz val="11"/>
      <x:name val="Calibri"/>
    </x:font>
    <x:font>
      <x:b/>
      <x:sz val="14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/>
    <x:xf numFmtId="0" fontId="2" fillId="3" borderId="0" applyFont="1" applyFill="1"/>
    <x:xf numFmtId="0" fontId="3" fillId="2" borderId="0" applyFont="1" applyFill="1"/>
    <x:xf numFmtId="0" fontId="2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a37b8a87d5554de1" /><Relationship Type="http://schemas.openxmlformats.org/officeDocument/2006/relationships/styles" Target="/xl/styles.xml" Id="R73ed94d0d29249e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s="1" t="str">
        <x:v>融策科技 · 薪酬测算工具</x:v>
      </x:c>
    </x:row>
    <x:row r="3">
      <x:c r="A3" s="2" t="str">
        <x:v>输入参数</x:v>
      </x:c>
      <x:c r="B3" s="2" t="str">
        <x:v>数值</x:v>
      </x:c>
      <x:c r="C3" s="2" t="str">
        <x:v>说明</x:v>
      </x:c>
    </x:row>
    <x:row r="4">
      <x:c r="A4" t="str">
        <x:v>岗位序列</x:v>
      </x:c>
      <x:c r="B4" t="str">
        <x:v>技术序列</x:v>
      </x:c>
      <x:c r="C4" t="str">
        <x:v>技术/专业/工程三选一</x:v>
      </x:c>
    </x:row>
    <x:row r="5">
      <x:c r="A5" t="str">
        <x:v>职级</x:v>
      </x:c>
      <x:c r="B5" t="str">
        <x:v>P7</x:v>
      </x:c>
      <x:c r="C5" t="str">
        <x:v>P5-P9 / A5-A9 / E5-E9</x:v>
      </x:c>
    </x:row>
    <x:row r="6">
      <x:c r="A6" t="str">
        <x:v>基本工资（月）</x:v>
      </x:c>
      <x:c r="B6">
        <x:v>35000</x:v>
      </x:c>
      <x:c r="C6" t="str">
        <x:v>元/月</x:v>
      </x:c>
    </x:row>
    <x:row r="7">
      <x:c r="A7" t="str">
        <x:v>绩效系数</x:v>
      </x:c>
      <x:c r="B7">
        <x:v>1.2</x:v>
      </x:c>
      <x:c r="C7" t="str">
        <x:v>0.8-1.5</x:v>
      </x:c>
    </x:row>
    <x:row r="8">
      <x:c r="A8" t="str">
        <x:v>年终奖月数</x:v>
      </x:c>
      <x:c r="B8">
        <x:v>3</x:v>
      </x:c>
      <x:c r="C8" t="str">
        <x:v>2-6个月</x:v>
      </x:c>
    </x:row>
    <x:row r="9">
      <x:c r="A9" t="str">
        <x:v>项目提成/跟投收益（年）</x:v>
      </x:c>
      <x:c r="B9">
        <x:v>50000</x:v>
      </x:c>
      <x:c r="C9" t="str">
        <x:v>专业/工程序列填写</x:v>
      </x:c>
    </x:row>
    <x:row r="10">
      <x:c r="A10" t="str">
        <x:v>期权数量（股）</x:v>
      </x:c>
      <x:c r="B10">
        <x:v>30000</x:v>
      </x:c>
      <x:c r="C10" t="str">
        <x:v>技术序列填写</x:v>
      </x:c>
    </x:row>
    <x:row r="11">
      <x:c r="A11" t="str">
        <x:v>公司估值（元/股）</x:v>
      </x:c>
      <x:c r="B11">
        <x:v>16</x:v>
      </x:c>
      <x:c r="C11" t="str">
        <x:v>A轮16元/B轮32元</x:v>
      </x:c>
    </x:row>
    <x:row r="13">
      <x:c r="A13" s="3" t="str">
        <x:v>测算结果</x:v>
      </x:c>
    </x:row>
    <x:row r="14">
      <x:c r="A14" s="2" t="str">
        <x:v>项目</x:v>
      </x:c>
      <x:c r="B14" s="2" t="str">
        <x:v>年度金额（元）</x:v>
      </x:c>
      <x:c r="C14" s="2" t="str">
        <x:v>占比</x:v>
      </x:c>
      <x:c r="D14" s="2" t="str">
        <x:v>说明</x:v>
      </x:c>
    </x:row>
    <x:row r="15">
      <x:c r="A15" t="str">
        <x:v>基本工资</x:v>
      </x:c>
      <x:c r="B15">
        <x:f>B6*12</x:f>
        <x:v>420000</x:v>
      </x:c>
      <x:c r="C15">
        <x:f>B15/B20</x:f>
      </x:c>
      <x:c r="D15" t="str">
        <x:v>固定收入</x:v>
      </x:c>
    </x:row>
    <x:row r="16">
      <x:c r="A16" t="str">
        <x:v>绩效奖金</x:v>
      </x:c>
      <x:c r="B16">
        <x:f>B6*12*(B7-1)</x:f>
        <x:v>84000</x:v>
      </x:c>
      <x:c r="C16">
        <x:f>B16/B20</x:f>
      </x:c>
      <x:c r="D16" t="str">
        <x:v>浮动收入</x:v>
      </x:c>
    </x:row>
    <x:row r="17">
      <x:c r="A17" t="str">
        <x:v>年终奖</x:v>
      </x:c>
      <x:c r="B17">
        <x:f>B6*B8</x:f>
        <x:v>105000</x:v>
      </x:c>
      <x:c r="C17">
        <x:f>B17/B20</x:f>
      </x:c>
      <x:c r="D17" t="str">
        <x:v>年度激励</x:v>
      </x:c>
    </x:row>
    <x:row r="18">
      <x:c r="A18" t="str">
        <x:v>项目提成/跟投</x:v>
      </x:c>
      <x:c r="B18">
        <x:f>B9</x:f>
        <x:v>50000</x:v>
      </x:c>
      <x:c r="C18">
        <x:f>B18/B20</x:f>
      </x:c>
      <x:c r="D18" t="str">
        <x:v>项目激励</x:v>
      </x:c>
    </x:row>
    <x:row r="19">
      <x:c r="A19" t="str">
        <x:v>期权收益（账面）</x:v>
      </x:c>
      <x:c r="B19">
        <x:f>B10*(B11-1)</x:f>
        <x:v>450000</x:v>
      </x:c>
      <x:c r="C19">
        <x:f>B19/B20</x:f>
      </x:c>
      <x:c r="D19" t="str">
        <x:v>长期激励（未行权）</x:v>
      </x:c>
    </x:row>
    <x:row r="20">
      <x:c r="A20" s="4" t="str">
        <x:v>年度总包</x:v>
      </x:c>
      <x:c r="B20">
        <x:f>SUM(B15:B19)</x:f>
        <x:v>1109000</x:v>
      </x:c>
      <x:c r="C20" t="str">
        <x:v>100%</x:v>
      </x:c>
      <x:c r="D20" t="str">
        <x:v>现金+期权账面</x:v>
      </x:c>
    </x:row>
    <x:row r="21">
      <x:c r="A21" s="4" t="str">
        <x:v>月均收入（现金）</x:v>
      </x:c>
      <x:c r="B21">
        <x:f>(B15+B16+B17+B18)/12</x:f>
        <x:v>54916.6666666667</x:v>
      </x:c>
      <x:c r="C21" t="str">
        <x:v>-</x:v>
      </x:c>
      <x:c r="D21" t="str">
        <x:v>不含期权</x:v>
      </x:c>
    </x:row>
    <x:row r="23">
      <x:c r="A23" s="3" t="str">
        <x:v>三序列对比测算</x:v>
      </x:c>
    </x:row>
    <x:row r="24">
      <x:c r="A24" s="2" t="str">
        <x:v>对比项</x:v>
      </x:c>
      <x:c r="B24" s="2" t="str">
        <x:v>技术P7</x:v>
      </x:c>
      <x:c r="C24" s="2" t="str">
        <x:v>专业A7</x:v>
      </x:c>
      <x:c r="D24" s="2" t="str">
        <x:v>工程E7</x:v>
      </x:c>
    </x:row>
    <x:row r="25">
      <x:c r="A25" t="str">
        <x:v>基本工资</x:v>
      </x:c>
      <x:c r="B25">
        <x:v>420000</x:v>
      </x:c>
      <x:c r="C25">
        <x:v>360000</x:v>
      </x:c>
      <x:c r="D25">
        <x:v>384000</x:v>
      </x:c>
    </x:row>
    <x:row r="26">
      <x:c r="A26" t="str">
        <x:v>绩效奖金</x:v>
      </x:c>
      <x:c r="B26">
        <x:v>84000</x:v>
      </x:c>
      <x:c r="C26">
        <x:v>72000</x:v>
      </x:c>
      <x:c r="D26">
        <x:v>76800</x:v>
      </x:c>
    </x:row>
    <x:row r="27">
      <x:c r="A27" t="str">
        <x:v>年终奖</x:v>
      </x:c>
      <x:c r="B27">
        <x:v>105000</x:v>
      </x:c>
      <x:c r="C27">
        <x:v>90000</x:v>
      </x:c>
      <x:c r="D27">
        <x:v>96000</x:v>
      </x:c>
    </x:row>
    <x:row r="28">
      <x:c r="A28" t="str">
        <x:v>项目提成/跟投</x:v>
      </x:c>
      <x:c r="B28">
        <x:v>0</x:v>
      </x:c>
      <x:c r="C28">
        <x:v>80000</x:v>
      </x:c>
      <x:c r="D28">
        <x:v>72000</x:v>
      </x:c>
    </x:row>
    <x:row r="29">
      <x:c r="A29" t="str">
        <x:v>期权收益</x:v>
      </x:c>
      <x:c r="B29">
        <x:v>450000</x:v>
      </x:c>
      <x:c r="C29">
        <x:v>150000</x:v>
      </x:c>
      <x:c r="D29">
        <x:v>150000</x:v>
      </x:c>
    </x:row>
    <x:row r="30">
      <x:c r="A30" s="4" t="str">
        <x:v>年度总包</x:v>
      </x:c>
      <x:c r="B30">
        <x:f>SUM(B25:B29)</x:f>
        <x:v>1059000</x:v>
      </x:c>
      <x:c r="C30">
        <x:f>SUM(C25:C29)</x:f>
        <x:v>752000</x:v>
      </x:c>
      <x:c r="D30">
        <x:f>SUM(D25:D29)</x:f>
        <x:v>778800</x:v>
      </x:c>
    </x:row>
    <x:row r="31">
      <x:c r="A31" t="str">
        <x:v>现金占比</x:v>
      </x:c>
      <x:c r="B31">
        <x:f>(B25+B26+B27+B28)/B30</x:f>
        <x:v>0.575070821529745</x:v>
      </x:c>
      <x:c r="C31">
        <x:f>(C25+C26+C27+C28)/C30</x:f>
        <x:v>0.800531914893617</x:v>
      </x:c>
      <x:c r="D31">
        <x:f>(D25+D26+D27+D28)/D30</x:f>
        <x:v>0.807395993836672</x:v>
      </x:c>
    </x:row>
    <x:row r="33">
      <x:c r="A33" s="3" t="str">
        <x:v>使用说明</x:v>
      </x:c>
    </x:row>
    <x:row r="34">
      <x:c r="A34" t="str">
        <x:v>1. 在B4-B11输入实际参数</x:v>
      </x:c>
    </x:row>
    <x:row r="35">
      <x:c r="A35" t="str">
        <x:v>2. B15-B21自动计算年度总包</x:v>
      </x:c>
    </x:row>
    <x:row r="36">
      <x:c r="A36" t="str">
        <x:v>3. 三序列对比可修改B25-D29数值</x:v>
      </x:c>
    </x:row>
    <x:row r="37">
      <x:c r="A37" t="str">
        <x:v>4. 期权收益为账面价值，未考虑行权成本</x:v>
      </x:c>
    </x:row>
  </x:sheetData>
</x:worksheet>
</file>

<file path=docProps/app.xml><?xml version="1.0" encoding="utf-8"?>
<ap:Properties xmlns:ap="http://schemas.openxmlformats.org/officeDocument/2006/extended-properties">
  <ap:Application>OfficeCLI/1.0.120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2026-06-25T12:51:05Z</dcterms:created>
  <cp:lastModifiedBy>OfficeCLI</cp:lastModifiedBy>
  <dcterms:modified xsi:type="dcterms:W3CDTF">2026-06-25T12:51:05Z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1.0.120</vt:lpwstr>
  </op:property>
  <op:property fmtid="{D5CDD505-2E9C-101B-9397-08002B2CF9AE}" pid="3" name="OfficeCLI.LastModified">
    <vt:lpwstr xmlns:vt="http://schemas.openxmlformats.org/officeDocument/2006/docPropsVTypes">2026-06-25T12:52:39Z</vt:lpwstr>
  </op:property>
</op:Properties>
</file>